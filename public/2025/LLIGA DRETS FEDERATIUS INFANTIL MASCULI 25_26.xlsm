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ueba\public\"/>
    </mc:Choice>
  </mc:AlternateContent>
  <xr:revisionPtr revIDLastSave="0" documentId="13_ncr:80001_{FA40A563-666E-4328-8050-447E67E01074}" xr6:coauthVersionLast="36" xr6:coauthVersionMax="47" xr10:uidLastSave="{00000000-0000-0000-0000-000000000000}"/>
  <bookViews>
    <workbookView xWindow="0" yWindow="0" windowWidth="23040" windowHeight="8940" xr2:uid="{3B2EC4C0-8558-47FA-8786-A516E5352AED}"/>
  </bookViews>
  <sheets>
    <sheet name="Datos" sheetId="1" r:id="rId1"/>
    <sheet name="Analisis" sheetId="2" r:id="rId2"/>
    <sheet name="Analisis_Equipo" sheetId="6" r:id="rId3"/>
    <sheet name="Individual" sheetId="3" r:id="rId4"/>
    <sheet name="Equipo" sheetId="4" r:id="rId5"/>
    <sheet name="fitlro_individual" sheetId="7" r:id="rId6"/>
    <sheet name="filtro_equipo" sheetId="9" r:id="rId7"/>
    <sheet name="cuadro desplegable" sheetId="8" r:id="rId8"/>
  </sheets>
  <definedNames>
    <definedName name="_xlnm._FilterDatabase" localSheetId="0" hidden="1">Datos!$A$1:$T$192</definedName>
    <definedName name="SegmentaciónDeDatos_Jugador">#N/A</definedName>
    <definedName name="SegmentaciónDeDatos_Jugador1">""</definedName>
    <definedName name="SegmentaciónDeDatos_POSICION1">#N/A</definedName>
    <definedName name="SegmentaciónDeDatos_rival">#N/A</definedName>
  </definedNames>
  <calcPr calcId="191029"/>
  <pivotCaches>
    <pivotCache cacheId="6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2" i="1" l="1"/>
  <c r="F190" i="1"/>
  <c r="F185" i="1"/>
  <c r="F178" i="1"/>
  <c r="V174" i="1"/>
  <c r="X174" i="1" s="1"/>
  <c r="V175" i="1"/>
  <c r="X175" i="1" s="1"/>
  <c r="V176" i="1"/>
  <c r="Z176" i="1" s="1"/>
  <c r="V177" i="1"/>
  <c r="X177" i="1" s="1"/>
  <c r="V178" i="1"/>
  <c r="Y178" i="1" s="1"/>
  <c r="V179" i="1"/>
  <c r="F179" i="1" s="1"/>
  <c r="V180" i="1"/>
  <c r="W180" i="1" s="1"/>
  <c r="V181" i="1"/>
  <c r="W181" i="1" s="1"/>
  <c r="V182" i="1"/>
  <c r="Y182" i="1" s="1"/>
  <c r="V183" i="1"/>
  <c r="Z183" i="1" s="1"/>
  <c r="V184" i="1"/>
  <c r="Z184" i="1" s="1"/>
  <c r="V185" i="1"/>
  <c r="X185" i="1" s="1"/>
  <c r="V186" i="1"/>
  <c r="X186" i="1" s="1"/>
  <c r="V187" i="1"/>
  <c r="X187" i="1" s="1"/>
  <c r="V188" i="1"/>
  <c r="Y188" i="1" s="1"/>
  <c r="V189" i="1"/>
  <c r="X189" i="1" s="1"/>
  <c r="V190" i="1"/>
  <c r="Y190" i="1" s="1"/>
  <c r="V191" i="1"/>
  <c r="F191" i="1" s="1"/>
  <c r="V192" i="1"/>
  <c r="W192" i="1" s="1"/>
  <c r="X180" i="1"/>
  <c r="Y180" i="1"/>
  <c r="Z182" i="1"/>
  <c r="F173" i="1"/>
  <c r="F169" i="1"/>
  <c r="F168" i="1"/>
  <c r="F165" i="1"/>
  <c r="F159" i="1"/>
  <c r="F157" i="1"/>
  <c r="F155" i="1"/>
  <c r="V155" i="1"/>
  <c r="Y155" i="1" s="1"/>
  <c r="V156" i="1"/>
  <c r="Z156" i="1" s="1"/>
  <c r="V157" i="1"/>
  <c r="Y157" i="1" s="1"/>
  <c r="V158" i="1"/>
  <c r="Y158" i="1" s="1"/>
  <c r="V159" i="1"/>
  <c r="Y159" i="1" s="1"/>
  <c r="V160" i="1"/>
  <c r="W160" i="1" s="1"/>
  <c r="V161" i="1"/>
  <c r="W161" i="1" s="1"/>
  <c r="V162" i="1"/>
  <c r="W162" i="1" s="1"/>
  <c r="V163" i="1"/>
  <c r="Z163" i="1" s="1"/>
  <c r="V164" i="1"/>
  <c r="Z164" i="1" s="1"/>
  <c r="V165" i="1"/>
  <c r="X165" i="1" s="1"/>
  <c r="V166" i="1"/>
  <c r="X166" i="1" s="1"/>
  <c r="V167" i="1"/>
  <c r="Z167" i="1" s="1"/>
  <c r="V168" i="1"/>
  <c r="W168" i="1" s="1"/>
  <c r="V169" i="1"/>
  <c r="X169" i="1" s="1"/>
  <c r="V170" i="1"/>
  <c r="Y170" i="1" s="1"/>
  <c r="V171" i="1"/>
  <c r="Y171" i="1" s="1"/>
  <c r="V172" i="1"/>
  <c r="W172" i="1" s="1"/>
  <c r="V173" i="1"/>
  <c r="W173" i="1" s="1"/>
  <c r="F154" i="1"/>
  <c r="F150" i="1"/>
  <c r="F140" i="1"/>
  <c r="F136" i="1"/>
  <c r="V136" i="1"/>
  <c r="Y136" i="1" s="1"/>
  <c r="V137" i="1"/>
  <c r="W137" i="1" s="1"/>
  <c r="V138" i="1"/>
  <c r="X138" i="1" s="1"/>
  <c r="V139" i="1"/>
  <c r="W139" i="1" s="1"/>
  <c r="V140" i="1"/>
  <c r="Z140" i="1" s="1"/>
  <c r="V141" i="1"/>
  <c r="W141" i="1" s="1"/>
  <c r="V142" i="1"/>
  <c r="Z142" i="1" s="1"/>
  <c r="V143" i="1"/>
  <c r="Z143" i="1" s="1"/>
  <c r="V144" i="1"/>
  <c r="X144" i="1" s="1"/>
  <c r="V145" i="1"/>
  <c r="W145" i="1" s="1"/>
  <c r="V146" i="1"/>
  <c r="W146" i="1" s="1"/>
  <c r="V147" i="1"/>
  <c r="X147" i="1" s="1"/>
  <c r="V148" i="1"/>
  <c r="W148" i="1" s="1"/>
  <c r="V149" i="1"/>
  <c r="W149" i="1" s="1"/>
  <c r="V150" i="1"/>
  <c r="X150" i="1" s="1"/>
  <c r="V151" i="1"/>
  <c r="W151" i="1" s="1"/>
  <c r="V152" i="1"/>
  <c r="X152" i="1" s="1"/>
  <c r="V153" i="1"/>
  <c r="W153" i="1" s="1"/>
  <c r="V154" i="1"/>
  <c r="X154" i="1" s="1"/>
  <c r="F134" i="1"/>
  <c r="F133" i="1"/>
  <c r="F126" i="1"/>
  <c r="F121" i="1"/>
  <c r="F118" i="1"/>
  <c r="V117" i="1"/>
  <c r="X117" i="1" s="1"/>
  <c r="V118" i="1"/>
  <c r="Z118" i="1" s="1"/>
  <c r="V119" i="1"/>
  <c r="Z119" i="1" s="1"/>
  <c r="V120" i="1"/>
  <c r="X120" i="1" s="1"/>
  <c r="V121" i="1"/>
  <c r="Y121" i="1" s="1"/>
  <c r="V122" i="1"/>
  <c r="F122" i="1" s="1"/>
  <c r="V123" i="1"/>
  <c r="Z123" i="1" s="1"/>
  <c r="V124" i="1"/>
  <c r="W124" i="1" s="1"/>
  <c r="V125" i="1"/>
  <c r="Y125" i="1" s="1"/>
  <c r="V126" i="1"/>
  <c r="X126" i="1" s="1"/>
  <c r="V127" i="1"/>
  <c r="W127" i="1" s="1"/>
  <c r="V128" i="1"/>
  <c r="W128" i="1" s="1"/>
  <c r="V129" i="1"/>
  <c r="Y129" i="1" s="1"/>
  <c r="V130" i="1"/>
  <c r="Z130" i="1" s="1"/>
  <c r="V131" i="1"/>
  <c r="Z131" i="1" s="1"/>
  <c r="V132" i="1"/>
  <c r="X132" i="1" s="1"/>
  <c r="V133" i="1"/>
  <c r="Y133" i="1" s="1"/>
  <c r="V134" i="1"/>
  <c r="X134" i="1" s="1"/>
  <c r="V135" i="1"/>
  <c r="Z135" i="1" s="1"/>
  <c r="F116" i="1"/>
  <c r="F115" i="1"/>
  <c r="F113" i="1"/>
  <c r="F102" i="1"/>
  <c r="V98" i="1"/>
  <c r="Z98" i="1" s="1"/>
  <c r="V99" i="1"/>
  <c r="W99" i="1" s="1"/>
  <c r="V100" i="1"/>
  <c r="X100" i="1" s="1"/>
  <c r="V101" i="1"/>
  <c r="X101" i="1" s="1"/>
  <c r="V102" i="1"/>
  <c r="W102" i="1" s="1"/>
  <c r="V103" i="1"/>
  <c r="X103" i="1" s="1"/>
  <c r="V104" i="1"/>
  <c r="W104" i="1" s="1"/>
  <c r="V105" i="1"/>
  <c r="X105" i="1" s="1"/>
  <c r="V106" i="1"/>
  <c r="X106" i="1" s="1"/>
  <c r="V107" i="1"/>
  <c r="Y107" i="1" s="1"/>
  <c r="V108" i="1"/>
  <c r="W108" i="1" s="1"/>
  <c r="V109" i="1"/>
  <c r="Y109" i="1" s="1"/>
  <c r="V110" i="1"/>
  <c r="Z110" i="1" s="1"/>
  <c r="V111" i="1"/>
  <c r="W111" i="1" s="1"/>
  <c r="V112" i="1"/>
  <c r="X112" i="1" s="1"/>
  <c r="V113" i="1"/>
  <c r="X113" i="1" s="1"/>
  <c r="V114" i="1"/>
  <c r="W114" i="1" s="1"/>
  <c r="V115" i="1"/>
  <c r="X115" i="1" s="1"/>
  <c r="V116" i="1"/>
  <c r="W116" i="1" s="1"/>
  <c r="F97" i="1"/>
  <c r="F95" i="1"/>
  <c r="F93" i="1"/>
  <c r="F83" i="1"/>
  <c r="V79" i="1"/>
  <c r="X79" i="1" s="1"/>
  <c r="V80" i="1"/>
  <c r="X80" i="1" s="1"/>
  <c r="V81" i="1"/>
  <c r="Z81" i="1" s="1"/>
  <c r="V82" i="1"/>
  <c r="Z82" i="1" s="1"/>
  <c r="V83" i="1"/>
  <c r="Z83" i="1" s="1"/>
  <c r="V84" i="1"/>
  <c r="Y84" i="1" s="1"/>
  <c r="V85" i="1"/>
  <c r="Y85" i="1" s="1"/>
  <c r="V86" i="1"/>
  <c r="W86" i="1" s="1"/>
  <c r="V87" i="1"/>
  <c r="W87" i="1" s="1"/>
  <c r="V88" i="1"/>
  <c r="W88" i="1" s="1"/>
  <c r="V89" i="1"/>
  <c r="Z89" i="1" s="1"/>
  <c r="V90" i="1"/>
  <c r="Z90" i="1" s="1"/>
  <c r="V91" i="1"/>
  <c r="X91" i="1" s="1"/>
  <c r="V92" i="1"/>
  <c r="X92" i="1" s="1"/>
  <c r="V93" i="1"/>
  <c r="X93" i="1" s="1"/>
  <c r="V94" i="1"/>
  <c r="W94" i="1" s="1"/>
  <c r="V95" i="1"/>
  <c r="W95" i="1" s="1"/>
  <c r="V96" i="1"/>
  <c r="Y96" i="1" s="1"/>
  <c r="V97" i="1"/>
  <c r="Y97" i="1" s="1"/>
  <c r="V60" i="1"/>
  <c r="X60" i="1" s="1"/>
  <c r="V61" i="1"/>
  <c r="Z61" i="1" s="1"/>
  <c r="V62" i="1"/>
  <c r="Z62" i="1" s="1"/>
  <c r="V63" i="1"/>
  <c r="W63" i="1" s="1"/>
  <c r="V64" i="1"/>
  <c r="Y64" i="1" s="1"/>
  <c r="V65" i="1"/>
  <c r="Y65" i="1" s="1"/>
  <c r="V66" i="1"/>
  <c r="W66" i="1" s="1"/>
  <c r="V67" i="1"/>
  <c r="W67" i="1" s="1"/>
  <c r="V68" i="1"/>
  <c r="W68" i="1" s="1"/>
  <c r="V69" i="1"/>
  <c r="Z69" i="1" s="1"/>
  <c r="V70" i="1"/>
  <c r="Y70" i="1" s="1"/>
  <c r="V71" i="1"/>
  <c r="X71" i="1" s="1"/>
  <c r="V72" i="1"/>
  <c r="Z72" i="1" s="1"/>
  <c r="V73" i="1"/>
  <c r="X73" i="1" s="1"/>
  <c r="V74" i="1"/>
  <c r="X74" i="1" s="1"/>
  <c r="V75" i="1"/>
  <c r="Z75" i="1" s="1"/>
  <c r="V76" i="1"/>
  <c r="Y76" i="1" s="1"/>
  <c r="V77" i="1"/>
  <c r="Y77" i="1" s="1"/>
  <c r="V78" i="1"/>
  <c r="W78" i="1" s="1"/>
  <c r="Z180" i="1" l="1"/>
  <c r="Z181" i="1"/>
  <c r="X181" i="1"/>
  <c r="W179" i="1"/>
  <c r="Z179" i="1"/>
  <c r="Y187" i="1"/>
  <c r="Z187" i="1"/>
  <c r="Y179" i="1"/>
  <c r="Z186" i="1"/>
  <c r="X179" i="1"/>
  <c r="W187" i="1"/>
  <c r="F181" i="1"/>
  <c r="Y192" i="1"/>
  <c r="W188" i="1"/>
  <c r="F182" i="1"/>
  <c r="Y181" i="1"/>
  <c r="F183" i="1"/>
  <c r="Z173" i="1"/>
  <c r="Z192" i="1"/>
  <c r="W191" i="1"/>
  <c r="F174" i="1"/>
  <c r="Z172" i="1"/>
  <c r="F156" i="1"/>
  <c r="Z191" i="1"/>
  <c r="X191" i="1"/>
  <c r="F175" i="1"/>
  <c r="F187" i="1"/>
  <c r="Z170" i="1"/>
  <c r="Z188" i="1"/>
  <c r="Y191" i="1"/>
  <c r="X188" i="1"/>
  <c r="F176" i="1"/>
  <c r="F188" i="1"/>
  <c r="X172" i="1"/>
  <c r="Y189" i="1"/>
  <c r="W182" i="1"/>
  <c r="F177" i="1"/>
  <c r="X157" i="1"/>
  <c r="X183" i="1"/>
  <c r="Y186" i="1"/>
  <c r="X184" i="1"/>
  <c r="F184" i="1"/>
  <c r="F160" i="1"/>
  <c r="X182" i="1"/>
  <c r="F186" i="1"/>
  <c r="Z175" i="1"/>
  <c r="Y176" i="1"/>
  <c r="W176" i="1"/>
  <c r="F189" i="1"/>
  <c r="W178" i="1"/>
  <c r="Y177" i="1"/>
  <c r="Z174" i="1"/>
  <c r="Y175" i="1"/>
  <c r="X176" i="1"/>
  <c r="W175" i="1"/>
  <c r="W190" i="1"/>
  <c r="Y174" i="1"/>
  <c r="W189" i="1"/>
  <c r="W177" i="1"/>
  <c r="X192" i="1"/>
  <c r="F180" i="1"/>
  <c r="Z190" i="1"/>
  <c r="Z178" i="1"/>
  <c r="Y185" i="1"/>
  <c r="Z189" i="1"/>
  <c r="Z177" i="1"/>
  <c r="Y184" i="1"/>
  <c r="W186" i="1"/>
  <c r="W174" i="1"/>
  <c r="F163" i="1"/>
  <c r="Y183" i="1"/>
  <c r="X190" i="1"/>
  <c r="X178" i="1"/>
  <c r="W185" i="1"/>
  <c r="W143" i="1"/>
  <c r="F164" i="1"/>
  <c r="W184" i="1"/>
  <c r="W183" i="1"/>
  <c r="F167" i="1"/>
  <c r="Z185" i="1"/>
  <c r="F170" i="1"/>
  <c r="F162" i="1"/>
  <c r="F166" i="1"/>
  <c r="W157" i="1"/>
  <c r="F171" i="1"/>
  <c r="F158" i="1"/>
  <c r="F172" i="1"/>
  <c r="F161" i="1"/>
  <c r="W159" i="1"/>
  <c r="W158" i="1"/>
  <c r="W156" i="1"/>
  <c r="Z171" i="1"/>
  <c r="X171" i="1"/>
  <c r="X159" i="1"/>
  <c r="X158" i="1"/>
  <c r="Z155" i="1"/>
  <c r="Y169" i="1"/>
  <c r="X161" i="1"/>
  <c r="F147" i="1"/>
  <c r="X160" i="1"/>
  <c r="W167" i="1"/>
  <c r="X167" i="1"/>
  <c r="W155" i="1"/>
  <c r="Z161" i="1"/>
  <c r="Z160" i="1"/>
  <c r="Z159" i="1"/>
  <c r="F145" i="1"/>
  <c r="Z158" i="1"/>
  <c r="W171" i="1"/>
  <c r="Z136" i="1"/>
  <c r="F146" i="1"/>
  <c r="Z157" i="1"/>
  <c r="W169" i="1"/>
  <c r="Y167" i="1"/>
  <c r="Z169" i="1"/>
  <c r="X156" i="1"/>
  <c r="Z168" i="1"/>
  <c r="Y156" i="1"/>
  <c r="X155" i="1"/>
  <c r="F143" i="1"/>
  <c r="Z162" i="1"/>
  <c r="X173" i="1"/>
  <c r="X170" i="1"/>
  <c r="X168" i="1"/>
  <c r="W144" i="1"/>
  <c r="F142" i="1"/>
  <c r="Y168" i="1"/>
  <c r="X164" i="1"/>
  <c r="W170" i="1"/>
  <c r="X163" i="1"/>
  <c r="W142" i="1"/>
  <c r="F144" i="1"/>
  <c r="X162" i="1"/>
  <c r="W166" i="1"/>
  <c r="F138" i="1"/>
  <c r="Z166" i="1"/>
  <c r="Y173" i="1"/>
  <c r="Y161" i="1"/>
  <c r="W163" i="1"/>
  <c r="Y166" i="1"/>
  <c r="X149" i="1"/>
  <c r="Y164" i="1"/>
  <c r="F148" i="1"/>
  <c r="Y163" i="1"/>
  <c r="W165" i="1"/>
  <c r="X136" i="1"/>
  <c r="F137" i="1"/>
  <c r="W164" i="1"/>
  <c r="F151" i="1"/>
  <c r="Y172" i="1"/>
  <c r="Z148" i="1"/>
  <c r="F152" i="1"/>
  <c r="Y153" i="1"/>
  <c r="X153" i="1"/>
  <c r="X151" i="1"/>
  <c r="Y165" i="1"/>
  <c r="X148" i="1"/>
  <c r="X137" i="1"/>
  <c r="F149" i="1"/>
  <c r="Y162" i="1"/>
  <c r="Z149" i="1"/>
  <c r="F139" i="1"/>
  <c r="Z165" i="1"/>
  <c r="Y160" i="1"/>
  <c r="Z137" i="1"/>
  <c r="F141" i="1"/>
  <c r="F153" i="1"/>
  <c r="Y152" i="1"/>
  <c r="Y135" i="1"/>
  <c r="Y151" i="1"/>
  <c r="Y134" i="1"/>
  <c r="Y150" i="1"/>
  <c r="X122" i="1"/>
  <c r="Y149" i="1"/>
  <c r="W140" i="1"/>
  <c r="W135" i="1"/>
  <c r="Y148" i="1"/>
  <c r="W136" i="1"/>
  <c r="W134" i="1"/>
  <c r="W122" i="1"/>
  <c r="X119" i="1"/>
  <c r="X143" i="1"/>
  <c r="X142" i="1"/>
  <c r="F131" i="1"/>
  <c r="X141" i="1"/>
  <c r="Y139" i="1"/>
  <c r="X139" i="1"/>
  <c r="Y138" i="1"/>
  <c r="X118" i="1"/>
  <c r="F119" i="1"/>
  <c r="Y140" i="1"/>
  <c r="X140" i="1"/>
  <c r="Z134" i="1"/>
  <c r="Z122" i="1"/>
  <c r="Y137" i="1"/>
  <c r="Z128" i="1"/>
  <c r="Z146" i="1"/>
  <c r="Z126" i="1"/>
  <c r="F101" i="1"/>
  <c r="Z141" i="1"/>
  <c r="Y145" i="1"/>
  <c r="W154" i="1"/>
  <c r="F135" i="1"/>
  <c r="Z139" i="1"/>
  <c r="Y144" i="1"/>
  <c r="W152" i="1"/>
  <c r="Y122" i="1"/>
  <c r="Z154" i="1"/>
  <c r="Y143" i="1"/>
  <c r="X146" i="1"/>
  <c r="Z129" i="1"/>
  <c r="Y146" i="1"/>
  <c r="F103" i="1"/>
  <c r="Y123" i="1"/>
  <c r="Z153" i="1"/>
  <c r="Y142" i="1"/>
  <c r="X145" i="1"/>
  <c r="Z145" i="1"/>
  <c r="Z144" i="1"/>
  <c r="Y126" i="1"/>
  <c r="X123" i="1"/>
  <c r="Z151" i="1"/>
  <c r="Y154" i="1"/>
  <c r="Y141" i="1"/>
  <c r="F114" i="1"/>
  <c r="F123" i="1"/>
  <c r="W150" i="1"/>
  <c r="W138" i="1"/>
  <c r="X135" i="1"/>
  <c r="F124" i="1"/>
  <c r="Z152" i="1"/>
  <c r="Y147" i="1"/>
  <c r="F125" i="1"/>
  <c r="Z150" i="1"/>
  <c r="Z138" i="1"/>
  <c r="W147" i="1"/>
  <c r="F127" i="1"/>
  <c r="Z127" i="1"/>
  <c r="F128" i="1"/>
  <c r="F117" i="1"/>
  <c r="F130" i="1"/>
  <c r="Z147" i="1"/>
  <c r="W126" i="1"/>
  <c r="F120" i="1"/>
  <c r="F107" i="1"/>
  <c r="X131" i="1"/>
  <c r="W130" i="1"/>
  <c r="X130" i="1"/>
  <c r="X128" i="1"/>
  <c r="W123" i="1"/>
  <c r="F109" i="1"/>
  <c r="F129" i="1"/>
  <c r="X129" i="1"/>
  <c r="Y128" i="1"/>
  <c r="X127" i="1"/>
  <c r="F132" i="1"/>
  <c r="Y127" i="1"/>
  <c r="W118" i="1"/>
  <c r="Z121" i="1"/>
  <c r="W129" i="1"/>
  <c r="Z133" i="1"/>
  <c r="Y124" i="1"/>
  <c r="F112" i="1"/>
  <c r="W125" i="1"/>
  <c r="Z125" i="1"/>
  <c r="Y132" i="1"/>
  <c r="Y120" i="1"/>
  <c r="F104" i="1"/>
  <c r="Z124" i="1"/>
  <c r="Y131" i="1"/>
  <c r="Y119" i="1"/>
  <c r="W133" i="1"/>
  <c r="W121" i="1"/>
  <c r="F105" i="1"/>
  <c r="Y130" i="1"/>
  <c r="Y118" i="1"/>
  <c r="X125" i="1"/>
  <c r="W132" i="1"/>
  <c r="W120" i="1"/>
  <c r="F106" i="1"/>
  <c r="Y117" i="1"/>
  <c r="X124" i="1"/>
  <c r="W131" i="1"/>
  <c r="W119" i="1"/>
  <c r="F108" i="1"/>
  <c r="Z132" i="1"/>
  <c r="Z120" i="1"/>
  <c r="W117" i="1"/>
  <c r="X133" i="1"/>
  <c r="X121" i="1"/>
  <c r="F98" i="1"/>
  <c r="F110" i="1"/>
  <c r="F99" i="1"/>
  <c r="F111" i="1"/>
  <c r="Z117" i="1"/>
  <c r="F100" i="1"/>
  <c r="Z112" i="1"/>
  <c r="Z99" i="1"/>
  <c r="Y99" i="1"/>
  <c r="Z111" i="1"/>
  <c r="X111" i="1"/>
  <c r="Y111" i="1"/>
  <c r="X99" i="1"/>
  <c r="W106" i="1"/>
  <c r="Z106" i="1"/>
  <c r="X109" i="1"/>
  <c r="X102" i="1"/>
  <c r="Z68" i="1"/>
  <c r="Z105" i="1"/>
  <c r="Y115" i="1"/>
  <c r="Y102" i="1"/>
  <c r="X114" i="1"/>
  <c r="Y106" i="1"/>
  <c r="Z109" i="1"/>
  <c r="Y105" i="1"/>
  <c r="W109" i="1"/>
  <c r="Z107" i="1"/>
  <c r="W107" i="1"/>
  <c r="Z102" i="1"/>
  <c r="W105" i="1"/>
  <c r="F86" i="1"/>
  <c r="X110" i="1"/>
  <c r="Y114" i="1"/>
  <c r="X107" i="1"/>
  <c r="Z114" i="1"/>
  <c r="Z100" i="1"/>
  <c r="X98" i="1"/>
  <c r="Y113" i="1"/>
  <c r="Y101" i="1"/>
  <c r="X108" i="1"/>
  <c r="W115" i="1"/>
  <c r="W103" i="1"/>
  <c r="Y112" i="1"/>
  <c r="Y100" i="1"/>
  <c r="Z104" i="1"/>
  <c r="Z115" i="1"/>
  <c r="Z103" i="1"/>
  <c r="Y110" i="1"/>
  <c r="Y98" i="1"/>
  <c r="W112" i="1"/>
  <c r="W100" i="1"/>
  <c r="Y116" i="1"/>
  <c r="Z108" i="1"/>
  <c r="Y103" i="1"/>
  <c r="Z116" i="1"/>
  <c r="W113" i="1"/>
  <c r="X116" i="1"/>
  <c r="X104" i="1"/>
  <c r="Y104" i="1"/>
  <c r="W101" i="1"/>
  <c r="X66" i="1"/>
  <c r="Z113" i="1"/>
  <c r="Z101" i="1"/>
  <c r="Y108" i="1"/>
  <c r="W110" i="1"/>
  <c r="W98" i="1"/>
  <c r="F89" i="1"/>
  <c r="Y91" i="1"/>
  <c r="F85" i="1"/>
  <c r="Z67" i="1"/>
  <c r="Y89" i="1"/>
  <c r="Z66" i="1"/>
  <c r="X89" i="1"/>
  <c r="F87" i="1"/>
  <c r="X77" i="1"/>
  <c r="W97" i="1"/>
  <c r="F88" i="1"/>
  <c r="F90" i="1"/>
  <c r="Z84" i="1"/>
  <c r="Y93" i="1"/>
  <c r="F79" i="1"/>
  <c r="F91" i="1"/>
  <c r="F80" i="1"/>
  <c r="F92" i="1"/>
  <c r="X84" i="1"/>
  <c r="F81" i="1"/>
  <c r="X81" i="1"/>
  <c r="F82" i="1"/>
  <c r="F94" i="1"/>
  <c r="F84" i="1"/>
  <c r="F96" i="1"/>
  <c r="Y94" i="1"/>
  <c r="Z65" i="1"/>
  <c r="X65" i="1"/>
  <c r="W96" i="1"/>
  <c r="Z64" i="1"/>
  <c r="X64" i="1"/>
  <c r="W93" i="1"/>
  <c r="Z63" i="1"/>
  <c r="X63" i="1"/>
  <c r="Z96" i="1"/>
  <c r="Y81" i="1"/>
  <c r="W92" i="1"/>
  <c r="Y75" i="1"/>
  <c r="W75" i="1"/>
  <c r="Z95" i="1"/>
  <c r="X97" i="1"/>
  <c r="W91" i="1"/>
  <c r="Y63" i="1"/>
  <c r="W64" i="1"/>
  <c r="Z94" i="1"/>
  <c r="X96" i="1"/>
  <c r="W89" i="1"/>
  <c r="Y62" i="1"/>
  <c r="Z93" i="1"/>
  <c r="X95" i="1"/>
  <c r="W84" i="1"/>
  <c r="Y61" i="1"/>
  <c r="W61" i="1"/>
  <c r="X94" i="1"/>
  <c r="W81" i="1"/>
  <c r="Y95" i="1"/>
  <c r="X75" i="1"/>
  <c r="X76" i="1"/>
  <c r="Z76" i="1"/>
  <c r="X78" i="1"/>
  <c r="X70" i="1"/>
  <c r="Z88" i="1"/>
  <c r="Y83" i="1"/>
  <c r="X90" i="1"/>
  <c r="W85" i="1"/>
  <c r="Y74" i="1"/>
  <c r="X69" i="1"/>
  <c r="W74" i="1"/>
  <c r="Z87" i="1"/>
  <c r="Y82" i="1"/>
  <c r="Z74" i="1"/>
  <c r="Y73" i="1"/>
  <c r="X68" i="1"/>
  <c r="W73" i="1"/>
  <c r="Z86" i="1"/>
  <c r="X88" i="1"/>
  <c r="W83" i="1"/>
  <c r="Z73" i="1"/>
  <c r="X67" i="1"/>
  <c r="W65" i="1"/>
  <c r="Z97" i="1"/>
  <c r="Z85" i="1"/>
  <c r="Y92" i="1"/>
  <c r="Y80" i="1"/>
  <c r="X87" i="1"/>
  <c r="W82" i="1"/>
  <c r="X86" i="1"/>
  <c r="Y90" i="1"/>
  <c r="W62" i="1"/>
  <c r="Y88" i="1"/>
  <c r="X83" i="1"/>
  <c r="W90" i="1"/>
  <c r="Z92" i="1"/>
  <c r="Z80" i="1"/>
  <c r="Y87" i="1"/>
  <c r="X82" i="1"/>
  <c r="Y79" i="1"/>
  <c r="X85" i="1"/>
  <c r="W80" i="1"/>
  <c r="W79" i="1"/>
  <c r="X62" i="1"/>
  <c r="X61" i="1"/>
  <c r="Z91" i="1"/>
  <c r="Z79" i="1"/>
  <c r="Y86" i="1"/>
  <c r="Z78" i="1"/>
  <c r="W77" i="1"/>
  <c r="Z77" i="1"/>
  <c r="W76" i="1"/>
  <c r="Y60" i="1"/>
  <c r="W60" i="1"/>
  <c r="Y68" i="1"/>
  <c r="W70" i="1"/>
  <c r="Z60" i="1"/>
  <c r="Y67" i="1"/>
  <c r="Z71" i="1"/>
  <c r="Z70" i="1"/>
  <c r="X72" i="1"/>
  <c r="Y72" i="1"/>
  <c r="Y71" i="1"/>
  <c r="W72" i="1"/>
  <c r="Y69" i="1"/>
  <c r="W71" i="1"/>
  <c r="W69" i="1"/>
  <c r="Y78" i="1"/>
  <c r="Y66" i="1"/>
  <c r="AI2" i="6"/>
  <c r="V59" i="1"/>
  <c r="Z59" i="1" s="1"/>
  <c r="F59" i="1"/>
  <c r="V58" i="1"/>
  <c r="V57" i="1"/>
  <c r="Z57" i="1" s="1"/>
  <c r="V56" i="1"/>
  <c r="V55" i="1"/>
  <c r="Z55" i="1" s="1"/>
  <c r="F55" i="1"/>
  <c r="V54" i="1"/>
  <c r="V53" i="1"/>
  <c r="Z53" i="1" s="1"/>
  <c r="V52" i="1"/>
  <c r="V51" i="1"/>
  <c r="Z51" i="1" s="1"/>
  <c r="V50" i="1"/>
  <c r="F50" i="1"/>
  <c r="V49" i="1"/>
  <c r="Z49" i="1" s="1"/>
  <c r="V48" i="1"/>
  <c r="V47" i="1"/>
  <c r="Z47" i="1" s="1"/>
  <c r="V46" i="1"/>
  <c r="F46" i="1"/>
  <c r="V45" i="1"/>
  <c r="Z45" i="1" s="1"/>
  <c r="F45" i="1"/>
  <c r="V44" i="1"/>
  <c r="V43" i="1"/>
  <c r="Z43" i="1" s="1"/>
  <c r="F43" i="1"/>
  <c r="V42" i="1"/>
  <c r="V41" i="1"/>
  <c r="Z41" i="1" s="1"/>
  <c r="V40" i="1"/>
  <c r="Y40" i="1" s="1"/>
  <c r="F40" i="1"/>
  <c r="V39" i="1"/>
  <c r="Y39" i="1" s="1"/>
  <c r="V38" i="1"/>
  <c r="Z38" i="1" s="1"/>
  <c r="V37" i="1"/>
  <c r="Y37" i="1" s="1"/>
  <c r="V36" i="1"/>
  <c r="Y36" i="1" s="1"/>
  <c r="F36" i="1"/>
  <c r="V35" i="1"/>
  <c r="Y35" i="1" s="1"/>
  <c r="V34" i="1"/>
  <c r="Z34" i="1" s="1"/>
  <c r="F34" i="1"/>
  <c r="V33" i="1"/>
  <c r="Y33" i="1" s="1"/>
  <c r="V32" i="1"/>
  <c r="Y32" i="1" s="1"/>
  <c r="V31" i="1"/>
  <c r="Y31" i="1" s="1"/>
  <c r="V30" i="1"/>
  <c r="Z30" i="1" s="1"/>
  <c r="F30" i="1"/>
  <c r="V29" i="1"/>
  <c r="Y29" i="1" s="1"/>
  <c r="V28" i="1"/>
  <c r="F28" i="1" s="1"/>
  <c r="V27" i="1"/>
  <c r="Y27" i="1" s="1"/>
  <c r="V26" i="1"/>
  <c r="F26" i="1" s="1"/>
  <c r="V25" i="1"/>
  <c r="Y25" i="1" s="1"/>
  <c r="F25" i="1"/>
  <c r="V24" i="1"/>
  <c r="V23" i="1"/>
  <c r="Y23" i="1" s="1"/>
  <c r="F23" i="1"/>
  <c r="V22" i="1"/>
  <c r="F22" i="1" s="1"/>
  <c r="V21" i="1"/>
  <c r="Y21" i="1" s="1"/>
  <c r="V20" i="1"/>
  <c r="F20" i="1"/>
  <c r="V19" i="1"/>
  <c r="Y19" i="1" s="1"/>
  <c r="V18" i="1"/>
  <c r="F18" i="1" s="1"/>
  <c r="V17" i="1"/>
  <c r="Y17" i="1" s="1"/>
  <c r="V16" i="1"/>
  <c r="F16" i="1"/>
  <c r="V15" i="1"/>
  <c r="Y15" i="1" s="1"/>
  <c r="V14" i="1"/>
  <c r="F14" i="1" s="1"/>
  <c r="V13" i="1"/>
  <c r="Y13" i="1" s="1"/>
  <c r="F13" i="1"/>
  <c r="V12" i="1"/>
  <c r="F12" i="1" s="1"/>
  <c r="V11" i="1"/>
  <c r="Y11" i="1" s="1"/>
  <c r="F11" i="1"/>
  <c r="V10" i="1"/>
  <c r="F10" i="1" s="1"/>
  <c r="V9" i="1"/>
  <c r="Y9" i="1" s="1"/>
  <c r="V8" i="1"/>
  <c r="F8" i="1" s="1"/>
  <c r="V7" i="1"/>
  <c r="Y7" i="1" s="1"/>
  <c r="V6" i="1"/>
  <c r="F6" i="1" s="1"/>
  <c r="V5" i="1"/>
  <c r="Y5" i="1" s="1"/>
  <c r="V4" i="1"/>
  <c r="F4" i="1" s="1"/>
  <c r="V3" i="1"/>
  <c r="Y3" i="1" s="1"/>
  <c r="V2" i="1"/>
  <c r="Y2" i="1" s="1"/>
  <c r="AR5" i="2"/>
  <c r="AI19" i="6"/>
  <c r="AR7" i="2"/>
  <c r="AI14" i="6"/>
  <c r="AR6" i="2"/>
  <c r="AI6" i="6"/>
  <c r="AI7" i="6"/>
  <c r="AI12" i="6"/>
  <c r="AI18" i="6"/>
  <c r="AI11" i="6"/>
  <c r="AI17" i="6"/>
  <c r="AI15" i="6"/>
  <c r="AI16" i="6"/>
  <c r="AI5" i="6"/>
  <c r="AR4" i="2"/>
  <c r="AI4" i="6"/>
  <c r="AI13" i="6"/>
  <c r="AI3" i="6"/>
  <c r="AJ6" i="6" l="1"/>
  <c r="AJ5" i="6"/>
  <c r="F3" i="1"/>
  <c r="F51" i="1"/>
  <c r="F27" i="1"/>
  <c r="F49" i="1"/>
  <c r="F57" i="1"/>
  <c r="F31" i="1"/>
  <c r="F2" i="1"/>
  <c r="F37" i="1"/>
  <c r="F7" i="1"/>
  <c r="F15" i="1"/>
  <c r="F35" i="1"/>
  <c r="F21" i="1"/>
  <c r="F29" i="1"/>
  <c r="F9" i="1"/>
  <c r="F17" i="1"/>
  <c r="F32" i="1"/>
  <c r="F38" i="1"/>
  <c r="F19" i="1"/>
  <c r="F33" i="1"/>
  <c r="F47" i="1"/>
  <c r="Z19" i="1"/>
  <c r="Z29" i="1"/>
  <c r="Z39" i="1"/>
  <c r="Z25" i="1"/>
  <c r="Z35" i="1"/>
  <c r="Z11" i="1"/>
  <c r="Z21" i="1"/>
  <c r="Z7" i="1"/>
  <c r="Z3" i="1"/>
  <c r="Z37" i="1"/>
  <c r="Z13" i="1"/>
  <c r="Z23" i="1"/>
  <c r="Z33" i="1"/>
  <c r="Z5" i="1"/>
  <c r="Z15" i="1"/>
  <c r="Z31" i="1"/>
  <c r="Z17" i="1"/>
  <c r="Z27" i="1"/>
  <c r="F5" i="1"/>
  <c r="Z9" i="1"/>
  <c r="F39" i="1"/>
  <c r="F53" i="1"/>
  <c r="Z24" i="1"/>
  <c r="Y24" i="1"/>
  <c r="X24" i="1"/>
  <c r="W24" i="1"/>
  <c r="Z20" i="1"/>
  <c r="Y20" i="1"/>
  <c r="X20" i="1"/>
  <c r="W20" i="1"/>
  <c r="F54" i="1"/>
  <c r="Z54" i="1"/>
  <c r="Y54" i="1"/>
  <c r="X54" i="1"/>
  <c r="W54" i="1"/>
  <c r="Z6" i="1"/>
  <c r="Y6" i="1"/>
  <c r="X6" i="1"/>
  <c r="W6" i="1"/>
  <c r="Z16" i="1"/>
  <c r="Y16" i="1"/>
  <c r="X16" i="1"/>
  <c r="W16" i="1"/>
  <c r="F48" i="1"/>
  <c r="Z48" i="1"/>
  <c r="Y48" i="1"/>
  <c r="X48" i="1"/>
  <c r="W48" i="1"/>
  <c r="F42" i="1"/>
  <c r="Z42" i="1"/>
  <c r="Y42" i="1"/>
  <c r="X42" i="1"/>
  <c r="W42" i="1"/>
  <c r="Z10" i="1"/>
  <c r="Y10" i="1"/>
  <c r="X10" i="1"/>
  <c r="W10" i="1"/>
  <c r="Z46" i="1"/>
  <c r="Y46" i="1"/>
  <c r="X46" i="1"/>
  <c r="W46" i="1"/>
  <c r="Z2" i="1"/>
  <c r="X2" i="1"/>
  <c r="W2" i="1"/>
  <c r="Z26" i="1"/>
  <c r="Y26" i="1"/>
  <c r="X26" i="1"/>
  <c r="W26" i="1"/>
  <c r="F56" i="1"/>
  <c r="Z56" i="1"/>
  <c r="Y56" i="1"/>
  <c r="X56" i="1"/>
  <c r="W56" i="1"/>
  <c r="Z12" i="1"/>
  <c r="Y12" i="1"/>
  <c r="X12" i="1"/>
  <c r="W12" i="1"/>
  <c r="Z22" i="1"/>
  <c r="Y22" i="1"/>
  <c r="X22" i="1"/>
  <c r="W22" i="1"/>
  <c r="Z8" i="1"/>
  <c r="Y8" i="1"/>
  <c r="X8" i="1"/>
  <c r="W8" i="1"/>
  <c r="Z50" i="1"/>
  <c r="Y50" i="1"/>
  <c r="X50" i="1"/>
  <c r="W50" i="1"/>
  <c r="F58" i="1"/>
  <c r="Z58" i="1"/>
  <c r="Y58" i="1"/>
  <c r="X58" i="1"/>
  <c r="W58" i="1"/>
  <c r="Z18" i="1"/>
  <c r="Y18" i="1"/>
  <c r="X18" i="1"/>
  <c r="W18" i="1"/>
  <c r="F44" i="1"/>
  <c r="Z44" i="1"/>
  <c r="Y44" i="1"/>
  <c r="X44" i="1"/>
  <c r="W44" i="1"/>
  <c r="Z4" i="1"/>
  <c r="Y4" i="1"/>
  <c r="X4" i="1"/>
  <c r="W4" i="1"/>
  <c r="Y28" i="1"/>
  <c r="Z28" i="1"/>
  <c r="X28" i="1"/>
  <c r="W28" i="1"/>
  <c r="Z14" i="1"/>
  <c r="Y14" i="1"/>
  <c r="X14" i="1"/>
  <c r="W14" i="1"/>
  <c r="F24" i="1"/>
  <c r="F52" i="1"/>
  <c r="Z52" i="1"/>
  <c r="Y52" i="1"/>
  <c r="X52" i="1"/>
  <c r="W52" i="1"/>
  <c r="W30" i="1"/>
  <c r="W32" i="1"/>
  <c r="W34" i="1"/>
  <c r="W36" i="1"/>
  <c r="W38" i="1"/>
  <c r="W40" i="1"/>
  <c r="X30" i="1"/>
  <c r="X32" i="1"/>
  <c r="X34" i="1"/>
  <c r="X36" i="1"/>
  <c r="X38" i="1"/>
  <c r="X40" i="1"/>
  <c r="Y30" i="1"/>
  <c r="Y34" i="1"/>
  <c r="Y38" i="1"/>
  <c r="Z32" i="1"/>
  <c r="Z36" i="1"/>
  <c r="Z40" i="1"/>
  <c r="W43" i="1"/>
  <c r="W47" i="1"/>
  <c r="W59" i="1"/>
  <c r="W3" i="1"/>
  <c r="W5" i="1"/>
  <c r="W7" i="1"/>
  <c r="W9" i="1"/>
  <c r="W11" i="1"/>
  <c r="W13" i="1"/>
  <c r="W15" i="1"/>
  <c r="W17" i="1"/>
  <c r="W19" i="1"/>
  <c r="W21" i="1"/>
  <c r="W23" i="1"/>
  <c r="W25" i="1"/>
  <c r="W27" i="1"/>
  <c r="W29" i="1"/>
  <c r="W31" i="1"/>
  <c r="W33" i="1"/>
  <c r="W35" i="1"/>
  <c r="W37" i="1"/>
  <c r="W39" i="1"/>
  <c r="X41" i="1"/>
  <c r="X43" i="1"/>
  <c r="X45" i="1"/>
  <c r="X47" i="1"/>
  <c r="X49" i="1"/>
  <c r="X51" i="1"/>
  <c r="X53" i="1"/>
  <c r="X55" i="1"/>
  <c r="X57" i="1"/>
  <c r="X59" i="1"/>
  <c r="X3" i="1"/>
  <c r="X5" i="1"/>
  <c r="X7" i="1"/>
  <c r="X9" i="1"/>
  <c r="X11" i="1"/>
  <c r="X13" i="1"/>
  <c r="X15" i="1"/>
  <c r="X17" i="1"/>
  <c r="X19" i="1"/>
  <c r="X21" i="1"/>
  <c r="X23" i="1"/>
  <c r="X25" i="1"/>
  <c r="X27" i="1"/>
  <c r="X29" i="1"/>
  <c r="X31" i="1"/>
  <c r="X33" i="1"/>
  <c r="X35" i="1"/>
  <c r="X37" i="1"/>
  <c r="X39" i="1"/>
  <c r="Y41" i="1"/>
  <c r="Y43" i="1"/>
  <c r="Y45" i="1"/>
  <c r="Y47" i="1"/>
  <c r="Y49" i="1"/>
  <c r="Y51" i="1"/>
  <c r="Y53" i="1"/>
  <c r="Y55" i="1"/>
  <c r="Y57" i="1"/>
  <c r="Y59" i="1"/>
  <c r="W41" i="1"/>
  <c r="W45" i="1"/>
  <c r="W49" i="1"/>
  <c r="W51" i="1"/>
  <c r="W53" i="1"/>
  <c r="W55" i="1"/>
  <c r="W57" i="1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<sst xmlns="http://schemas.openxmlformats.org/spreadsheetml/2006/main" count="793" uniqueCount="117">
  <si>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</si>
  <si>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</si>
  <si>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</si>
  <si>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</si>
  <si>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</si>
  <si>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</si>
  <si>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</si>
  <si>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</si>
  <si>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</si>
  <si>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</si>
  <si>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</si>
  <si>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</si>
  <si>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</si>
  <si>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</si>
  <si>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</si>
  <si>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</si>
  <si>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</si>
  <si>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</si>
  <si>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</si>
  <si>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</si>
  <si>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</si>
  <si>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</si>
  <si>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</si>
  <si>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</si>
  <si>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</si>
  <si>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</si>
  <si>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</si>
  <si>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</si>
  <si>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</si>
  <si>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</si>
  <si>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</si>
  <si>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</si>
  <si>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</si>
  <si>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</si>
  <si>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</si>
  <si>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</si>
  <si>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</si>
  <si>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</si>
  <si>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</si>
  <si>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</si>
  <si>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</si>
  <si>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</si>
  <si>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</si>
  <si>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</si>
  <si>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</si>
  <si>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</si>
  <si>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</si>
  <si>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</si>
  <si>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</si>
  <si>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</si>
  <si>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</si>
  <si>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</si>
  <si>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</si>
  <si>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</si>
  <si>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</si>
  <si>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</si>
  <si>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</si>
  <si>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</si>
  <si>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</si>
  <si>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</si>
  <si>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</si>
  <si>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</si>
  <si>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</si>
  <si>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</si>
  <si>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</si>
  <si>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</si>
  <si>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</si>
  <si>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</si>
  <si>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</si>
  <si>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</si>
  <si>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</si>
  <si>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</si>
  <si>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</si>
  <si>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</si>
  <si>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</si>
  <si>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</si>
  <si>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</si>
  <si>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</si>
  <si>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</si>
  <si>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</si>
  <si>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</si>
  <si>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</si>
  <si>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</si>
  <si>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</si>
  <si>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V</t>
  </si>
  <si>
    <t>acciones negativas</t>
  </si>
  <si>
    <t>Goles/Lanzamientos</t>
  </si>
  <si>
    <t>Eficiencia</t>
  </si>
  <si>
    <t>Acciones positivas</t>
  </si>
  <si>
    <t>Acciones negativas</t>
  </si>
  <si>
    <t>VIROLAI VORAMAR (L)</t>
  </si>
  <si>
    <t>LA ROCA (V)</t>
  </si>
  <si>
    <t>BCN SANTS (L)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</si>
  <si>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</si>
  <si>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</si>
  <si>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</si>
  <si>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</si>
  <si>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</si>
  <si>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</si>
  <si>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/>
  </si>
  <si>
    <t>PROMEDIO RECUPERACIONES</t>
  </si>
  <si>
    <t>PROMEDIO EXC. PROVOCADAS</t>
  </si>
  <si>
    <t>PROMEDIO PENALTI PROVOCADOS</t>
  </si>
  <si>
    <t>PROMEDIO ASISTENCIAS</t>
  </si>
  <si>
    <t>VIROLAI VORAMAR (V)</t>
  </si>
  <si>
    <t>LA ROCA (L)</t>
  </si>
  <si>
    <t>BCN SANTS (V)</t>
  </si>
  <si>
    <t>Goles/Lanzamientos/Eficiencia</t>
  </si>
  <si>
    <t>Acciones Positivas</t>
  </si>
  <si>
    <t>Acciones Negativas</t>
  </si>
  <si>
    <t>CREU ALTA (L)</t>
  </si>
  <si>
    <t>BM GRANOLLERS (L)</t>
  </si>
  <si>
    <t>CREU ALTA (V)</t>
  </si>
  <si>
    <t>BM GRANOLLERS (V)</t>
  </si>
  <si>
    <t>Lanzam. 7m</t>
  </si>
  <si>
    <t>Goles 7m</t>
  </si>
  <si>
    <t>dorsal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</si>
</sst>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48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5" fillId="0" borderId="0" xfId="2" applyFont="1" applyAlignment="1" applyProtection="1">
      <alignment horizontal="center"/>
      <protection locked="0"/>
    </xf>
    <xf numFmtId="0" fontId="7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9" fillId="6" borderId="1" xfId="0" applyFont="1" applyFill="1" applyBorder="1"/>
    <xf numFmtId="166" fontId="0" fillId="0" borderId="0" xfId="0" applyNumberFormat="1"/>
    <xf numFmtId="0" fontId="0" fillId="0" borderId="0" xfId="0" applyNumberFormat="1"/>
    <xf numFmtId="1" fontId="2" fillId="2" borderId="0" xfId="1" applyNumberFormat="1" applyFont="1" applyFill="1" applyAlignment="1">
      <alignment horizontal="center"/>
    </xf>
    <xf numFmtId="1" fontId="1" fillId="0" borderId="0" xfId="1" applyNumberForma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49" fontId="10" fillId="6" borderId="4" xfId="0" applyNumberFormat="1" applyFont="1" applyFill="1" applyBorder="1" applyAlignment="1">
      <alignment horizontal="center"/>
    </xf>
    <xf numFmtId="49" fontId="10" fillId="6" borderId="5" xfId="0" applyNumberFormat="1" applyFont="1" applyFill="1" applyBorder="1" applyAlignment="1">
      <alignment horizontal="center"/>
    </xf>
    <xf numFmtId="49" fontId="10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52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51"/>
      <tableStyleElement type="headerRow" dxfId="50"/>
    </tableStyle>
    <tableStyle name="mi estilo personalizado 2" pivot="0" table="0" count="10" xr9:uid="{3D081C6B-30F4-4F84-BB75-048369B2BAFE}">
      <tableStyleElement type="wholeTable" dxfId="49"/>
      <tableStyleElement type="headerRow" dxfId="48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83.449477351916386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13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19</c:v>
                </c:pt>
                <c:pt idx="8">
                  <c:v>12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12</c:v>
                </c:pt>
                <c:pt idx="1">
                  <c:v>26</c:v>
                </c:pt>
                <c:pt idx="2">
                  <c:v>11</c:v>
                </c:pt>
                <c:pt idx="3">
                  <c:v>9</c:v>
                </c:pt>
                <c:pt idx="4">
                  <c:v>25</c:v>
                </c:pt>
                <c:pt idx="5">
                  <c:v>12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47.826086956521742</c:v>
                </c:pt>
                <c:pt idx="1">
                  <c:v>29.72972972972973</c:v>
                </c:pt>
                <c:pt idx="2">
                  <c:v>54.166666666666664</c:v>
                </c:pt>
                <c:pt idx="3">
                  <c:v>43.75</c:v>
                </c:pt>
                <c:pt idx="4">
                  <c:v>26.47058823529412</c:v>
                </c:pt>
                <c:pt idx="5">
                  <c:v>47.826086956521742</c:v>
                </c:pt>
                <c:pt idx="6">
                  <c:v>58.333333333333336</c:v>
                </c:pt>
                <c:pt idx="7">
                  <c:v>61.29032258064516</c:v>
                </c:pt>
                <c:pt idx="8">
                  <c:v>54.54545454545454</c:v>
                </c:pt>
                <c:pt idx="9">
                  <c:v>40.74074074074074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45.21072796934866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29</c:v>
                </c:pt>
                <c:pt idx="1">
                  <c:v>19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33</c:v>
                </c:pt>
                <c:pt idx="6">
                  <c:v>31</c:v>
                </c:pt>
                <c:pt idx="7">
                  <c:v>32</c:v>
                </c:pt>
                <c:pt idx="8">
                  <c:v>29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27</c:v>
                </c:pt>
                <c:pt idx="3">
                  <c:v>32</c:v>
                </c:pt>
                <c:pt idx="4">
                  <c:v>11</c:v>
                </c:pt>
                <c:pt idx="5">
                  <c:v>19</c:v>
                </c:pt>
                <c:pt idx="6">
                  <c:v>26</c:v>
                </c:pt>
                <c:pt idx="7">
                  <c:v>16</c:v>
                </c:pt>
                <c:pt idx="8">
                  <c:v>25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5">
                  <c:v>4</c:v>
                </c:pt>
                <c:pt idx="7">
                  <c:v>11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70-4530-9BFB-B9C4C300D1B0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11</c:v>
                </c:pt>
                <c:pt idx="5">
                  <c:v>11</c:v>
                </c:pt>
                <c:pt idx="7">
                  <c:v>15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70-4530-9BFB-B9C4C300D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0.7</c:v>
                </c:pt>
                <c:pt idx="1">
                  <c:v>0.35</c:v>
                </c:pt>
                <c:pt idx="2">
                  <c:v>0.63636363636363635</c:v>
                </c:pt>
                <c:pt idx="3">
                  <c:v>#N/A</c:v>
                </c:pt>
                <c:pt idx="4">
                  <c:v>#N/A</c:v>
                </c:pt>
                <c:pt idx="5">
                  <c:v>0.36363636363636365</c:v>
                </c:pt>
                <c:pt idx="6">
                  <c:v>#N/A</c:v>
                </c:pt>
                <c:pt idx="7">
                  <c:v>0.73333333333333328</c:v>
                </c:pt>
                <c:pt idx="8">
                  <c:v>0.6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55</c:v>
                </c:pt>
                <c:pt idx="1">
                  <c:v>55</c:v>
                </c:pt>
                <c:pt idx="2">
                  <c:v>52</c:v>
                </c:pt>
                <c:pt idx="3">
                  <c:v>50</c:v>
                </c:pt>
                <c:pt idx="4">
                  <c:v>38</c:v>
                </c:pt>
                <c:pt idx="5">
                  <c:v>45</c:v>
                </c:pt>
                <c:pt idx="6">
                  <c:v>55</c:v>
                </c:pt>
                <c:pt idx="7">
                  <c:v>51</c:v>
                </c:pt>
                <c:pt idx="8">
                  <c:v>43</c:v>
                </c:pt>
                <c:pt idx="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62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52</c:v>
                </c:pt>
                <c:pt idx="5">
                  <c:v>54</c:v>
                </c:pt>
                <c:pt idx="6">
                  <c:v>64</c:v>
                </c:pt>
                <c:pt idx="7">
                  <c:v>60</c:v>
                </c:pt>
                <c:pt idx="8">
                  <c:v>51</c:v>
                </c:pt>
                <c:pt idx="9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88.709677419354833</c:v>
                </c:pt>
                <c:pt idx="1">
                  <c:v>83.333333333333343</c:v>
                </c:pt>
                <c:pt idx="2">
                  <c:v>86.666666666666671</c:v>
                </c:pt>
                <c:pt idx="3">
                  <c:v>83.333333333333343</c:v>
                </c:pt>
                <c:pt idx="4">
                  <c:v>73.076923076923066</c:v>
                </c:pt>
                <c:pt idx="5">
                  <c:v>83.333333333333343</c:v>
                </c:pt>
                <c:pt idx="6">
                  <c:v>85.9375</c:v>
                </c:pt>
                <c:pt idx="7">
                  <c:v>85</c:v>
                </c:pt>
                <c:pt idx="8">
                  <c:v>84.313725490196077</c:v>
                </c:pt>
                <c:pt idx="9">
                  <c:v>77.777777777777786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83.449477351916386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11</c:v>
                </c:pt>
                <c:pt idx="1">
                  <c:v>11</c:v>
                </c:pt>
                <c:pt idx="2">
                  <c:v>13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14</c:v>
                </c:pt>
                <c:pt idx="7">
                  <c:v>19</c:v>
                </c:pt>
                <c:pt idx="8">
                  <c:v>12</c:v>
                </c:pt>
                <c:pt idx="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12</c:v>
                </c:pt>
                <c:pt idx="1">
                  <c:v>26</c:v>
                </c:pt>
                <c:pt idx="2">
                  <c:v>11</c:v>
                </c:pt>
                <c:pt idx="3">
                  <c:v>9</c:v>
                </c:pt>
                <c:pt idx="4">
                  <c:v>25</c:v>
                </c:pt>
                <c:pt idx="5">
                  <c:v>12</c:v>
                </c:pt>
                <c:pt idx="6">
                  <c:v>10</c:v>
                </c:pt>
                <c:pt idx="7">
                  <c:v>12</c:v>
                </c:pt>
                <c:pt idx="8">
                  <c:v>10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47.826086956521742</c:v>
                </c:pt>
                <c:pt idx="1">
                  <c:v>29.72972972972973</c:v>
                </c:pt>
                <c:pt idx="2">
                  <c:v>54.166666666666664</c:v>
                </c:pt>
                <c:pt idx="3">
                  <c:v>43.75</c:v>
                </c:pt>
                <c:pt idx="4">
                  <c:v>26.47058823529412</c:v>
                </c:pt>
                <c:pt idx="5">
                  <c:v>47.826086956521742</c:v>
                </c:pt>
                <c:pt idx="6">
                  <c:v>58.333333333333336</c:v>
                </c:pt>
                <c:pt idx="7">
                  <c:v>61.29032258064516</c:v>
                </c:pt>
                <c:pt idx="8">
                  <c:v>54.54545454545454</c:v>
                </c:pt>
                <c:pt idx="9">
                  <c:v>40.74074074074074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45.21072796934866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29</c:v>
                </c:pt>
                <c:pt idx="1">
                  <c:v>19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33</c:v>
                </c:pt>
                <c:pt idx="6">
                  <c:v>31</c:v>
                </c:pt>
                <c:pt idx="7">
                  <c:v>32</c:v>
                </c:pt>
                <c:pt idx="8">
                  <c:v>29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27</c:v>
                </c:pt>
                <c:pt idx="3">
                  <c:v>32</c:v>
                </c:pt>
                <c:pt idx="4">
                  <c:v>11</c:v>
                </c:pt>
                <c:pt idx="5">
                  <c:v>19</c:v>
                </c:pt>
                <c:pt idx="6">
                  <c:v>26</c:v>
                </c:pt>
                <c:pt idx="7">
                  <c:v>16</c:v>
                </c:pt>
                <c:pt idx="8">
                  <c:v>25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5">
                  <c:v>4</c:v>
                </c:pt>
                <c:pt idx="7">
                  <c:v>11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0-4525-A40A-6509AFEB29D1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11</c:v>
                </c:pt>
                <c:pt idx="5">
                  <c:v>11</c:v>
                </c:pt>
                <c:pt idx="7">
                  <c:v>15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0-4525-A40A-6509AFEB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Eudald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0.7</c:v>
                </c:pt>
                <c:pt idx="1">
                  <c:v>0.35</c:v>
                </c:pt>
                <c:pt idx="2">
                  <c:v>0.63636363636363635</c:v>
                </c:pt>
                <c:pt idx="3">
                  <c:v>#N/A</c:v>
                </c:pt>
                <c:pt idx="4">
                  <c:v>#N/A</c:v>
                </c:pt>
                <c:pt idx="5">
                  <c:v>0.36363636363636365</c:v>
                </c:pt>
                <c:pt idx="6">
                  <c:v>#N/A</c:v>
                </c:pt>
                <c:pt idx="7">
                  <c:v>0.73333333333333328</c:v>
                </c:pt>
                <c:pt idx="8">
                  <c:v>0.6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0.54545454545454541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0.7</c:v>
                </c:pt>
                <c:pt idx="1">
                  <c:v>0.35</c:v>
                </c:pt>
                <c:pt idx="2">
                  <c:v>0.63636363636363635</c:v>
                </c:pt>
                <c:pt idx="3">
                  <c:v>#N/A</c:v>
                </c:pt>
                <c:pt idx="4">
                  <c:v>#N/A</c:v>
                </c:pt>
                <c:pt idx="5">
                  <c:v>0.36363636363636365</c:v>
                </c:pt>
                <c:pt idx="6">
                  <c:v>#N/A</c:v>
                </c:pt>
                <c:pt idx="7">
                  <c:v>0.73333333333333328</c:v>
                </c:pt>
                <c:pt idx="8">
                  <c:v>0.6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0.54545454545454541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2</c:v>
                </c:pt>
                <c:pt idx="2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55</c:v>
                </c:pt>
                <c:pt idx="1">
                  <c:v>55</c:v>
                </c:pt>
                <c:pt idx="2">
                  <c:v>52</c:v>
                </c:pt>
                <c:pt idx="3">
                  <c:v>50</c:v>
                </c:pt>
                <c:pt idx="4">
                  <c:v>38</c:v>
                </c:pt>
                <c:pt idx="5">
                  <c:v>45</c:v>
                </c:pt>
                <c:pt idx="6">
                  <c:v>55</c:v>
                </c:pt>
                <c:pt idx="7">
                  <c:v>51</c:v>
                </c:pt>
                <c:pt idx="8">
                  <c:v>43</c:v>
                </c:pt>
                <c:pt idx="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62</c:v>
                </c:pt>
                <c:pt idx="1">
                  <c:v>66</c:v>
                </c:pt>
                <c:pt idx="2">
                  <c:v>60</c:v>
                </c:pt>
                <c:pt idx="3">
                  <c:v>60</c:v>
                </c:pt>
                <c:pt idx="4">
                  <c:v>52</c:v>
                </c:pt>
                <c:pt idx="5">
                  <c:v>54</c:v>
                </c:pt>
                <c:pt idx="6">
                  <c:v>64</c:v>
                </c:pt>
                <c:pt idx="7">
                  <c:v>60</c:v>
                </c:pt>
                <c:pt idx="8">
                  <c:v>51</c:v>
                </c:pt>
                <c:pt idx="9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88.709677419354833</c:v>
                </c:pt>
                <c:pt idx="1">
                  <c:v>83.333333333333343</c:v>
                </c:pt>
                <c:pt idx="2">
                  <c:v>86.666666666666671</c:v>
                </c:pt>
                <c:pt idx="3">
                  <c:v>83.333333333333343</c:v>
                </c:pt>
                <c:pt idx="4">
                  <c:v>73.076923076923066</c:v>
                </c:pt>
                <c:pt idx="5">
                  <c:v>83.333333333333343</c:v>
                </c:pt>
                <c:pt idx="6">
                  <c:v>85.9375</c:v>
                </c:pt>
                <c:pt idx="7">
                  <c:v>85</c:v>
                </c:pt>
                <c:pt idx="8">
                  <c:v>84.313725490196077</c:v>
                </c:pt>
                <c:pt idx="9">
                  <c:v>77.777777777777786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83.449477351916386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29</c:v>
                </c:pt>
                <c:pt idx="1">
                  <c:v>19</c:v>
                </c:pt>
                <c:pt idx="2">
                  <c:v>33</c:v>
                </c:pt>
                <c:pt idx="3">
                  <c:v>24</c:v>
                </c:pt>
                <c:pt idx="4">
                  <c:v>17</c:v>
                </c:pt>
                <c:pt idx="5">
                  <c:v>33</c:v>
                </c:pt>
                <c:pt idx="6">
                  <c:v>31</c:v>
                </c:pt>
                <c:pt idx="7">
                  <c:v>32</c:v>
                </c:pt>
                <c:pt idx="8">
                  <c:v>29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2</c:v>
                </c:pt>
                <c:pt idx="1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26</c:v>
                </c:pt>
                <c:pt idx="1">
                  <c:v>23</c:v>
                </c:pt>
                <c:pt idx="2">
                  <c:v>27</c:v>
                </c:pt>
                <c:pt idx="3">
                  <c:v>32</c:v>
                </c:pt>
                <c:pt idx="4">
                  <c:v>11</c:v>
                </c:pt>
                <c:pt idx="5">
                  <c:v>19</c:v>
                </c:pt>
                <c:pt idx="6">
                  <c:v>26</c:v>
                </c:pt>
                <c:pt idx="7">
                  <c:v>16</c:v>
                </c:pt>
                <c:pt idx="8">
                  <c:v>25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VIROLAI VORAMAR (L)</c:v>
                  </c:pt>
                  <c:pt idx="1">
                    <c:v>LA ROCA (V)</c:v>
                  </c:pt>
                  <c:pt idx="2">
                    <c:v>BCN SANTS (L)</c:v>
                  </c:pt>
                  <c:pt idx="3">
                    <c:v>CREU ALTA (V)</c:v>
                  </c:pt>
                  <c:pt idx="4">
                    <c:v>BM GRANOLLERS (L)</c:v>
                  </c:pt>
                  <c:pt idx="5">
                    <c:v>VIROLAI VORAMAR (V)</c:v>
                  </c:pt>
                  <c:pt idx="6">
                    <c:v>LA ROCA (L)</c:v>
                  </c:pt>
                  <c:pt idx="7">
                    <c:v>BCN SANTS (V)</c:v>
                  </c:pt>
                  <c:pt idx="8">
                    <c:v>CREU ALTA (L)</c:v>
                  </c:pt>
                  <c:pt idx="9">
                    <c:v>BM GRANOLLERS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179521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200582" y="1085584"/>
          <a:ext cx="4517993" cy="2323062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55%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79375</xdr:rowOff>
    </xdr:from>
    <xdr:to>
      <xdr:col>13</xdr:col>
      <xdr:colOff>269875</xdr:colOff>
      <xdr:row>6</xdr:row>
      <xdr:rowOff>56951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97917" y="79375"/>
          <a:ext cx="5058833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                    				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153461</xdr:colOff>
      <xdr:row>1</xdr:row>
      <xdr:rowOff>132294</xdr:rowOff>
    </xdr:from>
    <xdr:to>
      <xdr:col>8</xdr:col>
      <xdr:colOff>619127</xdr:colOff>
      <xdr:row>3</xdr:row>
      <xdr:rowOff>148169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011336" y="31750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349252</xdr:colOff>
      <xdr:row>1</xdr:row>
      <xdr:rowOff>132292</xdr:rowOff>
    </xdr:from>
    <xdr:to>
      <xdr:col>9</xdr:col>
      <xdr:colOff>5293</xdr:colOff>
      <xdr:row>3</xdr:row>
      <xdr:rowOff>148167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207127" y="31750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47,9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793751</xdr:colOff>
      <xdr:row>2</xdr:row>
      <xdr:rowOff>79375</xdr:rowOff>
    </xdr:from>
    <xdr:to>
      <xdr:col>8</xdr:col>
      <xdr:colOff>587376</xdr:colOff>
      <xdr:row>3</xdr:row>
      <xdr:rowOff>68792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42001" y="449792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45,2%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15875</xdr:colOff>
      <xdr:row>5</xdr:row>
      <xdr:rowOff>2540</xdr:rowOff>
    </xdr:from>
    <xdr:to>
      <xdr:col>13</xdr:col>
      <xdr:colOff>481541</xdr:colOff>
      <xdr:row>7</xdr:row>
      <xdr:rowOff>18416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9302750" y="92858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47414</xdr:colOff>
      <xdr:row>3</xdr:row>
      <xdr:rowOff>15160</xdr:rowOff>
    </xdr:from>
    <xdr:to>
      <xdr:col>10</xdr:col>
      <xdr:colOff>513080</xdr:colOff>
      <xdr:row>4</xdr:row>
      <xdr:rowOff>26459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24539" y="570785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259291</xdr:colOff>
      <xdr:row>1</xdr:row>
      <xdr:rowOff>140123</xdr:rowOff>
    </xdr:from>
    <xdr:to>
      <xdr:col>10</xdr:col>
      <xdr:colOff>724957</xdr:colOff>
      <xdr:row>3</xdr:row>
      <xdr:rowOff>155998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6416" y="325331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559857</xdr:colOff>
      <xdr:row>1</xdr:row>
      <xdr:rowOff>133774</xdr:rowOff>
    </xdr:from>
    <xdr:to>
      <xdr:col>13</xdr:col>
      <xdr:colOff>25398</xdr:colOff>
      <xdr:row>2</xdr:row>
      <xdr:rowOff>127000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46607" y="318982"/>
          <a:ext cx="465666" cy="178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236008</xdr:colOff>
      <xdr:row>2</xdr:row>
      <xdr:rowOff>79798</xdr:rowOff>
    </xdr:from>
    <xdr:to>
      <xdr:col>10</xdr:col>
      <xdr:colOff>701674</xdr:colOff>
      <xdr:row>3</xdr:row>
      <xdr:rowOff>79375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713133" y="450215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68791</xdr:colOff>
      <xdr:row>2</xdr:row>
      <xdr:rowOff>76622</xdr:rowOff>
    </xdr:from>
    <xdr:to>
      <xdr:col>13</xdr:col>
      <xdr:colOff>343957</xdr:colOff>
      <xdr:row>4</xdr:row>
      <xdr:rowOff>92498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65166" y="447039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261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83,4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45,2%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47,9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259.905110416665" createdVersion="8" refreshedVersion="6" minRefreshableVersion="3" recordCount="191" xr:uid="{1D5A0481-97D5-4A5B-AEA2-7E4FD00ADECA}">
  <cacheSource type="worksheet">
    <worksheetSource name="BD_ESTADISTICA_INF_B"/>
  </cacheSource>
  <cacheFields count="42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dorsal" numFmtId="0">
      <sharedItems containsString="0" containsBlank="1" containsNumber="1" containsInteger="1" minValue="1" maxValue="82"/>
    </cacheField>
    <cacheField name="Goles" numFmtId="0">
      <sharedItems containsString="0" containsBlank="1" containsNumber="1" containsInteger="1" minValue="0" maxValue="15"/>
    </cacheField>
    <cacheField name="Paradas" numFmtId="0">
      <sharedItems containsString="0" containsBlank="1" containsNumber="1" containsInteger="1" minValue="0" maxValue="11"/>
    </cacheField>
    <cacheField name="Lanzam." numFmtId="0">
      <sharedItems containsString="0" containsBlank="1" containsNumber="1" containsInteger="1" minValue="1" maxValue="34"/>
    </cacheField>
    <cacheField name="% lanz" numFmtId="9">
      <sharedItems containsBlank="1" containsMixedTypes="1" containsNumber="1" minValue="0" maxValue="1"/>
    </cacheField>
    <cacheField name="Lanzam. 7m" numFmtId="0">
      <sharedItems containsString="0" containsBlank="1" containsNumber="1" containsInteger="1" minValue="1" maxValue="3"/>
    </cacheField>
    <cacheField name="Goles 7m" numFmtId="0">
      <sharedItems containsString="0" containsBlank="1" containsNumber="1" containsInteger="1" minValue="1" maxValue="3"/>
    </cacheField>
    <cacheField name="Asistencia" numFmtId="0">
      <sharedItems containsString="0" containsBlank="1" containsNumber="1" containsInteger="1" minValue="1" maxValue="15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2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 u="1"/>
        <n v="12" u="1"/>
      </sharedItems>
    </cacheField>
    <cacheField name="FASE" numFmtId="0">
      <sharedItems containsSemiMixedTypes="0" containsString="0" containsNumber="1" containsInteger="1" minValue="1" maxValue="1"/>
    </cacheField>
    <cacheField name="L/V" numFmtId="0">
      <sharedItems/>
    </cacheField>
    <cacheField name="rival" numFmtId="0">
      <sharedItems containsBlank="1" count="36">
        <s v="VIROLAI VORAMAR (L)"/>
        <s v="LA ROCA (V)"/>
        <s v="BCN SANTS (L)"/>
        <s v="CREU ALTA (V)"/>
        <s v="BM GRANOLLERS (L)"/>
        <s v="VIROLAI VORAMAR (V)"/>
        <s v="LA ROCA (L)"/>
        <s v="BCN SANTS (V)"/>
        <s v="CREU ALTA (L)"/>
        <s v="BM GRANOLLERS (V)"/>
        <m u="1"/>
        <s v="CREU ALTA" u="1"/>
        <s v="prueba 5" u="1"/>
        <s v="CREU ALTA SABADELL" u="1"/>
        <s v="LA ROCA" u="1"/>
        <s v="UE SARRIA" u="1"/>
        <s v="CAMBRILS" u="1"/>
        <s v="VIROLAI VORAMAR" u="1"/>
        <s v="prueba 4" u="1"/>
        <s v="HC SANT BOI" u="1"/>
        <s v="prueba 9" u="1"/>
        <s v="ST. ESTEVE PALAUTORDERA" u="1"/>
        <s v="prueba 3" u="1"/>
        <s v="prueba 8" u="1"/>
        <s v="CA SABADELL" u="1"/>
        <s v="prueba 2" u="1"/>
        <s v="prueba 7" u="1"/>
        <s v="CH RIBES" u="1"/>
        <s v="DOMINICOS C" u="1"/>
        <s v="GRANOLLERS (V)" u="1"/>
        <s v="BM GRANOLLERS" u="1"/>
        <s v="prueba 1" u="1"/>
        <s v="prueba 6" u="1"/>
        <s v="H MOLINS" u="1"/>
        <s v="BCN SANTS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5"/>
    </cacheField>
    <cacheField name="goles contra" numFmtId="0">
      <sharedItems containsSemiMixedTypes="0" containsString="0" containsNumber="1" containsInteger="1" minValue="0" maxValue="25"/>
    </cacheField>
    <cacheField name="lanzamientos realizados" numFmtId="0">
      <sharedItems containsSemiMixedTypes="0" containsString="0" containsNumber="1" containsInteger="1" minValue="0" maxValue="16"/>
    </cacheField>
    <cacheField name="lanzamientos recibidos" numFmtId="0">
      <sharedItems containsSemiMixedTypes="0" containsString="0" containsNumber="1" containsInteger="1" minValue="0" maxValue="34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m/>
    <n v="6"/>
    <m/>
    <n v="6"/>
    <n v="1"/>
    <m/>
    <m/>
    <n v="1"/>
    <m/>
    <m/>
    <m/>
    <m/>
    <m/>
    <n v="1"/>
    <m/>
    <m/>
    <x v="0"/>
    <n v="1"/>
    <s v="L"/>
    <x v="0"/>
    <x v="0"/>
    <n v="6"/>
    <n v="0"/>
    <n v="6"/>
    <n v="0"/>
  </r>
  <r>
    <x v="1"/>
    <m/>
    <n v="6"/>
    <m/>
    <n v="7"/>
    <n v="0.8571428571428571"/>
    <m/>
    <m/>
    <n v="1"/>
    <m/>
    <m/>
    <m/>
    <m/>
    <m/>
    <n v="2"/>
    <m/>
    <m/>
    <x v="0"/>
    <n v="1"/>
    <s v="L"/>
    <x v="0"/>
    <x v="0"/>
    <n v="6"/>
    <n v="0"/>
    <n v="7"/>
    <n v="0"/>
  </r>
  <r>
    <x v="2"/>
    <m/>
    <n v="2"/>
    <m/>
    <n v="2"/>
    <n v="1"/>
    <m/>
    <m/>
    <n v="5"/>
    <m/>
    <m/>
    <m/>
    <m/>
    <m/>
    <n v="1"/>
    <n v="1"/>
    <n v="1"/>
    <x v="0"/>
    <n v="1"/>
    <s v="L"/>
    <x v="0"/>
    <x v="0"/>
    <n v="2"/>
    <n v="0"/>
    <n v="2"/>
    <n v="0"/>
  </r>
  <r>
    <x v="3"/>
    <m/>
    <n v="4"/>
    <m/>
    <n v="5"/>
    <n v="0.8"/>
    <m/>
    <m/>
    <n v="3"/>
    <m/>
    <n v="1"/>
    <m/>
    <m/>
    <m/>
    <m/>
    <m/>
    <m/>
    <x v="0"/>
    <n v="1"/>
    <s v="L"/>
    <x v="0"/>
    <x v="0"/>
    <n v="4"/>
    <n v="0"/>
    <n v="5"/>
    <n v="0"/>
  </r>
  <r>
    <x v="4"/>
    <m/>
    <n v="2"/>
    <m/>
    <n v="3"/>
    <n v="0.66666666666666663"/>
    <m/>
    <m/>
    <n v="1"/>
    <n v="1"/>
    <m/>
    <m/>
    <m/>
    <m/>
    <n v="1"/>
    <m/>
    <m/>
    <x v="0"/>
    <n v="1"/>
    <s v="L"/>
    <x v="0"/>
    <x v="0"/>
    <n v="2"/>
    <n v="0"/>
    <n v="3"/>
    <n v="0"/>
  </r>
  <r>
    <x v="5"/>
    <m/>
    <n v="7"/>
    <m/>
    <n v="9"/>
    <n v="0.77777777777777779"/>
    <m/>
    <m/>
    <n v="1"/>
    <m/>
    <m/>
    <m/>
    <m/>
    <m/>
    <m/>
    <m/>
    <n v="1"/>
    <x v="0"/>
    <n v="1"/>
    <s v="L"/>
    <x v="0"/>
    <x v="0"/>
    <n v="7"/>
    <n v="0"/>
    <n v="9"/>
    <n v="0"/>
  </r>
  <r>
    <x v="6"/>
    <m/>
    <n v="1"/>
    <m/>
    <n v="2"/>
    <n v="0.5"/>
    <m/>
    <m/>
    <n v="2"/>
    <n v="1"/>
    <m/>
    <m/>
    <m/>
    <m/>
    <n v="4"/>
    <m/>
    <m/>
    <x v="0"/>
    <n v="1"/>
    <s v="L"/>
    <x v="0"/>
    <x v="0"/>
    <n v="1"/>
    <n v="0"/>
    <n v="2"/>
    <n v="0"/>
  </r>
  <r>
    <x v="7"/>
    <m/>
    <n v="2"/>
    <m/>
    <n v="2"/>
    <n v="1"/>
    <m/>
    <m/>
    <n v="1"/>
    <m/>
    <m/>
    <m/>
    <m/>
    <m/>
    <n v="1"/>
    <m/>
    <m/>
    <x v="0"/>
    <n v="1"/>
    <s v="L"/>
    <x v="0"/>
    <x v="0"/>
    <n v="2"/>
    <n v="0"/>
    <n v="2"/>
    <n v="0"/>
  </r>
  <r>
    <x v="8"/>
    <m/>
    <n v="5"/>
    <m/>
    <n v="5"/>
    <n v="1"/>
    <m/>
    <m/>
    <n v="2"/>
    <n v="1"/>
    <n v="2"/>
    <m/>
    <m/>
    <m/>
    <n v="3"/>
    <m/>
    <m/>
    <x v="0"/>
    <n v="1"/>
    <s v="L"/>
    <x v="0"/>
    <x v="0"/>
    <n v="5"/>
    <n v="0"/>
    <n v="5"/>
    <n v="0"/>
  </r>
  <r>
    <x v="9"/>
    <m/>
    <m/>
    <m/>
    <m/>
    <s v=""/>
    <m/>
    <m/>
    <m/>
    <m/>
    <m/>
    <m/>
    <m/>
    <m/>
    <m/>
    <m/>
    <m/>
    <x v="0"/>
    <n v="1"/>
    <s v="L"/>
    <x v="0"/>
    <x v="0"/>
    <n v="0"/>
    <n v="0"/>
    <n v="0"/>
    <n v="0"/>
  </r>
  <r>
    <x v="10"/>
    <m/>
    <n v="2"/>
    <m/>
    <n v="2"/>
    <n v="1"/>
    <m/>
    <m/>
    <n v="6"/>
    <m/>
    <n v="3"/>
    <m/>
    <m/>
    <m/>
    <n v="5"/>
    <m/>
    <m/>
    <x v="0"/>
    <n v="1"/>
    <s v="L"/>
    <x v="0"/>
    <x v="0"/>
    <n v="2"/>
    <n v="0"/>
    <n v="2"/>
    <n v="0"/>
  </r>
  <r>
    <x v="11"/>
    <m/>
    <m/>
    <m/>
    <m/>
    <s v=""/>
    <m/>
    <m/>
    <m/>
    <m/>
    <m/>
    <m/>
    <m/>
    <m/>
    <m/>
    <m/>
    <m/>
    <x v="0"/>
    <n v="1"/>
    <s v="L"/>
    <x v="0"/>
    <x v="0"/>
    <n v="0"/>
    <n v="0"/>
    <n v="0"/>
    <n v="0"/>
  </r>
  <r>
    <x v="12"/>
    <m/>
    <n v="10"/>
    <m/>
    <n v="11"/>
    <n v="0.90909090909090906"/>
    <m/>
    <m/>
    <m/>
    <m/>
    <m/>
    <m/>
    <m/>
    <m/>
    <n v="7"/>
    <m/>
    <m/>
    <x v="0"/>
    <n v="1"/>
    <s v="L"/>
    <x v="0"/>
    <x v="0"/>
    <n v="10"/>
    <n v="0"/>
    <n v="11"/>
    <n v="0"/>
  </r>
  <r>
    <x v="13"/>
    <m/>
    <n v="3"/>
    <m/>
    <n v="3"/>
    <n v="1"/>
    <m/>
    <m/>
    <n v="4"/>
    <m/>
    <m/>
    <m/>
    <m/>
    <m/>
    <m/>
    <m/>
    <m/>
    <x v="0"/>
    <n v="1"/>
    <s v="L"/>
    <x v="0"/>
    <x v="0"/>
    <n v="3"/>
    <n v="0"/>
    <n v="3"/>
    <n v="0"/>
  </r>
  <r>
    <x v="14"/>
    <m/>
    <m/>
    <m/>
    <m/>
    <s v=""/>
    <m/>
    <m/>
    <m/>
    <m/>
    <m/>
    <m/>
    <m/>
    <m/>
    <m/>
    <m/>
    <m/>
    <x v="0"/>
    <n v="1"/>
    <s v="L"/>
    <x v="0"/>
    <x v="1"/>
    <n v="0"/>
    <n v="0"/>
    <n v="0"/>
    <n v="0"/>
  </r>
  <r>
    <x v="15"/>
    <m/>
    <n v="4"/>
    <n v="4"/>
    <n v="13"/>
    <n v="0.30769230769230771"/>
    <m/>
    <m/>
    <m/>
    <m/>
    <m/>
    <m/>
    <m/>
    <m/>
    <m/>
    <m/>
    <m/>
    <x v="0"/>
    <n v="1"/>
    <s v="L"/>
    <x v="0"/>
    <x v="1"/>
    <n v="0"/>
    <n v="9"/>
    <n v="0"/>
    <n v="13"/>
  </r>
  <r>
    <x v="16"/>
    <m/>
    <n v="7"/>
    <n v="7"/>
    <n v="10"/>
    <n v="0.7"/>
    <m/>
    <m/>
    <n v="2"/>
    <m/>
    <m/>
    <m/>
    <m/>
    <m/>
    <m/>
    <m/>
    <m/>
    <x v="0"/>
    <n v="1"/>
    <s v="L"/>
    <x v="0"/>
    <x v="1"/>
    <n v="0"/>
    <n v="3"/>
    <n v="0"/>
    <n v="10"/>
  </r>
  <r>
    <x v="17"/>
    <m/>
    <n v="5"/>
    <m/>
    <n v="5"/>
    <n v="1"/>
    <m/>
    <m/>
    <m/>
    <m/>
    <m/>
    <m/>
    <m/>
    <m/>
    <n v="1"/>
    <m/>
    <m/>
    <x v="0"/>
    <n v="1"/>
    <s v="L"/>
    <x v="0"/>
    <x v="0"/>
    <n v="5"/>
    <n v="0"/>
    <n v="5"/>
    <n v="0"/>
  </r>
  <r>
    <x v="18"/>
    <m/>
    <m/>
    <m/>
    <m/>
    <s v=""/>
    <m/>
    <m/>
    <m/>
    <m/>
    <m/>
    <n v="1"/>
    <m/>
    <m/>
    <m/>
    <m/>
    <m/>
    <x v="0"/>
    <n v="1"/>
    <s v="L"/>
    <x v="0"/>
    <x v="0"/>
    <n v="0"/>
    <n v="0"/>
    <n v="0"/>
    <n v="0"/>
  </r>
  <r>
    <x v="0"/>
    <m/>
    <n v="5"/>
    <m/>
    <n v="7"/>
    <n v="0.7142857142857143"/>
    <m/>
    <m/>
    <n v="2"/>
    <m/>
    <n v="1"/>
    <m/>
    <m/>
    <m/>
    <n v="2"/>
    <m/>
    <n v="1"/>
    <x v="1"/>
    <n v="1"/>
    <s v="V"/>
    <x v="1"/>
    <x v="0"/>
    <n v="5"/>
    <n v="0"/>
    <n v="7"/>
    <n v="0"/>
  </r>
  <r>
    <x v="1"/>
    <m/>
    <n v="2"/>
    <m/>
    <n v="2"/>
    <n v="1"/>
    <m/>
    <m/>
    <m/>
    <m/>
    <m/>
    <m/>
    <m/>
    <m/>
    <n v="1"/>
    <m/>
    <n v="1"/>
    <x v="1"/>
    <n v="1"/>
    <s v="V"/>
    <x v="1"/>
    <x v="0"/>
    <n v="2"/>
    <n v="0"/>
    <n v="2"/>
    <n v="0"/>
  </r>
  <r>
    <x v="2"/>
    <m/>
    <m/>
    <m/>
    <m/>
    <s v=""/>
    <m/>
    <m/>
    <n v="1"/>
    <m/>
    <n v="2"/>
    <m/>
    <m/>
    <m/>
    <m/>
    <m/>
    <m/>
    <x v="1"/>
    <n v="1"/>
    <s v="V"/>
    <x v="1"/>
    <x v="0"/>
    <n v="0"/>
    <n v="0"/>
    <n v="0"/>
    <n v="0"/>
  </r>
  <r>
    <x v="3"/>
    <m/>
    <n v="6"/>
    <m/>
    <n v="6"/>
    <n v="1"/>
    <m/>
    <m/>
    <n v="2"/>
    <m/>
    <n v="1"/>
    <m/>
    <m/>
    <m/>
    <n v="1"/>
    <m/>
    <m/>
    <x v="1"/>
    <n v="1"/>
    <s v="V"/>
    <x v="1"/>
    <x v="0"/>
    <n v="6"/>
    <n v="0"/>
    <n v="6"/>
    <n v="0"/>
  </r>
  <r>
    <x v="4"/>
    <m/>
    <m/>
    <m/>
    <m/>
    <s v=""/>
    <m/>
    <m/>
    <m/>
    <m/>
    <m/>
    <m/>
    <m/>
    <m/>
    <m/>
    <m/>
    <m/>
    <x v="1"/>
    <n v="1"/>
    <s v="V"/>
    <x v="1"/>
    <x v="0"/>
    <n v="0"/>
    <n v="0"/>
    <n v="0"/>
    <n v="0"/>
  </r>
  <r>
    <x v="5"/>
    <m/>
    <n v="3"/>
    <m/>
    <n v="3"/>
    <n v="1"/>
    <m/>
    <m/>
    <m/>
    <m/>
    <m/>
    <n v="1"/>
    <m/>
    <m/>
    <m/>
    <n v="1"/>
    <n v="1"/>
    <x v="1"/>
    <n v="1"/>
    <s v="V"/>
    <x v="1"/>
    <x v="0"/>
    <n v="3"/>
    <n v="0"/>
    <n v="3"/>
    <n v="0"/>
  </r>
  <r>
    <x v="6"/>
    <m/>
    <n v="2"/>
    <m/>
    <n v="4"/>
    <n v="0.5"/>
    <m/>
    <m/>
    <m/>
    <m/>
    <n v="1"/>
    <m/>
    <m/>
    <m/>
    <n v="1"/>
    <m/>
    <n v="1"/>
    <x v="1"/>
    <n v="1"/>
    <s v="V"/>
    <x v="1"/>
    <x v="0"/>
    <n v="2"/>
    <n v="0"/>
    <n v="4"/>
    <n v="0"/>
  </r>
  <r>
    <x v="7"/>
    <m/>
    <n v="1"/>
    <m/>
    <n v="2"/>
    <n v="0.5"/>
    <m/>
    <m/>
    <n v="1"/>
    <m/>
    <m/>
    <m/>
    <m/>
    <m/>
    <n v="2"/>
    <m/>
    <m/>
    <x v="1"/>
    <n v="1"/>
    <s v="V"/>
    <x v="1"/>
    <x v="0"/>
    <n v="1"/>
    <n v="0"/>
    <n v="2"/>
    <n v="0"/>
  </r>
  <r>
    <x v="8"/>
    <m/>
    <n v="8"/>
    <m/>
    <n v="10"/>
    <n v="0.8"/>
    <m/>
    <m/>
    <n v="1"/>
    <m/>
    <n v="1"/>
    <m/>
    <m/>
    <m/>
    <n v="1"/>
    <m/>
    <m/>
    <x v="1"/>
    <n v="1"/>
    <s v="V"/>
    <x v="1"/>
    <x v="0"/>
    <n v="8"/>
    <n v="0"/>
    <n v="10"/>
    <n v="0"/>
  </r>
  <r>
    <x v="9"/>
    <m/>
    <m/>
    <m/>
    <m/>
    <s v=""/>
    <m/>
    <m/>
    <m/>
    <m/>
    <m/>
    <m/>
    <m/>
    <m/>
    <m/>
    <m/>
    <m/>
    <x v="1"/>
    <n v="1"/>
    <s v="V"/>
    <x v="1"/>
    <x v="0"/>
    <n v="0"/>
    <n v="0"/>
    <n v="0"/>
    <n v="0"/>
  </r>
  <r>
    <x v="10"/>
    <m/>
    <n v="7"/>
    <m/>
    <n v="8"/>
    <n v="0.875"/>
    <m/>
    <m/>
    <n v="1"/>
    <m/>
    <m/>
    <m/>
    <m/>
    <n v="1"/>
    <n v="5"/>
    <m/>
    <m/>
    <x v="1"/>
    <n v="1"/>
    <s v="V"/>
    <x v="1"/>
    <x v="0"/>
    <n v="7"/>
    <n v="0"/>
    <n v="8"/>
    <n v="0"/>
  </r>
  <r>
    <x v="11"/>
    <m/>
    <n v="8"/>
    <m/>
    <n v="9"/>
    <n v="0.88888888888888884"/>
    <m/>
    <m/>
    <n v="4"/>
    <m/>
    <n v="1"/>
    <m/>
    <m/>
    <m/>
    <n v="3"/>
    <m/>
    <m/>
    <x v="1"/>
    <n v="1"/>
    <s v="V"/>
    <x v="1"/>
    <x v="0"/>
    <n v="8"/>
    <n v="0"/>
    <n v="9"/>
    <n v="0"/>
  </r>
  <r>
    <x v="12"/>
    <m/>
    <n v="11"/>
    <m/>
    <n v="11"/>
    <n v="1"/>
    <m/>
    <m/>
    <n v="1"/>
    <m/>
    <m/>
    <n v="1"/>
    <m/>
    <m/>
    <n v="6"/>
    <m/>
    <n v="1"/>
    <x v="1"/>
    <n v="1"/>
    <s v="V"/>
    <x v="1"/>
    <x v="0"/>
    <n v="11"/>
    <n v="0"/>
    <n v="11"/>
    <n v="0"/>
  </r>
  <r>
    <x v="13"/>
    <m/>
    <m/>
    <m/>
    <m/>
    <s v=""/>
    <m/>
    <m/>
    <n v="5"/>
    <m/>
    <n v="1"/>
    <m/>
    <m/>
    <m/>
    <m/>
    <m/>
    <n v="1"/>
    <x v="1"/>
    <n v="1"/>
    <s v="V"/>
    <x v="1"/>
    <x v="0"/>
    <n v="0"/>
    <n v="0"/>
    <n v="0"/>
    <n v="0"/>
  </r>
  <r>
    <x v="14"/>
    <m/>
    <n v="4"/>
    <n v="4"/>
    <n v="17"/>
    <n v="0.23529411764705882"/>
    <m/>
    <m/>
    <n v="1"/>
    <m/>
    <m/>
    <m/>
    <m/>
    <m/>
    <m/>
    <m/>
    <m/>
    <x v="1"/>
    <n v="1"/>
    <s v="V"/>
    <x v="1"/>
    <x v="1"/>
    <n v="0"/>
    <n v="13"/>
    <n v="0"/>
    <n v="17"/>
  </r>
  <r>
    <x v="15"/>
    <m/>
    <m/>
    <m/>
    <m/>
    <s v=""/>
    <m/>
    <m/>
    <m/>
    <m/>
    <m/>
    <m/>
    <m/>
    <m/>
    <m/>
    <m/>
    <m/>
    <x v="1"/>
    <n v="1"/>
    <s v="V"/>
    <x v="1"/>
    <x v="1"/>
    <n v="0"/>
    <n v="0"/>
    <n v="0"/>
    <n v="0"/>
  </r>
  <r>
    <x v="16"/>
    <m/>
    <n v="7"/>
    <n v="7"/>
    <n v="20"/>
    <n v="0.35"/>
    <m/>
    <m/>
    <m/>
    <m/>
    <n v="1"/>
    <m/>
    <m/>
    <m/>
    <m/>
    <m/>
    <m/>
    <x v="1"/>
    <n v="1"/>
    <s v="V"/>
    <x v="1"/>
    <x v="1"/>
    <n v="0"/>
    <n v="13"/>
    <n v="0"/>
    <n v="20"/>
  </r>
  <r>
    <x v="17"/>
    <m/>
    <n v="2"/>
    <m/>
    <n v="3"/>
    <n v="0.66666666666666663"/>
    <m/>
    <m/>
    <m/>
    <m/>
    <m/>
    <m/>
    <m/>
    <m/>
    <n v="1"/>
    <n v="2"/>
    <m/>
    <x v="1"/>
    <n v="1"/>
    <s v="V"/>
    <x v="1"/>
    <x v="0"/>
    <n v="2"/>
    <n v="0"/>
    <n v="3"/>
    <n v="0"/>
  </r>
  <r>
    <x v="18"/>
    <m/>
    <n v="0"/>
    <m/>
    <n v="1"/>
    <n v="0"/>
    <m/>
    <m/>
    <m/>
    <m/>
    <m/>
    <m/>
    <m/>
    <m/>
    <m/>
    <m/>
    <m/>
    <x v="1"/>
    <n v="1"/>
    <s v="V"/>
    <x v="1"/>
    <x v="0"/>
    <n v="0"/>
    <n v="0"/>
    <n v="1"/>
    <n v="0"/>
  </r>
  <r>
    <x v="0"/>
    <m/>
    <m/>
    <m/>
    <m/>
    <s v=""/>
    <m/>
    <m/>
    <m/>
    <m/>
    <m/>
    <m/>
    <m/>
    <m/>
    <m/>
    <m/>
    <m/>
    <x v="2"/>
    <n v="1"/>
    <s v="L"/>
    <x v="2"/>
    <x v="0"/>
    <n v="0"/>
    <n v="0"/>
    <n v="0"/>
    <n v="0"/>
  </r>
  <r>
    <x v="0"/>
    <m/>
    <n v="2"/>
    <m/>
    <n v="4"/>
    <m/>
    <m/>
    <m/>
    <n v="3"/>
    <n v="1"/>
    <n v="1"/>
    <m/>
    <m/>
    <m/>
    <n v="1"/>
    <m/>
    <m/>
    <x v="2"/>
    <n v="1"/>
    <s v="L"/>
    <x v="2"/>
    <x v="0"/>
    <n v="2"/>
    <n v="0"/>
    <n v="4"/>
    <n v="0"/>
  </r>
  <r>
    <x v="1"/>
    <m/>
    <n v="2"/>
    <m/>
    <n v="2"/>
    <n v="1"/>
    <m/>
    <m/>
    <n v="2"/>
    <n v="1"/>
    <m/>
    <m/>
    <m/>
    <m/>
    <n v="5"/>
    <m/>
    <m/>
    <x v="2"/>
    <n v="1"/>
    <s v="L"/>
    <x v="2"/>
    <x v="0"/>
    <n v="2"/>
    <n v="0"/>
    <n v="2"/>
    <n v="0"/>
  </r>
  <r>
    <x v="2"/>
    <m/>
    <m/>
    <m/>
    <m/>
    <s v=""/>
    <m/>
    <m/>
    <n v="7"/>
    <m/>
    <m/>
    <m/>
    <m/>
    <m/>
    <m/>
    <m/>
    <m/>
    <x v="2"/>
    <n v="1"/>
    <s v="L"/>
    <x v="2"/>
    <x v="0"/>
    <n v="0"/>
    <n v="0"/>
    <n v="0"/>
    <n v="0"/>
  </r>
  <r>
    <x v="3"/>
    <m/>
    <n v="4"/>
    <m/>
    <n v="4"/>
    <n v="1"/>
    <m/>
    <m/>
    <n v="4"/>
    <m/>
    <m/>
    <m/>
    <m/>
    <m/>
    <n v="1"/>
    <m/>
    <m/>
    <x v="2"/>
    <n v="1"/>
    <s v="L"/>
    <x v="2"/>
    <x v="0"/>
    <n v="4"/>
    <n v="0"/>
    <n v="4"/>
    <n v="0"/>
  </r>
  <r>
    <x v="4"/>
    <m/>
    <m/>
    <m/>
    <m/>
    <s v=""/>
    <m/>
    <m/>
    <m/>
    <m/>
    <m/>
    <m/>
    <m/>
    <m/>
    <m/>
    <m/>
    <m/>
    <x v="2"/>
    <n v="1"/>
    <s v="L"/>
    <x v="2"/>
    <x v="0"/>
    <n v="0"/>
    <n v="0"/>
    <n v="0"/>
    <n v="0"/>
  </r>
  <r>
    <x v="5"/>
    <m/>
    <m/>
    <m/>
    <m/>
    <s v=""/>
    <m/>
    <m/>
    <m/>
    <m/>
    <m/>
    <m/>
    <m/>
    <m/>
    <m/>
    <m/>
    <m/>
    <x v="2"/>
    <n v="1"/>
    <s v="L"/>
    <x v="2"/>
    <x v="0"/>
    <n v="0"/>
    <n v="0"/>
    <n v="0"/>
    <n v="0"/>
  </r>
  <r>
    <x v="6"/>
    <m/>
    <n v="2"/>
    <m/>
    <n v="2"/>
    <n v="1"/>
    <m/>
    <m/>
    <n v="3"/>
    <m/>
    <n v="1"/>
    <m/>
    <m/>
    <m/>
    <n v="1"/>
    <m/>
    <m/>
    <x v="2"/>
    <n v="1"/>
    <s v="L"/>
    <x v="2"/>
    <x v="0"/>
    <n v="2"/>
    <n v="0"/>
    <n v="2"/>
    <n v="0"/>
  </r>
  <r>
    <x v="7"/>
    <m/>
    <n v="1"/>
    <m/>
    <n v="2"/>
    <n v="0.5"/>
    <m/>
    <m/>
    <m/>
    <m/>
    <n v="1"/>
    <m/>
    <m/>
    <m/>
    <n v="4"/>
    <m/>
    <m/>
    <x v="2"/>
    <n v="1"/>
    <s v="L"/>
    <x v="2"/>
    <x v="0"/>
    <n v="1"/>
    <n v="0"/>
    <n v="2"/>
    <n v="0"/>
  </r>
  <r>
    <x v="8"/>
    <m/>
    <n v="7"/>
    <m/>
    <n v="7"/>
    <n v="1"/>
    <m/>
    <m/>
    <m/>
    <m/>
    <m/>
    <m/>
    <m/>
    <m/>
    <n v="1"/>
    <m/>
    <m/>
    <x v="2"/>
    <n v="1"/>
    <s v="L"/>
    <x v="2"/>
    <x v="0"/>
    <n v="7"/>
    <n v="0"/>
    <n v="7"/>
    <n v="0"/>
  </r>
  <r>
    <x v="9"/>
    <m/>
    <m/>
    <m/>
    <m/>
    <s v=""/>
    <m/>
    <m/>
    <m/>
    <m/>
    <m/>
    <m/>
    <m/>
    <m/>
    <m/>
    <m/>
    <m/>
    <x v="2"/>
    <n v="1"/>
    <s v="L"/>
    <x v="2"/>
    <x v="0"/>
    <n v="0"/>
    <n v="0"/>
    <n v="0"/>
    <n v="0"/>
  </r>
  <r>
    <x v="10"/>
    <m/>
    <n v="5"/>
    <m/>
    <n v="6"/>
    <n v="0.83333333333333337"/>
    <m/>
    <m/>
    <n v="1"/>
    <m/>
    <m/>
    <m/>
    <m/>
    <m/>
    <n v="2"/>
    <m/>
    <m/>
    <x v="2"/>
    <n v="1"/>
    <s v="L"/>
    <x v="2"/>
    <x v="0"/>
    <n v="5"/>
    <n v="0"/>
    <n v="6"/>
    <n v="0"/>
  </r>
  <r>
    <x v="11"/>
    <m/>
    <n v="8"/>
    <m/>
    <n v="8"/>
    <n v="1"/>
    <m/>
    <m/>
    <n v="5"/>
    <m/>
    <n v="1"/>
    <m/>
    <m/>
    <m/>
    <n v="4"/>
    <m/>
    <m/>
    <x v="2"/>
    <n v="1"/>
    <s v="L"/>
    <x v="2"/>
    <x v="0"/>
    <n v="8"/>
    <n v="0"/>
    <n v="8"/>
    <n v="0"/>
  </r>
  <r>
    <x v="12"/>
    <m/>
    <n v="15"/>
    <m/>
    <n v="16"/>
    <n v="0.9375"/>
    <m/>
    <m/>
    <n v="3"/>
    <m/>
    <m/>
    <m/>
    <m/>
    <m/>
    <n v="8"/>
    <m/>
    <m/>
    <x v="2"/>
    <n v="1"/>
    <s v="L"/>
    <x v="2"/>
    <x v="0"/>
    <n v="15"/>
    <n v="0"/>
    <n v="16"/>
    <n v="0"/>
  </r>
  <r>
    <x v="13"/>
    <m/>
    <n v="2"/>
    <m/>
    <n v="2"/>
    <n v="1"/>
    <m/>
    <m/>
    <n v="4"/>
    <m/>
    <n v="1"/>
    <m/>
    <m/>
    <m/>
    <m/>
    <m/>
    <m/>
    <x v="2"/>
    <n v="1"/>
    <s v="L"/>
    <x v="2"/>
    <x v="0"/>
    <n v="2"/>
    <n v="0"/>
    <n v="2"/>
    <n v="0"/>
  </r>
  <r>
    <x v="14"/>
    <m/>
    <m/>
    <m/>
    <m/>
    <s v=""/>
    <m/>
    <m/>
    <m/>
    <m/>
    <m/>
    <m/>
    <m/>
    <m/>
    <m/>
    <m/>
    <m/>
    <x v="2"/>
    <n v="1"/>
    <s v="L"/>
    <x v="2"/>
    <x v="1"/>
    <n v="0"/>
    <n v="0"/>
    <n v="0"/>
    <n v="0"/>
  </r>
  <r>
    <x v="15"/>
    <m/>
    <n v="6"/>
    <n v="6"/>
    <n v="13"/>
    <n v="0.46153846153846156"/>
    <m/>
    <m/>
    <m/>
    <m/>
    <m/>
    <m/>
    <m/>
    <m/>
    <m/>
    <m/>
    <m/>
    <x v="2"/>
    <n v="1"/>
    <s v="L"/>
    <x v="2"/>
    <x v="1"/>
    <n v="0"/>
    <n v="7"/>
    <n v="0"/>
    <n v="13"/>
  </r>
  <r>
    <x v="16"/>
    <m/>
    <n v="7"/>
    <n v="7"/>
    <n v="11"/>
    <n v="0.63636363636363635"/>
    <m/>
    <m/>
    <n v="1"/>
    <m/>
    <m/>
    <m/>
    <m/>
    <m/>
    <m/>
    <m/>
    <m/>
    <x v="2"/>
    <n v="1"/>
    <s v="L"/>
    <x v="2"/>
    <x v="1"/>
    <n v="0"/>
    <n v="4"/>
    <n v="0"/>
    <n v="11"/>
  </r>
  <r>
    <x v="17"/>
    <m/>
    <n v="4"/>
    <m/>
    <n v="7"/>
    <n v="0.5714285714285714"/>
    <m/>
    <m/>
    <m/>
    <m/>
    <m/>
    <m/>
    <m/>
    <m/>
    <m/>
    <m/>
    <m/>
    <x v="2"/>
    <n v="1"/>
    <s v="L"/>
    <x v="2"/>
    <x v="0"/>
    <n v="4"/>
    <n v="0"/>
    <n v="7"/>
    <n v="0"/>
  </r>
  <r>
    <x v="18"/>
    <m/>
    <m/>
    <m/>
    <m/>
    <s v=""/>
    <m/>
    <m/>
    <m/>
    <m/>
    <m/>
    <m/>
    <m/>
    <m/>
    <m/>
    <m/>
    <m/>
    <x v="2"/>
    <n v="1"/>
    <s v="L"/>
    <x v="2"/>
    <x v="0"/>
    <n v="0"/>
    <n v="0"/>
    <n v="0"/>
    <n v="0"/>
  </r>
  <r>
    <x v="0"/>
    <m/>
    <n v="0"/>
    <m/>
    <n v="2"/>
    <n v="0"/>
    <m/>
    <m/>
    <m/>
    <n v="2"/>
    <m/>
    <m/>
    <m/>
    <m/>
    <m/>
    <m/>
    <m/>
    <x v="3"/>
    <n v="1"/>
    <s v="V"/>
    <x v="3"/>
    <x v="0"/>
    <n v="0"/>
    <n v="0"/>
    <n v="2"/>
    <n v="0"/>
  </r>
  <r>
    <x v="1"/>
    <m/>
    <n v="4"/>
    <m/>
    <n v="4"/>
    <n v="1"/>
    <m/>
    <m/>
    <n v="1"/>
    <m/>
    <m/>
    <m/>
    <m/>
    <n v="1"/>
    <n v="1"/>
    <m/>
    <m/>
    <x v="3"/>
    <n v="1"/>
    <s v="V"/>
    <x v="3"/>
    <x v="0"/>
    <n v="4"/>
    <n v="0"/>
    <n v="4"/>
    <n v="0"/>
  </r>
  <r>
    <x v="2"/>
    <m/>
    <m/>
    <m/>
    <m/>
    <s v=""/>
    <m/>
    <m/>
    <m/>
    <m/>
    <m/>
    <m/>
    <m/>
    <m/>
    <m/>
    <m/>
    <m/>
    <x v="3"/>
    <n v="1"/>
    <s v="V"/>
    <x v="3"/>
    <x v="0"/>
    <n v="0"/>
    <n v="0"/>
    <n v="0"/>
    <n v="0"/>
  </r>
  <r>
    <x v="3"/>
    <m/>
    <n v="1"/>
    <m/>
    <n v="1"/>
    <n v="1"/>
    <m/>
    <m/>
    <n v="8"/>
    <m/>
    <m/>
    <m/>
    <m/>
    <m/>
    <n v="5"/>
    <m/>
    <m/>
    <x v="3"/>
    <n v="1"/>
    <s v="V"/>
    <x v="3"/>
    <x v="0"/>
    <n v="1"/>
    <n v="0"/>
    <n v="1"/>
    <n v="0"/>
  </r>
  <r>
    <x v="4"/>
    <m/>
    <m/>
    <m/>
    <m/>
    <s v=""/>
    <m/>
    <m/>
    <m/>
    <m/>
    <m/>
    <m/>
    <m/>
    <m/>
    <m/>
    <m/>
    <m/>
    <x v="3"/>
    <n v="1"/>
    <s v="V"/>
    <x v="3"/>
    <x v="0"/>
    <n v="0"/>
    <n v="0"/>
    <n v="0"/>
    <n v="0"/>
  </r>
  <r>
    <x v="5"/>
    <m/>
    <n v="5"/>
    <m/>
    <n v="6"/>
    <n v="0.83333333333333337"/>
    <m/>
    <m/>
    <m/>
    <m/>
    <m/>
    <m/>
    <m/>
    <m/>
    <n v="1"/>
    <m/>
    <m/>
    <x v="3"/>
    <n v="1"/>
    <s v="V"/>
    <x v="3"/>
    <x v="0"/>
    <n v="5"/>
    <n v="0"/>
    <n v="6"/>
    <n v="0"/>
  </r>
  <r>
    <x v="6"/>
    <m/>
    <n v="8"/>
    <m/>
    <n v="8"/>
    <n v="1"/>
    <m/>
    <m/>
    <n v="1"/>
    <m/>
    <n v="1"/>
    <m/>
    <m/>
    <m/>
    <n v="3"/>
    <m/>
    <m/>
    <x v="3"/>
    <n v="1"/>
    <s v="V"/>
    <x v="3"/>
    <x v="0"/>
    <n v="8"/>
    <n v="0"/>
    <n v="8"/>
    <n v="0"/>
  </r>
  <r>
    <x v="7"/>
    <m/>
    <n v="4"/>
    <m/>
    <n v="4"/>
    <n v="1"/>
    <m/>
    <m/>
    <m/>
    <m/>
    <m/>
    <m/>
    <m/>
    <m/>
    <n v="4"/>
    <m/>
    <m/>
    <x v="3"/>
    <n v="1"/>
    <s v="V"/>
    <x v="3"/>
    <x v="0"/>
    <n v="4"/>
    <n v="0"/>
    <n v="4"/>
    <n v="0"/>
  </r>
  <r>
    <x v="8"/>
    <m/>
    <m/>
    <m/>
    <m/>
    <s v=""/>
    <m/>
    <m/>
    <m/>
    <m/>
    <m/>
    <m/>
    <m/>
    <m/>
    <m/>
    <m/>
    <m/>
    <x v="3"/>
    <n v="1"/>
    <s v="V"/>
    <x v="3"/>
    <x v="0"/>
    <n v="0"/>
    <n v="0"/>
    <n v="0"/>
    <n v="0"/>
  </r>
  <r>
    <x v="9"/>
    <m/>
    <n v="1"/>
    <m/>
    <n v="1"/>
    <n v="1"/>
    <m/>
    <m/>
    <n v="1"/>
    <m/>
    <m/>
    <m/>
    <m/>
    <m/>
    <n v="1"/>
    <m/>
    <m/>
    <x v="3"/>
    <n v="1"/>
    <s v="V"/>
    <x v="3"/>
    <x v="0"/>
    <n v="1"/>
    <n v="0"/>
    <n v="1"/>
    <n v="0"/>
  </r>
  <r>
    <x v="10"/>
    <m/>
    <n v="5"/>
    <m/>
    <n v="5"/>
    <n v="1"/>
    <m/>
    <m/>
    <n v="4"/>
    <m/>
    <m/>
    <m/>
    <m/>
    <n v="1"/>
    <n v="2"/>
    <m/>
    <m/>
    <x v="3"/>
    <n v="1"/>
    <s v="V"/>
    <x v="3"/>
    <x v="0"/>
    <n v="5"/>
    <n v="0"/>
    <n v="5"/>
    <n v="0"/>
  </r>
  <r>
    <x v="11"/>
    <m/>
    <n v="4"/>
    <m/>
    <n v="4"/>
    <n v="1"/>
    <m/>
    <m/>
    <n v="2"/>
    <m/>
    <m/>
    <m/>
    <n v="1"/>
    <m/>
    <n v="4"/>
    <m/>
    <m/>
    <x v="3"/>
    <n v="1"/>
    <s v="V"/>
    <x v="3"/>
    <x v="0"/>
    <n v="4"/>
    <n v="0"/>
    <n v="4"/>
    <n v="0"/>
  </r>
  <r>
    <x v="12"/>
    <m/>
    <n v="12"/>
    <m/>
    <n v="15"/>
    <n v="0.8"/>
    <m/>
    <m/>
    <n v="2"/>
    <m/>
    <m/>
    <m/>
    <m/>
    <m/>
    <n v="8"/>
    <m/>
    <m/>
    <x v="3"/>
    <n v="1"/>
    <s v="V"/>
    <x v="3"/>
    <x v="0"/>
    <n v="12"/>
    <n v="0"/>
    <n v="15"/>
    <n v="0"/>
  </r>
  <r>
    <x v="13"/>
    <m/>
    <n v="3"/>
    <m/>
    <n v="4"/>
    <n v="0.75"/>
    <m/>
    <m/>
    <n v="5"/>
    <m/>
    <n v="1"/>
    <m/>
    <m/>
    <m/>
    <n v="2"/>
    <m/>
    <m/>
    <x v="3"/>
    <n v="1"/>
    <s v="V"/>
    <x v="3"/>
    <x v="0"/>
    <n v="3"/>
    <n v="0"/>
    <n v="4"/>
    <n v="0"/>
  </r>
  <r>
    <x v="14"/>
    <m/>
    <m/>
    <n v="0"/>
    <n v="1"/>
    <n v="0"/>
    <m/>
    <m/>
    <m/>
    <m/>
    <m/>
    <m/>
    <m/>
    <m/>
    <m/>
    <m/>
    <m/>
    <x v="3"/>
    <n v="1"/>
    <s v="V"/>
    <x v="3"/>
    <x v="1"/>
    <n v="0"/>
    <n v="1"/>
    <n v="0"/>
    <n v="1"/>
  </r>
  <r>
    <x v="15"/>
    <m/>
    <n v="7"/>
    <n v="7"/>
    <n v="15"/>
    <n v="0.46666666666666667"/>
    <m/>
    <m/>
    <m/>
    <m/>
    <n v="1"/>
    <m/>
    <m/>
    <m/>
    <m/>
    <m/>
    <m/>
    <x v="3"/>
    <n v="1"/>
    <s v="V"/>
    <x v="3"/>
    <x v="1"/>
    <n v="0"/>
    <n v="8"/>
    <n v="0"/>
    <n v="15"/>
  </r>
  <r>
    <x v="16"/>
    <m/>
    <m/>
    <m/>
    <m/>
    <s v=""/>
    <m/>
    <m/>
    <m/>
    <m/>
    <m/>
    <m/>
    <m/>
    <m/>
    <m/>
    <m/>
    <m/>
    <x v="3"/>
    <n v="1"/>
    <s v="V"/>
    <x v="3"/>
    <x v="1"/>
    <n v="0"/>
    <n v="0"/>
    <n v="0"/>
    <n v="0"/>
  </r>
  <r>
    <x v="17"/>
    <m/>
    <n v="3"/>
    <m/>
    <n v="4"/>
    <n v="0.75"/>
    <m/>
    <m/>
    <m/>
    <m/>
    <n v="1"/>
    <m/>
    <m/>
    <n v="1"/>
    <n v="1"/>
    <m/>
    <m/>
    <x v="3"/>
    <n v="1"/>
    <s v="V"/>
    <x v="3"/>
    <x v="0"/>
    <n v="3"/>
    <n v="0"/>
    <n v="4"/>
    <n v="0"/>
  </r>
  <r>
    <x v="18"/>
    <m/>
    <n v="0"/>
    <m/>
    <n v="2"/>
    <n v="0"/>
    <m/>
    <m/>
    <m/>
    <m/>
    <m/>
    <m/>
    <m/>
    <n v="1"/>
    <m/>
    <m/>
    <m/>
    <x v="3"/>
    <n v="1"/>
    <s v="V"/>
    <x v="3"/>
    <x v="0"/>
    <n v="0"/>
    <n v="0"/>
    <n v="2"/>
    <n v="0"/>
  </r>
  <r>
    <x v="0"/>
    <m/>
    <n v="0"/>
    <m/>
    <n v="1"/>
    <n v="0"/>
    <m/>
    <m/>
    <m/>
    <m/>
    <m/>
    <m/>
    <m/>
    <m/>
    <m/>
    <m/>
    <m/>
    <x v="4"/>
    <n v="1"/>
    <s v="L"/>
    <x v="4"/>
    <x v="0"/>
    <n v="0"/>
    <n v="0"/>
    <n v="1"/>
    <n v="0"/>
  </r>
  <r>
    <x v="1"/>
    <m/>
    <n v="2"/>
    <m/>
    <n v="4"/>
    <n v="0.5"/>
    <m/>
    <m/>
    <m/>
    <n v="1"/>
    <m/>
    <m/>
    <n v="1"/>
    <m/>
    <m/>
    <m/>
    <m/>
    <x v="4"/>
    <n v="1"/>
    <s v="L"/>
    <x v="4"/>
    <x v="0"/>
    <n v="2"/>
    <n v="0"/>
    <n v="4"/>
    <n v="0"/>
  </r>
  <r>
    <x v="2"/>
    <m/>
    <n v="1"/>
    <m/>
    <n v="1"/>
    <n v="1"/>
    <m/>
    <m/>
    <n v="1"/>
    <m/>
    <m/>
    <m/>
    <m/>
    <m/>
    <m/>
    <m/>
    <m/>
    <x v="4"/>
    <n v="1"/>
    <s v="L"/>
    <x v="4"/>
    <x v="0"/>
    <n v="1"/>
    <n v="0"/>
    <n v="1"/>
    <n v="0"/>
  </r>
  <r>
    <x v="3"/>
    <m/>
    <n v="1"/>
    <m/>
    <n v="5"/>
    <n v="0.2"/>
    <m/>
    <m/>
    <n v="9"/>
    <m/>
    <m/>
    <m/>
    <m/>
    <n v="1"/>
    <n v="3"/>
    <n v="1"/>
    <n v="1"/>
    <x v="4"/>
    <n v="1"/>
    <s v="L"/>
    <x v="4"/>
    <x v="0"/>
    <n v="1"/>
    <n v="0"/>
    <n v="5"/>
    <n v="0"/>
  </r>
  <r>
    <x v="4"/>
    <m/>
    <m/>
    <m/>
    <m/>
    <s v=""/>
    <m/>
    <m/>
    <m/>
    <m/>
    <m/>
    <m/>
    <m/>
    <m/>
    <m/>
    <m/>
    <m/>
    <x v="4"/>
    <n v="1"/>
    <s v="L"/>
    <x v="4"/>
    <x v="0"/>
    <n v="0"/>
    <n v="0"/>
    <n v="0"/>
    <n v="0"/>
  </r>
  <r>
    <x v="5"/>
    <m/>
    <n v="4"/>
    <m/>
    <n v="4"/>
    <n v="1"/>
    <m/>
    <m/>
    <n v="1"/>
    <m/>
    <n v="1"/>
    <m/>
    <n v="1"/>
    <m/>
    <m/>
    <m/>
    <m/>
    <x v="4"/>
    <n v="1"/>
    <s v="L"/>
    <x v="4"/>
    <x v="0"/>
    <n v="4"/>
    <n v="0"/>
    <n v="4"/>
    <n v="0"/>
  </r>
  <r>
    <x v="6"/>
    <m/>
    <n v="2"/>
    <m/>
    <n v="2"/>
    <n v="1"/>
    <m/>
    <m/>
    <m/>
    <n v="2"/>
    <m/>
    <m/>
    <m/>
    <m/>
    <m/>
    <m/>
    <m/>
    <x v="4"/>
    <n v="1"/>
    <s v="L"/>
    <x v="4"/>
    <x v="0"/>
    <n v="2"/>
    <n v="0"/>
    <n v="2"/>
    <n v="0"/>
  </r>
  <r>
    <x v="7"/>
    <m/>
    <n v="1"/>
    <m/>
    <n v="1"/>
    <n v="1"/>
    <m/>
    <m/>
    <m/>
    <n v="1"/>
    <n v="1"/>
    <m/>
    <m/>
    <m/>
    <n v="2"/>
    <m/>
    <m/>
    <x v="4"/>
    <n v="1"/>
    <s v="L"/>
    <x v="4"/>
    <x v="0"/>
    <n v="1"/>
    <n v="0"/>
    <n v="1"/>
    <n v="0"/>
  </r>
  <r>
    <x v="8"/>
    <m/>
    <n v="9"/>
    <m/>
    <n v="10"/>
    <n v="0.9"/>
    <m/>
    <m/>
    <n v="1"/>
    <m/>
    <m/>
    <m/>
    <m/>
    <m/>
    <n v="2"/>
    <n v="1"/>
    <n v="2"/>
    <x v="4"/>
    <n v="1"/>
    <s v="L"/>
    <x v="4"/>
    <x v="0"/>
    <n v="9"/>
    <n v="0"/>
    <n v="10"/>
    <n v="0"/>
  </r>
  <r>
    <x v="9"/>
    <m/>
    <n v="0"/>
    <m/>
    <n v="1"/>
    <n v="0"/>
    <m/>
    <m/>
    <m/>
    <n v="2"/>
    <m/>
    <m/>
    <m/>
    <m/>
    <m/>
    <m/>
    <m/>
    <x v="4"/>
    <n v="1"/>
    <s v="L"/>
    <x v="4"/>
    <x v="0"/>
    <n v="0"/>
    <n v="0"/>
    <n v="1"/>
    <n v="0"/>
  </r>
  <r>
    <x v="10"/>
    <m/>
    <n v="4"/>
    <m/>
    <n v="4"/>
    <n v="1"/>
    <m/>
    <m/>
    <n v="1"/>
    <n v="1"/>
    <n v="1"/>
    <m/>
    <m/>
    <m/>
    <m/>
    <m/>
    <n v="1"/>
    <x v="4"/>
    <n v="1"/>
    <s v="L"/>
    <x v="4"/>
    <x v="0"/>
    <n v="4"/>
    <n v="0"/>
    <n v="4"/>
    <n v="0"/>
  </r>
  <r>
    <x v="11"/>
    <m/>
    <n v="0"/>
    <m/>
    <n v="2"/>
    <n v="0"/>
    <m/>
    <m/>
    <n v="3"/>
    <m/>
    <n v="2"/>
    <m/>
    <m/>
    <m/>
    <m/>
    <m/>
    <m/>
    <x v="4"/>
    <n v="1"/>
    <s v="L"/>
    <x v="4"/>
    <x v="0"/>
    <n v="0"/>
    <n v="0"/>
    <n v="2"/>
    <n v="0"/>
  </r>
  <r>
    <x v="12"/>
    <m/>
    <n v="12"/>
    <m/>
    <n v="13"/>
    <n v="0.92307692307692313"/>
    <m/>
    <m/>
    <n v="1"/>
    <n v="1"/>
    <m/>
    <m/>
    <m/>
    <m/>
    <n v="4"/>
    <m/>
    <m/>
    <x v="4"/>
    <n v="1"/>
    <s v="L"/>
    <x v="4"/>
    <x v="0"/>
    <n v="12"/>
    <n v="0"/>
    <n v="13"/>
    <n v="0"/>
  </r>
  <r>
    <x v="13"/>
    <m/>
    <n v="2"/>
    <m/>
    <n v="2"/>
    <n v="1"/>
    <m/>
    <m/>
    <m/>
    <m/>
    <n v="1"/>
    <m/>
    <m/>
    <m/>
    <m/>
    <m/>
    <m/>
    <x v="4"/>
    <n v="1"/>
    <s v="L"/>
    <x v="4"/>
    <x v="0"/>
    <n v="2"/>
    <n v="0"/>
    <n v="2"/>
    <n v="0"/>
  </r>
  <r>
    <x v="14"/>
    <m/>
    <m/>
    <m/>
    <m/>
    <s v=""/>
    <m/>
    <m/>
    <m/>
    <m/>
    <m/>
    <m/>
    <m/>
    <m/>
    <m/>
    <m/>
    <m/>
    <x v="4"/>
    <n v="1"/>
    <s v="L"/>
    <x v="4"/>
    <x v="1"/>
    <n v="0"/>
    <n v="0"/>
    <n v="0"/>
    <n v="0"/>
  </r>
  <r>
    <x v="15"/>
    <m/>
    <n v="9"/>
    <n v="9"/>
    <n v="34"/>
    <n v="0.26470588235294118"/>
    <m/>
    <m/>
    <m/>
    <m/>
    <m/>
    <m/>
    <m/>
    <m/>
    <m/>
    <m/>
    <m/>
    <x v="4"/>
    <n v="1"/>
    <s v="L"/>
    <x v="4"/>
    <x v="1"/>
    <n v="0"/>
    <n v="25"/>
    <n v="0"/>
    <n v="34"/>
  </r>
  <r>
    <x v="16"/>
    <m/>
    <m/>
    <m/>
    <m/>
    <s v=""/>
    <m/>
    <m/>
    <m/>
    <m/>
    <m/>
    <m/>
    <m/>
    <m/>
    <m/>
    <m/>
    <m/>
    <x v="4"/>
    <n v="1"/>
    <s v="L"/>
    <x v="4"/>
    <x v="1"/>
    <n v="0"/>
    <n v="0"/>
    <n v="0"/>
    <n v="0"/>
  </r>
  <r>
    <x v="17"/>
    <m/>
    <n v="0"/>
    <m/>
    <n v="2"/>
    <n v="0"/>
    <m/>
    <m/>
    <m/>
    <m/>
    <n v="1"/>
    <m/>
    <m/>
    <m/>
    <m/>
    <m/>
    <m/>
    <x v="4"/>
    <n v="1"/>
    <s v="L"/>
    <x v="4"/>
    <x v="0"/>
    <n v="0"/>
    <n v="0"/>
    <n v="2"/>
    <n v="0"/>
  </r>
  <r>
    <x v="18"/>
    <m/>
    <m/>
    <m/>
    <m/>
    <s v=""/>
    <m/>
    <m/>
    <m/>
    <m/>
    <m/>
    <m/>
    <m/>
    <m/>
    <m/>
    <m/>
    <m/>
    <x v="4"/>
    <n v="1"/>
    <s v="L"/>
    <x v="4"/>
    <x v="0"/>
    <n v="0"/>
    <n v="0"/>
    <n v="0"/>
    <n v="0"/>
  </r>
  <r>
    <x v="0"/>
    <m/>
    <n v="3"/>
    <m/>
    <n v="4"/>
    <n v="0.75"/>
    <m/>
    <m/>
    <n v="4"/>
    <m/>
    <m/>
    <m/>
    <m/>
    <m/>
    <n v="1"/>
    <m/>
    <m/>
    <x v="5"/>
    <n v="1"/>
    <s v="V"/>
    <x v="5"/>
    <x v="0"/>
    <n v="3"/>
    <n v="0"/>
    <n v="4"/>
    <n v="0"/>
  </r>
  <r>
    <x v="1"/>
    <m/>
    <n v="1"/>
    <m/>
    <n v="2"/>
    <n v="0.5"/>
    <m/>
    <m/>
    <n v="1"/>
    <m/>
    <m/>
    <m/>
    <m/>
    <m/>
    <n v="2"/>
    <m/>
    <m/>
    <x v="5"/>
    <n v="1"/>
    <s v="V"/>
    <x v="5"/>
    <x v="0"/>
    <n v="1"/>
    <n v="0"/>
    <n v="2"/>
    <n v="0"/>
  </r>
  <r>
    <x v="2"/>
    <m/>
    <n v="2"/>
    <m/>
    <n v="2"/>
    <n v="1"/>
    <m/>
    <m/>
    <n v="15"/>
    <m/>
    <n v="2"/>
    <m/>
    <m/>
    <m/>
    <n v="1"/>
    <m/>
    <m/>
    <x v="5"/>
    <n v="1"/>
    <s v="V"/>
    <x v="5"/>
    <x v="0"/>
    <n v="2"/>
    <n v="0"/>
    <n v="2"/>
    <n v="0"/>
  </r>
  <r>
    <x v="3"/>
    <m/>
    <n v="1"/>
    <m/>
    <n v="1"/>
    <n v="1"/>
    <m/>
    <m/>
    <n v="4"/>
    <n v="1"/>
    <m/>
    <m/>
    <m/>
    <m/>
    <m/>
    <m/>
    <n v="1"/>
    <x v="5"/>
    <n v="1"/>
    <s v="V"/>
    <x v="5"/>
    <x v="0"/>
    <n v="1"/>
    <n v="0"/>
    <n v="1"/>
    <n v="0"/>
  </r>
  <r>
    <x v="4"/>
    <m/>
    <m/>
    <m/>
    <m/>
    <s v=""/>
    <m/>
    <m/>
    <m/>
    <m/>
    <m/>
    <m/>
    <m/>
    <m/>
    <m/>
    <m/>
    <m/>
    <x v="5"/>
    <n v="1"/>
    <s v="V"/>
    <x v="5"/>
    <x v="0"/>
    <n v="0"/>
    <n v="0"/>
    <n v="0"/>
    <n v="0"/>
  </r>
  <r>
    <x v="5"/>
    <m/>
    <n v="4"/>
    <m/>
    <n v="5"/>
    <n v="0.8"/>
    <m/>
    <m/>
    <m/>
    <m/>
    <m/>
    <m/>
    <n v="1"/>
    <m/>
    <m/>
    <m/>
    <n v="1"/>
    <x v="5"/>
    <n v="1"/>
    <s v="V"/>
    <x v="5"/>
    <x v="0"/>
    <n v="4"/>
    <n v="0"/>
    <n v="5"/>
    <n v="0"/>
  </r>
  <r>
    <x v="6"/>
    <m/>
    <n v="3"/>
    <m/>
    <n v="3"/>
    <n v="1"/>
    <m/>
    <m/>
    <n v="3"/>
    <m/>
    <m/>
    <m/>
    <m/>
    <n v="1"/>
    <n v="2"/>
    <m/>
    <m/>
    <x v="5"/>
    <n v="1"/>
    <s v="V"/>
    <x v="5"/>
    <x v="0"/>
    <n v="3"/>
    <n v="0"/>
    <n v="3"/>
    <n v="0"/>
  </r>
  <r>
    <x v="7"/>
    <m/>
    <n v="5"/>
    <m/>
    <n v="5"/>
    <n v="1"/>
    <m/>
    <m/>
    <m/>
    <m/>
    <m/>
    <m/>
    <m/>
    <m/>
    <n v="1"/>
    <m/>
    <m/>
    <x v="5"/>
    <n v="1"/>
    <s v="V"/>
    <x v="5"/>
    <x v="0"/>
    <n v="5"/>
    <n v="0"/>
    <n v="5"/>
    <n v="0"/>
  </r>
  <r>
    <x v="8"/>
    <m/>
    <n v="2"/>
    <m/>
    <n v="3"/>
    <n v="0.66666666666666663"/>
    <m/>
    <m/>
    <n v="1"/>
    <m/>
    <m/>
    <m/>
    <m/>
    <m/>
    <n v="1"/>
    <n v="1"/>
    <n v="2"/>
    <x v="5"/>
    <n v="1"/>
    <s v="V"/>
    <x v="5"/>
    <x v="0"/>
    <n v="2"/>
    <n v="0"/>
    <n v="3"/>
    <n v="0"/>
  </r>
  <r>
    <x v="9"/>
    <m/>
    <n v="2"/>
    <m/>
    <n v="2"/>
    <n v="1"/>
    <m/>
    <m/>
    <m/>
    <m/>
    <n v="1"/>
    <m/>
    <m/>
    <m/>
    <n v="1"/>
    <m/>
    <m/>
    <x v="5"/>
    <n v="1"/>
    <s v="V"/>
    <x v="5"/>
    <x v="0"/>
    <n v="2"/>
    <n v="0"/>
    <n v="2"/>
    <n v="0"/>
  </r>
  <r>
    <x v="10"/>
    <m/>
    <n v="4"/>
    <m/>
    <n v="4"/>
    <n v="1"/>
    <m/>
    <m/>
    <n v="2"/>
    <m/>
    <n v="1"/>
    <m/>
    <m/>
    <m/>
    <m/>
    <m/>
    <m/>
    <x v="5"/>
    <n v="1"/>
    <s v="V"/>
    <x v="5"/>
    <x v="0"/>
    <n v="4"/>
    <n v="0"/>
    <n v="4"/>
    <n v="0"/>
  </r>
  <r>
    <x v="11"/>
    <m/>
    <n v="5"/>
    <m/>
    <n v="6"/>
    <n v="0.83333333333333337"/>
    <m/>
    <m/>
    <n v="1"/>
    <m/>
    <m/>
    <m/>
    <m/>
    <m/>
    <n v="2"/>
    <m/>
    <m/>
    <x v="5"/>
    <n v="1"/>
    <s v="V"/>
    <x v="5"/>
    <x v="0"/>
    <n v="5"/>
    <n v="0"/>
    <n v="6"/>
    <n v="0"/>
  </r>
  <r>
    <x v="12"/>
    <m/>
    <n v="13"/>
    <m/>
    <n v="16"/>
    <n v="0.8125"/>
    <m/>
    <m/>
    <m/>
    <m/>
    <n v="1"/>
    <m/>
    <m/>
    <m/>
    <n v="8"/>
    <m/>
    <m/>
    <x v="5"/>
    <n v="1"/>
    <s v="V"/>
    <x v="5"/>
    <x v="0"/>
    <n v="13"/>
    <n v="0"/>
    <n v="16"/>
    <n v="0"/>
  </r>
  <r>
    <x v="13"/>
    <m/>
    <n v="0"/>
    <m/>
    <n v="1"/>
    <n v="0"/>
    <m/>
    <m/>
    <n v="2"/>
    <m/>
    <m/>
    <m/>
    <m/>
    <m/>
    <m/>
    <m/>
    <m/>
    <x v="5"/>
    <n v="1"/>
    <s v="V"/>
    <x v="5"/>
    <x v="0"/>
    <n v="0"/>
    <n v="0"/>
    <n v="1"/>
    <n v="0"/>
  </r>
  <r>
    <x v="14"/>
    <m/>
    <n v="7"/>
    <n v="7"/>
    <n v="12"/>
    <n v="0.58333333333333337"/>
    <m/>
    <m/>
    <m/>
    <m/>
    <m/>
    <m/>
    <m/>
    <m/>
    <m/>
    <m/>
    <m/>
    <x v="5"/>
    <n v="1"/>
    <s v="V"/>
    <x v="5"/>
    <x v="1"/>
    <n v="0"/>
    <n v="5"/>
    <n v="0"/>
    <n v="12"/>
  </r>
  <r>
    <x v="15"/>
    <m/>
    <m/>
    <m/>
    <m/>
    <s v=""/>
    <m/>
    <m/>
    <m/>
    <m/>
    <m/>
    <m/>
    <m/>
    <m/>
    <m/>
    <m/>
    <m/>
    <x v="5"/>
    <n v="1"/>
    <s v="V"/>
    <x v="5"/>
    <x v="1"/>
    <n v="0"/>
    <n v="0"/>
    <n v="0"/>
    <n v="0"/>
  </r>
  <r>
    <x v="16"/>
    <m/>
    <n v="4"/>
    <n v="4"/>
    <n v="11"/>
    <n v="0.36363636363636365"/>
    <m/>
    <m/>
    <m/>
    <m/>
    <m/>
    <m/>
    <m/>
    <m/>
    <m/>
    <m/>
    <m/>
    <x v="5"/>
    <n v="1"/>
    <s v="V"/>
    <x v="5"/>
    <x v="1"/>
    <n v="0"/>
    <n v="7"/>
    <n v="0"/>
    <n v="11"/>
  </r>
  <r>
    <x v="17"/>
    <m/>
    <m/>
    <m/>
    <m/>
    <s v=""/>
    <m/>
    <m/>
    <m/>
    <m/>
    <m/>
    <m/>
    <m/>
    <m/>
    <m/>
    <m/>
    <m/>
    <x v="5"/>
    <n v="1"/>
    <s v="V"/>
    <x v="5"/>
    <x v="0"/>
    <n v="0"/>
    <n v="0"/>
    <n v="0"/>
    <n v="0"/>
  </r>
  <r>
    <x v="18"/>
    <m/>
    <m/>
    <m/>
    <m/>
    <s v=""/>
    <m/>
    <m/>
    <m/>
    <m/>
    <m/>
    <m/>
    <m/>
    <m/>
    <m/>
    <m/>
    <m/>
    <x v="5"/>
    <n v="1"/>
    <s v="V"/>
    <x v="5"/>
    <x v="0"/>
    <n v="0"/>
    <n v="0"/>
    <n v="0"/>
    <n v="0"/>
  </r>
  <r>
    <x v="0"/>
    <m/>
    <n v="1"/>
    <m/>
    <n v="2"/>
    <n v="0.5"/>
    <m/>
    <m/>
    <n v="3"/>
    <n v="1"/>
    <n v="1"/>
    <m/>
    <m/>
    <m/>
    <m/>
    <m/>
    <m/>
    <x v="6"/>
    <n v="1"/>
    <s v="L"/>
    <x v="6"/>
    <x v="0"/>
    <n v="1"/>
    <n v="0"/>
    <n v="2"/>
    <n v="0"/>
  </r>
  <r>
    <x v="1"/>
    <m/>
    <m/>
    <m/>
    <m/>
    <s v=""/>
    <m/>
    <m/>
    <m/>
    <m/>
    <m/>
    <m/>
    <m/>
    <m/>
    <n v="1"/>
    <m/>
    <m/>
    <x v="6"/>
    <n v="1"/>
    <s v="L"/>
    <x v="6"/>
    <x v="0"/>
    <n v="0"/>
    <n v="0"/>
    <n v="0"/>
    <n v="0"/>
  </r>
  <r>
    <x v="2"/>
    <m/>
    <n v="1"/>
    <m/>
    <n v="1"/>
    <n v="1"/>
    <m/>
    <m/>
    <n v="2"/>
    <n v="1"/>
    <m/>
    <m/>
    <m/>
    <m/>
    <m/>
    <m/>
    <m/>
    <x v="6"/>
    <n v="1"/>
    <s v="L"/>
    <x v="6"/>
    <x v="0"/>
    <n v="1"/>
    <n v="0"/>
    <n v="1"/>
    <n v="0"/>
  </r>
  <r>
    <x v="3"/>
    <m/>
    <n v="2"/>
    <m/>
    <n v="2"/>
    <n v="1"/>
    <m/>
    <m/>
    <n v="2"/>
    <m/>
    <m/>
    <m/>
    <m/>
    <m/>
    <n v="3"/>
    <m/>
    <m/>
    <x v="6"/>
    <n v="1"/>
    <s v="L"/>
    <x v="6"/>
    <x v="0"/>
    <n v="2"/>
    <n v="0"/>
    <n v="2"/>
    <n v="0"/>
  </r>
  <r>
    <x v="4"/>
    <m/>
    <m/>
    <m/>
    <m/>
    <s v=""/>
    <m/>
    <m/>
    <m/>
    <m/>
    <m/>
    <m/>
    <m/>
    <m/>
    <m/>
    <m/>
    <m/>
    <x v="6"/>
    <n v="1"/>
    <s v="L"/>
    <x v="6"/>
    <x v="0"/>
    <n v="0"/>
    <n v="0"/>
    <n v="0"/>
    <n v="0"/>
  </r>
  <r>
    <x v="5"/>
    <m/>
    <n v="8"/>
    <m/>
    <n v="8"/>
    <n v="1"/>
    <m/>
    <m/>
    <m/>
    <m/>
    <m/>
    <m/>
    <m/>
    <m/>
    <n v="1"/>
    <m/>
    <m/>
    <x v="6"/>
    <n v="1"/>
    <s v="L"/>
    <x v="6"/>
    <x v="0"/>
    <n v="8"/>
    <n v="0"/>
    <n v="8"/>
    <n v="0"/>
  </r>
  <r>
    <x v="6"/>
    <m/>
    <n v="4"/>
    <m/>
    <n v="4"/>
    <n v="1"/>
    <m/>
    <m/>
    <n v="3"/>
    <m/>
    <m/>
    <m/>
    <m/>
    <m/>
    <n v="4"/>
    <n v="1"/>
    <n v="1"/>
    <x v="6"/>
    <n v="1"/>
    <s v="L"/>
    <x v="6"/>
    <x v="0"/>
    <n v="4"/>
    <n v="0"/>
    <n v="4"/>
    <n v="0"/>
  </r>
  <r>
    <x v="7"/>
    <m/>
    <n v="2"/>
    <m/>
    <n v="4"/>
    <n v="0.5"/>
    <m/>
    <m/>
    <n v="1"/>
    <m/>
    <m/>
    <m/>
    <m/>
    <m/>
    <n v="4"/>
    <m/>
    <m/>
    <x v="6"/>
    <n v="1"/>
    <s v="L"/>
    <x v="6"/>
    <x v="0"/>
    <n v="2"/>
    <n v="0"/>
    <n v="4"/>
    <n v="0"/>
  </r>
  <r>
    <x v="8"/>
    <m/>
    <n v="6"/>
    <m/>
    <n v="7"/>
    <n v="0.8571428571428571"/>
    <m/>
    <m/>
    <n v="4"/>
    <m/>
    <m/>
    <m/>
    <m/>
    <m/>
    <n v="2"/>
    <m/>
    <m/>
    <x v="6"/>
    <n v="1"/>
    <s v="L"/>
    <x v="6"/>
    <x v="0"/>
    <n v="6"/>
    <n v="0"/>
    <n v="7"/>
    <n v="0"/>
  </r>
  <r>
    <x v="9"/>
    <m/>
    <m/>
    <m/>
    <m/>
    <s v=""/>
    <m/>
    <m/>
    <m/>
    <m/>
    <m/>
    <m/>
    <m/>
    <m/>
    <m/>
    <m/>
    <m/>
    <x v="6"/>
    <n v="1"/>
    <s v="L"/>
    <x v="6"/>
    <x v="0"/>
    <n v="0"/>
    <n v="0"/>
    <n v="0"/>
    <n v="0"/>
  </r>
  <r>
    <x v="10"/>
    <m/>
    <n v="8"/>
    <m/>
    <n v="10"/>
    <n v="0.8"/>
    <m/>
    <m/>
    <n v="3"/>
    <n v="1"/>
    <m/>
    <m/>
    <m/>
    <m/>
    <n v="1"/>
    <n v="1"/>
    <n v="1"/>
    <x v="6"/>
    <n v="1"/>
    <s v="L"/>
    <x v="6"/>
    <x v="0"/>
    <n v="8"/>
    <n v="0"/>
    <n v="10"/>
    <n v="0"/>
  </r>
  <r>
    <x v="11"/>
    <m/>
    <n v="6"/>
    <m/>
    <n v="6"/>
    <n v="1"/>
    <m/>
    <m/>
    <n v="6"/>
    <n v="1"/>
    <m/>
    <m/>
    <m/>
    <m/>
    <n v="3"/>
    <m/>
    <m/>
    <x v="6"/>
    <n v="1"/>
    <s v="L"/>
    <x v="6"/>
    <x v="0"/>
    <n v="6"/>
    <n v="0"/>
    <n v="6"/>
    <n v="0"/>
  </r>
  <r>
    <x v="12"/>
    <m/>
    <n v="13"/>
    <m/>
    <n v="13"/>
    <n v="1"/>
    <m/>
    <m/>
    <n v="2"/>
    <m/>
    <m/>
    <m/>
    <m/>
    <m/>
    <n v="5"/>
    <m/>
    <m/>
    <x v="6"/>
    <n v="1"/>
    <s v="L"/>
    <x v="6"/>
    <x v="0"/>
    <n v="13"/>
    <n v="0"/>
    <n v="13"/>
    <n v="0"/>
  </r>
  <r>
    <x v="13"/>
    <m/>
    <n v="3"/>
    <m/>
    <n v="5"/>
    <n v="0.6"/>
    <m/>
    <m/>
    <n v="5"/>
    <m/>
    <n v="2"/>
    <m/>
    <m/>
    <n v="1"/>
    <n v="2"/>
    <m/>
    <m/>
    <x v="6"/>
    <n v="1"/>
    <s v="L"/>
    <x v="6"/>
    <x v="0"/>
    <n v="3"/>
    <n v="0"/>
    <n v="5"/>
    <n v="0"/>
  </r>
  <r>
    <x v="14"/>
    <m/>
    <n v="5"/>
    <n v="5"/>
    <n v="10"/>
    <n v="0.5"/>
    <m/>
    <m/>
    <m/>
    <m/>
    <n v="1"/>
    <m/>
    <m/>
    <m/>
    <m/>
    <m/>
    <m/>
    <x v="6"/>
    <n v="1"/>
    <s v="L"/>
    <x v="6"/>
    <x v="1"/>
    <n v="0"/>
    <n v="5"/>
    <n v="0"/>
    <n v="10"/>
  </r>
  <r>
    <x v="15"/>
    <m/>
    <n v="9"/>
    <n v="9"/>
    <n v="14"/>
    <n v="0.6428571428571429"/>
    <m/>
    <m/>
    <m/>
    <m/>
    <m/>
    <m/>
    <m/>
    <m/>
    <m/>
    <m/>
    <m/>
    <x v="6"/>
    <n v="1"/>
    <s v="L"/>
    <x v="6"/>
    <x v="1"/>
    <n v="0"/>
    <n v="5"/>
    <n v="0"/>
    <n v="14"/>
  </r>
  <r>
    <x v="16"/>
    <m/>
    <m/>
    <m/>
    <m/>
    <s v=""/>
    <m/>
    <m/>
    <m/>
    <m/>
    <m/>
    <m/>
    <m/>
    <m/>
    <m/>
    <m/>
    <m/>
    <x v="6"/>
    <n v="1"/>
    <s v="L"/>
    <x v="6"/>
    <x v="1"/>
    <n v="0"/>
    <n v="0"/>
    <n v="0"/>
    <n v="0"/>
  </r>
  <r>
    <x v="17"/>
    <m/>
    <m/>
    <m/>
    <m/>
    <s v=""/>
    <m/>
    <m/>
    <m/>
    <m/>
    <m/>
    <m/>
    <m/>
    <m/>
    <m/>
    <m/>
    <m/>
    <x v="6"/>
    <n v="1"/>
    <s v="L"/>
    <x v="6"/>
    <x v="0"/>
    <n v="0"/>
    <n v="0"/>
    <n v="0"/>
    <n v="0"/>
  </r>
  <r>
    <x v="18"/>
    <m/>
    <n v="1"/>
    <m/>
    <n v="2"/>
    <n v="0.5"/>
    <m/>
    <m/>
    <m/>
    <n v="1"/>
    <m/>
    <m/>
    <m/>
    <m/>
    <m/>
    <m/>
    <m/>
    <x v="6"/>
    <n v="1"/>
    <s v="L"/>
    <x v="6"/>
    <x v="0"/>
    <n v="1"/>
    <n v="0"/>
    <n v="2"/>
    <n v="0"/>
  </r>
  <r>
    <x v="0"/>
    <m/>
    <m/>
    <m/>
    <m/>
    <s v=""/>
    <m/>
    <m/>
    <n v="2"/>
    <m/>
    <m/>
    <m/>
    <m/>
    <m/>
    <m/>
    <m/>
    <n v="1"/>
    <x v="7"/>
    <n v="1"/>
    <s v="V"/>
    <x v="7"/>
    <x v="0"/>
    <n v="0"/>
    <n v="0"/>
    <n v="0"/>
    <n v="0"/>
  </r>
  <r>
    <x v="1"/>
    <m/>
    <n v="3"/>
    <m/>
    <n v="3"/>
    <n v="1"/>
    <m/>
    <m/>
    <m/>
    <m/>
    <m/>
    <m/>
    <m/>
    <m/>
    <n v="2"/>
    <m/>
    <n v="1"/>
    <x v="7"/>
    <n v="1"/>
    <s v="V"/>
    <x v="7"/>
    <x v="0"/>
    <n v="3"/>
    <n v="0"/>
    <n v="3"/>
    <n v="0"/>
  </r>
  <r>
    <x v="2"/>
    <m/>
    <n v="1"/>
    <m/>
    <n v="1"/>
    <n v="1"/>
    <m/>
    <m/>
    <n v="13"/>
    <m/>
    <n v="2"/>
    <m/>
    <m/>
    <m/>
    <n v="2"/>
    <n v="1"/>
    <n v="1"/>
    <x v="7"/>
    <n v="1"/>
    <s v="V"/>
    <x v="7"/>
    <x v="0"/>
    <n v="1"/>
    <n v="0"/>
    <n v="1"/>
    <n v="0"/>
  </r>
  <r>
    <x v="3"/>
    <m/>
    <n v="3"/>
    <m/>
    <n v="5"/>
    <n v="0.6"/>
    <m/>
    <m/>
    <n v="2"/>
    <m/>
    <m/>
    <m/>
    <m/>
    <m/>
    <n v="1"/>
    <m/>
    <m/>
    <x v="7"/>
    <n v="1"/>
    <s v="V"/>
    <x v="7"/>
    <x v="0"/>
    <n v="3"/>
    <n v="0"/>
    <n v="5"/>
    <n v="0"/>
  </r>
  <r>
    <x v="4"/>
    <m/>
    <m/>
    <m/>
    <m/>
    <s v=""/>
    <m/>
    <m/>
    <m/>
    <m/>
    <m/>
    <m/>
    <m/>
    <m/>
    <m/>
    <m/>
    <m/>
    <x v="7"/>
    <n v="1"/>
    <s v="V"/>
    <x v="7"/>
    <x v="0"/>
    <n v="0"/>
    <n v="0"/>
    <n v="0"/>
    <n v="0"/>
  </r>
  <r>
    <x v="5"/>
    <m/>
    <n v="6"/>
    <m/>
    <n v="8"/>
    <n v="0.75"/>
    <m/>
    <m/>
    <n v="1"/>
    <m/>
    <m/>
    <m/>
    <m/>
    <n v="1"/>
    <m/>
    <m/>
    <m/>
    <x v="7"/>
    <n v="1"/>
    <s v="V"/>
    <x v="7"/>
    <x v="0"/>
    <n v="6"/>
    <n v="0"/>
    <n v="8"/>
    <n v="0"/>
  </r>
  <r>
    <x v="6"/>
    <m/>
    <n v="4"/>
    <m/>
    <n v="4"/>
    <n v="1"/>
    <m/>
    <m/>
    <n v="5"/>
    <m/>
    <m/>
    <m/>
    <m/>
    <m/>
    <n v="1"/>
    <m/>
    <m/>
    <x v="7"/>
    <n v="1"/>
    <s v="V"/>
    <x v="7"/>
    <x v="0"/>
    <n v="4"/>
    <n v="0"/>
    <n v="4"/>
    <n v="0"/>
  </r>
  <r>
    <x v="7"/>
    <m/>
    <n v="4"/>
    <m/>
    <n v="4"/>
    <n v="1"/>
    <m/>
    <m/>
    <n v="1"/>
    <m/>
    <m/>
    <m/>
    <m/>
    <m/>
    <m/>
    <m/>
    <m/>
    <x v="7"/>
    <n v="1"/>
    <s v="V"/>
    <x v="7"/>
    <x v="0"/>
    <n v="4"/>
    <n v="0"/>
    <n v="4"/>
    <n v="0"/>
  </r>
  <r>
    <x v="8"/>
    <m/>
    <n v="2"/>
    <m/>
    <n v="2"/>
    <n v="1"/>
    <m/>
    <m/>
    <n v="1"/>
    <m/>
    <m/>
    <m/>
    <m/>
    <n v="1"/>
    <n v="1"/>
    <m/>
    <m/>
    <x v="7"/>
    <n v="1"/>
    <s v="V"/>
    <x v="7"/>
    <x v="0"/>
    <n v="2"/>
    <n v="0"/>
    <n v="2"/>
    <n v="0"/>
  </r>
  <r>
    <x v="9"/>
    <m/>
    <n v="2"/>
    <m/>
    <n v="3"/>
    <n v="0.66666666666666663"/>
    <m/>
    <m/>
    <m/>
    <n v="1"/>
    <m/>
    <m/>
    <m/>
    <m/>
    <n v="1"/>
    <m/>
    <m/>
    <x v="7"/>
    <n v="1"/>
    <s v="V"/>
    <x v="7"/>
    <x v="0"/>
    <n v="2"/>
    <n v="0"/>
    <n v="3"/>
    <n v="0"/>
  </r>
  <r>
    <x v="10"/>
    <m/>
    <n v="6"/>
    <m/>
    <n v="7"/>
    <n v="0.8571428571428571"/>
    <m/>
    <m/>
    <n v="3"/>
    <m/>
    <n v="1"/>
    <m/>
    <m/>
    <m/>
    <n v="2"/>
    <m/>
    <m/>
    <x v="7"/>
    <n v="1"/>
    <s v="V"/>
    <x v="7"/>
    <x v="0"/>
    <n v="6"/>
    <n v="0"/>
    <n v="7"/>
    <n v="0"/>
  </r>
  <r>
    <x v="11"/>
    <m/>
    <n v="4"/>
    <m/>
    <n v="6"/>
    <n v="0.66666666666666663"/>
    <m/>
    <m/>
    <n v="1"/>
    <m/>
    <m/>
    <m/>
    <m/>
    <m/>
    <m/>
    <m/>
    <m/>
    <x v="7"/>
    <n v="1"/>
    <s v="V"/>
    <x v="7"/>
    <x v="0"/>
    <n v="4"/>
    <n v="0"/>
    <n v="6"/>
    <n v="0"/>
  </r>
  <r>
    <x v="12"/>
    <m/>
    <n v="13"/>
    <m/>
    <n v="13"/>
    <n v="1"/>
    <m/>
    <m/>
    <n v="2"/>
    <n v="1"/>
    <m/>
    <m/>
    <m/>
    <n v="1"/>
    <n v="5"/>
    <m/>
    <n v="1"/>
    <x v="7"/>
    <n v="1"/>
    <s v="V"/>
    <x v="7"/>
    <x v="0"/>
    <n v="13"/>
    <n v="0"/>
    <n v="13"/>
    <n v="0"/>
  </r>
  <r>
    <x v="13"/>
    <m/>
    <n v="1"/>
    <m/>
    <n v="2"/>
    <n v="0.5"/>
    <m/>
    <m/>
    <n v="1"/>
    <m/>
    <n v="1"/>
    <m/>
    <m/>
    <m/>
    <m/>
    <n v="1"/>
    <m/>
    <x v="7"/>
    <n v="1"/>
    <s v="V"/>
    <x v="7"/>
    <x v="0"/>
    <n v="1"/>
    <n v="0"/>
    <n v="2"/>
    <n v="0"/>
  </r>
  <r>
    <x v="14"/>
    <m/>
    <m/>
    <m/>
    <m/>
    <s v=""/>
    <m/>
    <m/>
    <m/>
    <m/>
    <m/>
    <m/>
    <m/>
    <m/>
    <m/>
    <m/>
    <m/>
    <x v="7"/>
    <n v="1"/>
    <s v="V"/>
    <x v="7"/>
    <x v="1"/>
    <n v="0"/>
    <n v="0"/>
    <n v="0"/>
    <n v="0"/>
  </r>
  <r>
    <x v="15"/>
    <m/>
    <n v="8"/>
    <n v="8"/>
    <n v="16"/>
    <n v="0.5"/>
    <m/>
    <m/>
    <m/>
    <m/>
    <m/>
    <m/>
    <m/>
    <m/>
    <m/>
    <m/>
    <m/>
    <x v="7"/>
    <n v="1"/>
    <s v="V"/>
    <x v="7"/>
    <x v="1"/>
    <n v="0"/>
    <n v="8"/>
    <n v="0"/>
    <n v="16"/>
  </r>
  <r>
    <x v="16"/>
    <m/>
    <n v="11"/>
    <n v="11"/>
    <n v="15"/>
    <n v="0.73333333333333328"/>
    <m/>
    <m/>
    <m/>
    <m/>
    <m/>
    <m/>
    <m/>
    <m/>
    <m/>
    <m/>
    <m/>
    <x v="7"/>
    <n v="1"/>
    <s v="V"/>
    <x v="7"/>
    <x v="1"/>
    <n v="0"/>
    <n v="4"/>
    <n v="0"/>
    <n v="15"/>
  </r>
  <r>
    <x v="17"/>
    <m/>
    <n v="2"/>
    <m/>
    <n v="2"/>
    <n v="1"/>
    <m/>
    <m/>
    <m/>
    <m/>
    <m/>
    <m/>
    <m/>
    <m/>
    <n v="1"/>
    <m/>
    <m/>
    <x v="7"/>
    <n v="1"/>
    <s v="V"/>
    <x v="7"/>
    <x v="0"/>
    <n v="2"/>
    <n v="0"/>
    <n v="2"/>
    <n v="0"/>
  </r>
  <r>
    <x v="18"/>
    <m/>
    <m/>
    <m/>
    <m/>
    <s v=""/>
    <m/>
    <m/>
    <m/>
    <m/>
    <m/>
    <m/>
    <m/>
    <m/>
    <m/>
    <m/>
    <m/>
    <x v="7"/>
    <n v="1"/>
    <s v="V"/>
    <x v="7"/>
    <x v="0"/>
    <n v="0"/>
    <n v="0"/>
    <n v="0"/>
    <n v="0"/>
  </r>
  <r>
    <x v="0"/>
    <n v="3"/>
    <m/>
    <m/>
    <m/>
    <s v=""/>
    <m/>
    <m/>
    <m/>
    <m/>
    <m/>
    <m/>
    <m/>
    <m/>
    <m/>
    <m/>
    <m/>
    <x v="8"/>
    <n v="1"/>
    <s v="L"/>
    <x v="8"/>
    <x v="0"/>
    <n v="0"/>
    <n v="0"/>
    <n v="0"/>
    <n v="0"/>
  </r>
  <r>
    <x v="1"/>
    <n v="4"/>
    <n v="3"/>
    <m/>
    <n v="3"/>
    <n v="1"/>
    <m/>
    <m/>
    <n v="1"/>
    <n v="1"/>
    <m/>
    <m/>
    <m/>
    <m/>
    <m/>
    <m/>
    <m/>
    <x v="8"/>
    <n v="1"/>
    <s v="L"/>
    <x v="8"/>
    <x v="0"/>
    <n v="3"/>
    <n v="0"/>
    <n v="3"/>
    <n v="0"/>
  </r>
  <r>
    <x v="2"/>
    <n v="7"/>
    <m/>
    <m/>
    <m/>
    <s v=""/>
    <m/>
    <m/>
    <n v="12"/>
    <m/>
    <n v="1"/>
    <m/>
    <m/>
    <m/>
    <n v="1"/>
    <m/>
    <m/>
    <x v="8"/>
    <n v="1"/>
    <s v="L"/>
    <x v="8"/>
    <x v="0"/>
    <n v="0"/>
    <n v="0"/>
    <n v="0"/>
    <n v="0"/>
  </r>
  <r>
    <x v="3"/>
    <n v="8"/>
    <n v="5"/>
    <m/>
    <n v="5"/>
    <n v="1"/>
    <m/>
    <m/>
    <n v="4"/>
    <m/>
    <n v="1"/>
    <m/>
    <m/>
    <m/>
    <n v="3"/>
    <m/>
    <m/>
    <x v="8"/>
    <n v="1"/>
    <s v="L"/>
    <x v="8"/>
    <x v="0"/>
    <n v="5"/>
    <n v="0"/>
    <n v="5"/>
    <n v="0"/>
  </r>
  <r>
    <x v="4"/>
    <n v="10"/>
    <m/>
    <m/>
    <m/>
    <s v=""/>
    <m/>
    <m/>
    <m/>
    <m/>
    <m/>
    <m/>
    <m/>
    <m/>
    <m/>
    <m/>
    <m/>
    <x v="8"/>
    <n v="1"/>
    <s v="L"/>
    <x v="8"/>
    <x v="0"/>
    <n v="0"/>
    <n v="0"/>
    <n v="0"/>
    <n v="0"/>
  </r>
  <r>
    <x v="5"/>
    <n v="14"/>
    <n v="7"/>
    <m/>
    <n v="7"/>
    <n v="1"/>
    <m/>
    <m/>
    <n v="2"/>
    <m/>
    <m/>
    <m/>
    <m/>
    <m/>
    <m/>
    <m/>
    <m/>
    <x v="8"/>
    <n v="1"/>
    <s v="L"/>
    <x v="8"/>
    <x v="0"/>
    <n v="7"/>
    <n v="0"/>
    <n v="7"/>
    <n v="0"/>
  </r>
  <r>
    <x v="6"/>
    <n v="18"/>
    <n v="2"/>
    <m/>
    <n v="2"/>
    <n v="1"/>
    <m/>
    <m/>
    <n v="1"/>
    <m/>
    <m/>
    <m/>
    <m/>
    <m/>
    <n v="1"/>
    <m/>
    <m/>
    <x v="8"/>
    <n v="1"/>
    <s v="L"/>
    <x v="8"/>
    <x v="0"/>
    <n v="2"/>
    <n v="0"/>
    <n v="2"/>
    <n v="0"/>
  </r>
  <r>
    <x v="7"/>
    <n v="31"/>
    <n v="4"/>
    <m/>
    <n v="5"/>
    <n v="0.8"/>
    <m/>
    <m/>
    <m/>
    <m/>
    <m/>
    <m/>
    <m/>
    <m/>
    <n v="1"/>
    <m/>
    <m/>
    <x v="8"/>
    <n v="1"/>
    <s v="L"/>
    <x v="8"/>
    <x v="0"/>
    <n v="4"/>
    <n v="0"/>
    <n v="5"/>
    <n v="0"/>
  </r>
  <r>
    <x v="8"/>
    <n v="24"/>
    <n v="5"/>
    <m/>
    <n v="5"/>
    <n v="1"/>
    <m/>
    <m/>
    <n v="2"/>
    <m/>
    <m/>
    <m/>
    <m/>
    <m/>
    <n v="3"/>
    <m/>
    <m/>
    <x v="8"/>
    <n v="1"/>
    <s v="L"/>
    <x v="8"/>
    <x v="0"/>
    <n v="5"/>
    <n v="0"/>
    <n v="5"/>
    <n v="0"/>
  </r>
  <r>
    <x v="9"/>
    <n v="26"/>
    <n v="2"/>
    <m/>
    <n v="4"/>
    <n v="0.5"/>
    <m/>
    <m/>
    <m/>
    <m/>
    <n v="1"/>
    <m/>
    <m/>
    <m/>
    <n v="2"/>
    <m/>
    <m/>
    <x v="8"/>
    <n v="1"/>
    <s v="L"/>
    <x v="8"/>
    <x v="0"/>
    <n v="2"/>
    <n v="0"/>
    <n v="4"/>
    <n v="0"/>
  </r>
  <r>
    <x v="10"/>
    <n v="35"/>
    <m/>
    <m/>
    <m/>
    <s v=""/>
    <m/>
    <m/>
    <m/>
    <m/>
    <m/>
    <m/>
    <m/>
    <m/>
    <m/>
    <m/>
    <m/>
    <x v="8"/>
    <n v="1"/>
    <s v="L"/>
    <x v="8"/>
    <x v="0"/>
    <n v="0"/>
    <n v="0"/>
    <n v="0"/>
    <n v="0"/>
  </r>
  <r>
    <x v="11"/>
    <n v="44"/>
    <n v="2"/>
    <m/>
    <n v="3"/>
    <n v="0.66666666666666663"/>
    <m/>
    <m/>
    <n v="1"/>
    <m/>
    <m/>
    <m/>
    <n v="1"/>
    <m/>
    <n v="4"/>
    <m/>
    <m/>
    <x v="8"/>
    <n v="1"/>
    <s v="L"/>
    <x v="8"/>
    <x v="0"/>
    <n v="2"/>
    <n v="0"/>
    <n v="3"/>
    <n v="0"/>
  </r>
  <r>
    <x v="12"/>
    <n v="77"/>
    <n v="12"/>
    <m/>
    <n v="13"/>
    <n v="0.92307692307692313"/>
    <n v="3"/>
    <n v="3"/>
    <n v="4"/>
    <m/>
    <n v="2"/>
    <m/>
    <m/>
    <m/>
    <n v="9"/>
    <m/>
    <m/>
    <x v="8"/>
    <n v="1"/>
    <s v="L"/>
    <x v="8"/>
    <x v="0"/>
    <n v="12"/>
    <n v="0"/>
    <n v="13"/>
    <n v="0"/>
  </r>
  <r>
    <x v="13"/>
    <n v="79"/>
    <m/>
    <m/>
    <m/>
    <s v=""/>
    <m/>
    <m/>
    <m/>
    <m/>
    <m/>
    <m/>
    <m/>
    <m/>
    <m/>
    <m/>
    <m/>
    <x v="8"/>
    <n v="1"/>
    <s v="L"/>
    <x v="8"/>
    <x v="0"/>
    <n v="0"/>
    <n v="0"/>
    <n v="0"/>
    <n v="0"/>
  </r>
  <r>
    <x v="14"/>
    <n v="27"/>
    <m/>
    <m/>
    <m/>
    <s v=""/>
    <m/>
    <m/>
    <m/>
    <m/>
    <m/>
    <m/>
    <m/>
    <m/>
    <m/>
    <m/>
    <m/>
    <x v="8"/>
    <n v="1"/>
    <s v="L"/>
    <x v="8"/>
    <x v="1"/>
    <n v="0"/>
    <n v="0"/>
    <n v="0"/>
    <n v="0"/>
  </r>
  <r>
    <x v="15"/>
    <n v="1"/>
    <n v="6"/>
    <n v="6"/>
    <n v="12"/>
    <n v="0.5"/>
    <m/>
    <m/>
    <m/>
    <m/>
    <n v="1"/>
    <m/>
    <m/>
    <m/>
    <m/>
    <m/>
    <m/>
    <x v="8"/>
    <n v="1"/>
    <s v="L"/>
    <x v="8"/>
    <x v="1"/>
    <n v="0"/>
    <n v="6"/>
    <n v="0"/>
    <n v="12"/>
  </r>
  <r>
    <x v="16"/>
    <n v="16"/>
    <n v="6"/>
    <n v="6"/>
    <n v="10"/>
    <n v="0.6"/>
    <m/>
    <m/>
    <n v="2"/>
    <m/>
    <m/>
    <m/>
    <m/>
    <m/>
    <m/>
    <m/>
    <m/>
    <x v="8"/>
    <n v="1"/>
    <s v="L"/>
    <x v="8"/>
    <x v="1"/>
    <n v="0"/>
    <n v="4"/>
    <n v="0"/>
    <n v="10"/>
  </r>
  <r>
    <x v="17"/>
    <n v="82"/>
    <n v="1"/>
    <m/>
    <n v="4"/>
    <n v="0.25"/>
    <m/>
    <m/>
    <m/>
    <m/>
    <m/>
    <m/>
    <m/>
    <m/>
    <n v="1"/>
    <m/>
    <m/>
    <x v="8"/>
    <n v="1"/>
    <s v="L"/>
    <x v="8"/>
    <x v="0"/>
    <n v="1"/>
    <n v="0"/>
    <n v="4"/>
    <n v="0"/>
  </r>
  <r>
    <x v="18"/>
    <n v="21"/>
    <m/>
    <m/>
    <m/>
    <s v=""/>
    <m/>
    <m/>
    <m/>
    <m/>
    <m/>
    <m/>
    <m/>
    <m/>
    <m/>
    <m/>
    <m/>
    <x v="8"/>
    <n v="1"/>
    <s v="L"/>
    <x v="8"/>
    <x v="0"/>
    <n v="0"/>
    <n v="0"/>
    <n v="0"/>
    <n v="0"/>
  </r>
  <r>
    <x v="0"/>
    <m/>
    <n v="5"/>
    <m/>
    <n v="7"/>
    <n v="0.7142857142857143"/>
    <m/>
    <m/>
    <n v="1"/>
    <m/>
    <m/>
    <m/>
    <m/>
    <m/>
    <n v="1"/>
    <m/>
    <m/>
    <x v="9"/>
    <n v="1"/>
    <s v="L"/>
    <x v="9"/>
    <x v="0"/>
    <n v="5"/>
    <n v="0"/>
    <n v="7"/>
    <n v="0"/>
  </r>
  <r>
    <x v="1"/>
    <m/>
    <n v="1"/>
    <m/>
    <n v="1"/>
    <n v="1"/>
    <m/>
    <m/>
    <m/>
    <n v="2"/>
    <n v="1"/>
    <m/>
    <m/>
    <m/>
    <n v="2"/>
    <m/>
    <m/>
    <x v="9"/>
    <n v="1"/>
    <s v="L"/>
    <x v="9"/>
    <x v="0"/>
    <n v="1"/>
    <n v="0"/>
    <n v="1"/>
    <n v="0"/>
  </r>
  <r>
    <x v="2"/>
    <m/>
    <n v="1"/>
    <m/>
    <n v="1"/>
    <n v="1"/>
    <m/>
    <m/>
    <n v="6"/>
    <m/>
    <m/>
    <m/>
    <m/>
    <m/>
    <n v="2"/>
    <m/>
    <m/>
    <x v="9"/>
    <n v="1"/>
    <s v="L"/>
    <x v="9"/>
    <x v="0"/>
    <n v="1"/>
    <n v="0"/>
    <n v="1"/>
    <n v="0"/>
  </r>
  <r>
    <x v="3"/>
    <m/>
    <n v="2"/>
    <m/>
    <n v="2"/>
    <n v="1"/>
    <m/>
    <m/>
    <n v="2"/>
    <n v="1"/>
    <n v="1"/>
    <m/>
    <m/>
    <m/>
    <n v="1"/>
    <m/>
    <m/>
    <x v="9"/>
    <n v="1"/>
    <s v="L"/>
    <x v="9"/>
    <x v="0"/>
    <n v="2"/>
    <n v="0"/>
    <n v="2"/>
    <n v="0"/>
  </r>
  <r>
    <x v="4"/>
    <m/>
    <m/>
    <m/>
    <m/>
    <s v=""/>
    <m/>
    <m/>
    <m/>
    <m/>
    <m/>
    <m/>
    <m/>
    <m/>
    <m/>
    <m/>
    <m/>
    <x v="9"/>
    <n v="1"/>
    <s v="L"/>
    <x v="9"/>
    <x v="0"/>
    <n v="0"/>
    <n v="0"/>
    <n v="0"/>
    <n v="0"/>
  </r>
  <r>
    <x v="5"/>
    <m/>
    <n v="4"/>
    <m/>
    <n v="5"/>
    <n v="0.8"/>
    <m/>
    <m/>
    <m/>
    <m/>
    <m/>
    <m/>
    <m/>
    <n v="1"/>
    <m/>
    <m/>
    <m/>
    <x v="9"/>
    <n v="1"/>
    <s v="L"/>
    <x v="9"/>
    <x v="0"/>
    <n v="4"/>
    <n v="0"/>
    <n v="5"/>
    <n v="0"/>
  </r>
  <r>
    <x v="6"/>
    <m/>
    <n v="4"/>
    <m/>
    <n v="5"/>
    <n v="0.8"/>
    <m/>
    <m/>
    <m/>
    <n v="1"/>
    <m/>
    <m/>
    <m/>
    <m/>
    <m/>
    <m/>
    <m/>
    <x v="9"/>
    <n v="1"/>
    <s v="L"/>
    <x v="9"/>
    <x v="0"/>
    <n v="4"/>
    <n v="0"/>
    <n v="5"/>
    <n v="0"/>
  </r>
  <r>
    <x v="7"/>
    <m/>
    <n v="3"/>
    <m/>
    <n v="4"/>
    <n v="0.75"/>
    <m/>
    <m/>
    <m/>
    <m/>
    <n v="1"/>
    <m/>
    <m/>
    <m/>
    <n v="2"/>
    <m/>
    <n v="1"/>
    <x v="9"/>
    <n v="1"/>
    <s v="L"/>
    <x v="9"/>
    <x v="0"/>
    <n v="3"/>
    <n v="0"/>
    <n v="4"/>
    <n v="0"/>
  </r>
  <r>
    <x v="8"/>
    <m/>
    <n v="2"/>
    <m/>
    <n v="2"/>
    <n v="1"/>
    <m/>
    <m/>
    <m/>
    <m/>
    <n v="2"/>
    <m/>
    <m/>
    <n v="2"/>
    <m/>
    <m/>
    <m/>
    <x v="9"/>
    <n v="1"/>
    <s v="L"/>
    <x v="9"/>
    <x v="0"/>
    <n v="2"/>
    <n v="0"/>
    <n v="2"/>
    <n v="0"/>
  </r>
  <r>
    <x v="9"/>
    <m/>
    <n v="0"/>
    <m/>
    <n v="1"/>
    <n v="0"/>
    <m/>
    <m/>
    <m/>
    <m/>
    <m/>
    <m/>
    <m/>
    <m/>
    <n v="1"/>
    <m/>
    <m/>
    <x v="9"/>
    <n v="1"/>
    <s v="L"/>
    <x v="9"/>
    <x v="0"/>
    <n v="0"/>
    <n v="0"/>
    <n v="1"/>
    <n v="0"/>
  </r>
  <r>
    <x v="10"/>
    <m/>
    <n v="3"/>
    <m/>
    <n v="4"/>
    <n v="0.75"/>
    <m/>
    <m/>
    <n v="2"/>
    <m/>
    <m/>
    <n v="1"/>
    <m/>
    <m/>
    <n v="1"/>
    <n v="1"/>
    <m/>
    <x v="9"/>
    <n v="1"/>
    <s v="L"/>
    <x v="9"/>
    <x v="0"/>
    <n v="3"/>
    <n v="0"/>
    <n v="4"/>
    <n v="0"/>
  </r>
  <r>
    <x v="11"/>
    <m/>
    <m/>
    <m/>
    <m/>
    <s v=""/>
    <m/>
    <m/>
    <n v="1"/>
    <m/>
    <m/>
    <m/>
    <m/>
    <m/>
    <n v="1"/>
    <m/>
    <m/>
    <x v="9"/>
    <n v="1"/>
    <s v="L"/>
    <x v="9"/>
    <x v="0"/>
    <n v="0"/>
    <n v="0"/>
    <n v="0"/>
    <n v="0"/>
  </r>
  <r>
    <x v="12"/>
    <m/>
    <n v="7"/>
    <m/>
    <n v="8"/>
    <n v="0.875"/>
    <n v="1"/>
    <n v="1"/>
    <n v="1"/>
    <n v="1"/>
    <m/>
    <m/>
    <m/>
    <m/>
    <n v="3"/>
    <m/>
    <m/>
    <x v="9"/>
    <n v="1"/>
    <s v="L"/>
    <x v="9"/>
    <x v="0"/>
    <n v="7"/>
    <n v="0"/>
    <n v="8"/>
    <n v="0"/>
  </r>
  <r>
    <x v="13"/>
    <m/>
    <n v="2"/>
    <m/>
    <n v="2"/>
    <n v="1"/>
    <m/>
    <m/>
    <n v="1"/>
    <m/>
    <n v="1"/>
    <m/>
    <m/>
    <m/>
    <m/>
    <m/>
    <m/>
    <x v="9"/>
    <n v="1"/>
    <s v="L"/>
    <x v="9"/>
    <x v="0"/>
    <n v="2"/>
    <n v="0"/>
    <n v="2"/>
    <n v="0"/>
  </r>
  <r>
    <x v="14"/>
    <m/>
    <n v="2"/>
    <n v="2"/>
    <n v="4"/>
    <n v="0.5"/>
    <m/>
    <m/>
    <m/>
    <m/>
    <m/>
    <m/>
    <m/>
    <m/>
    <m/>
    <m/>
    <m/>
    <x v="9"/>
    <n v="1"/>
    <s v="L"/>
    <x v="9"/>
    <x v="1"/>
    <n v="0"/>
    <n v="2"/>
    <n v="0"/>
    <n v="4"/>
  </r>
  <r>
    <x v="15"/>
    <m/>
    <n v="9"/>
    <n v="9"/>
    <n v="23"/>
    <n v="0.39130434782608697"/>
    <m/>
    <m/>
    <m/>
    <m/>
    <m/>
    <m/>
    <m/>
    <m/>
    <m/>
    <m/>
    <m/>
    <x v="9"/>
    <n v="1"/>
    <s v="L"/>
    <x v="9"/>
    <x v="1"/>
    <n v="0"/>
    <n v="14"/>
    <n v="0"/>
    <n v="23"/>
  </r>
  <r>
    <x v="16"/>
    <m/>
    <m/>
    <m/>
    <m/>
    <s v=""/>
    <m/>
    <m/>
    <m/>
    <m/>
    <m/>
    <m/>
    <m/>
    <m/>
    <m/>
    <m/>
    <m/>
    <x v="9"/>
    <n v="1"/>
    <s v="L"/>
    <x v="9"/>
    <x v="1"/>
    <n v="0"/>
    <n v="0"/>
    <n v="0"/>
    <n v="0"/>
  </r>
  <r>
    <x v="17"/>
    <m/>
    <n v="1"/>
    <m/>
    <n v="3"/>
    <n v="0.33333333333333331"/>
    <m/>
    <m/>
    <m/>
    <m/>
    <n v="1"/>
    <m/>
    <m/>
    <m/>
    <n v="1"/>
    <n v="1"/>
    <n v="1"/>
    <x v="9"/>
    <n v="1"/>
    <s v="L"/>
    <x v="9"/>
    <x v="0"/>
    <n v="1"/>
    <n v="0"/>
    <n v="3"/>
    <n v="0"/>
  </r>
  <r>
    <x v="18"/>
    <m/>
    <m/>
    <m/>
    <m/>
    <s v=""/>
    <m/>
    <m/>
    <m/>
    <m/>
    <m/>
    <m/>
    <m/>
    <m/>
    <m/>
    <m/>
    <m/>
    <x v="9"/>
    <n v="1"/>
    <s v="L"/>
    <x v="9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5">
  <location ref="J3:L5" firstHeaderRow="0" firstDataRow="1" firstDataCol="1"/>
  <pivotFields count="42">
    <pivotField axis="axisRow" showAll="0">
      <items count="22">
        <item h="1" x="2"/>
        <item h="1" x="13"/>
        <item h="1" x="0"/>
        <item h="1" x="1"/>
        <item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25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3">
  <location ref="C3:E24" firstHeaderRow="0" firstDataRow="1" firstDataCol="1"/>
  <pivotFields count="42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8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42">
    <pivotField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7" baseField="0" baseItem="0"/>
  </dataFields>
  <formats count="1">
    <format dxfId="19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Q3:U24" firstHeaderRow="0" firstDataRow="1" firstDataCol="1"/>
  <pivotFields count="42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8" baseField="0" baseItem="0"/>
    <dataField name="Penaltis provocados" fld="16" baseField="0" baseItem="0"/>
    <dataField name="Exclusiones provocadas" fld="15" baseField="0" baseItem="0"/>
    <dataField name="Recuperaciones" fld="14" baseField="0" baseItem="0"/>
  </dataFields>
  <chartFormats count="2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42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8" baseField="0" baseItem="0"/>
    <dataField name="Penaltis provocados" fld="16" baseField="0" baseItem="0"/>
    <dataField name="Exclusiones provocadas" fld="15" baseField="0" baseItem="0"/>
    <dataField name="Recuperaciones" fld="14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6">
  <location ref="W3:AA24" firstHeaderRow="0" firstDataRow="1" firstDataCol="1"/>
  <pivotFields count="42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0" baseField="0" baseItem="0"/>
    <dataField name="Áreas" fld="11" baseField="0" baseItem="0"/>
    <dataField name="Perdidas otros" fld="13" baseField="0" baseItem="0"/>
    <dataField name="Exclusiones" fld="9" baseField="0" baseItem="0"/>
  </dataFields>
  <chartFormats count="16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8">
  <location ref="G3:H14" firstHeaderRow="1" firstDataRow="1" firstDataCol="1"/>
  <pivotFields count="42">
    <pivotField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Campo1" fld="27" baseField="0" baseItem="0"/>
  </dataFields>
  <formats count="2">
    <format dxfId="21">
      <pivotArea collapsedLevelsAreSubtotals="1" fieldPosition="0">
        <references count="1">
          <reference field="17" count="0"/>
        </references>
      </pivotArea>
    </format>
    <format dxfId="20">
      <pivotArea grandRow="1" outline="0" collapsedLevelsAreSubtotals="1" fieldPosition="0"/>
    </format>
  </formats>
  <chartFormats count="18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7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7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7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7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7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42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9" baseField="0" baseItem="0"/>
    <dataField name="Suma de Pase" fld="10" baseField="0" baseItem="0"/>
    <dataField name="Suma de Área" fld="11" baseField="0" baseItem="0"/>
    <dataField name="Suma de Otro" fld="13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4" firstHeaderRow="0" firstDataRow="0" firstDataCol="1"/>
  <pivotFields count="42">
    <pivotField multipleItemSelectionAllowed="1" showAll="0">
      <items count="22">
        <item h="1" x="2"/>
        <item h="1" x="13"/>
        <item h="1" x="0"/>
        <item h="1" x="1"/>
        <item h="1" x="7"/>
        <item h="1" x="17"/>
        <item x="16"/>
        <item h="1" x="9"/>
        <item h="1" x="14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4" firstHeaderRow="1" firstDataRow="1" firstDataCol="1" rowPageCount="1" colPageCount="1"/>
  <pivotFields count="4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0"/>
        <item x="1"/>
        <item x="2"/>
        <item x="3"/>
        <item x="5"/>
        <item x="6"/>
        <item x="9"/>
        <item x="4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28"/>
        <item m="1" x="33"/>
        <item m="1" x="19"/>
        <item m="1" x="15"/>
        <item m="1" x="21"/>
        <item m="1" x="13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0"/>
  </rowFields>
  <rowItems count="11">
    <i>
      <x v="23"/>
    </i>
    <i>
      <x v="24"/>
    </i>
    <i>
      <x v="25"/>
    </i>
    <i>
      <x v="26"/>
    </i>
    <i>
      <x v="28"/>
    </i>
    <i>
      <x v="29"/>
    </i>
    <i>
      <x v="30"/>
    </i>
    <i>
      <x v="31"/>
    </i>
    <i>
      <x v="34"/>
    </i>
    <i>
      <x v="35"/>
    </i>
    <i t="grand">
      <x/>
    </i>
  </rowItems>
  <colItems count="1">
    <i/>
  </colItems>
  <pageFields count="1">
    <pageField fld="17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23" firstHeaderRow="0" firstDataRow="1" firstDataCol="1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0" baseField="0" baseItem="0"/>
    <dataField name="Áreas" fld="11" baseField="0" baseItem="0"/>
    <dataField name="Perdidas otros" fld="13" baseField="0" baseItem="0"/>
    <dataField name="Exclusiones" fld="9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0" baseField="0" baseItem="0"/>
    <dataField name="Áreas" fld="11" baseField="0" baseItem="0"/>
    <dataField name="Perdidas otros" fld="13" baseField="0" baseItem="0"/>
    <dataField name="Exclusiones" fld="9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8" baseField="0" baseItem="0"/>
    <dataField name="Penaltis provocados" fld="16" baseField="0" baseItem="0"/>
    <dataField name="Exclusiones provocadas" fld="15" baseField="0" baseItem="0"/>
    <dataField name="Recuperaciones" fld="14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2" baseField="0" baseItem="0"/>
    <dataField name="Suma de lanzamientos realizados" fld="24" baseField="0" baseItem="0"/>
    <dataField name="Suma de Campo11" fld="39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0" baseField="0" baseItem="0"/>
    <dataField name="Áreas" fld="11" baseField="0" baseItem="0"/>
    <dataField name="Perdidas otros" fld="13" baseField="0" baseItem="0"/>
    <dataField name="Exclusiones" fld="9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50">
  <location ref="K2:N23" firstHeaderRow="0" firstDataRow="1" firstDataCol="1"/>
  <pivotFields count="42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3" baseField="0" baseItem="0"/>
    <dataField name="Suma de goles contra" fld="23" baseField="0" baseItem="0"/>
    <dataField name="Suma de eficiencia porteria" fld="40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23" firstHeaderRow="0" firstDataRow="1" firstDataCol="1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8" baseField="0" baseItem="0"/>
    <dataField name="Penaltis provocados" fld="16" baseField="0" baseItem="0"/>
    <dataField name="Exclusiones provocadas" fld="15" baseField="0" baseItem="0"/>
    <dataField name="Recuperaciones" fld="14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42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3" baseField="0" baseItem="0"/>
    <dataField name="Suma de Paradas" fld="3" baseField="0" baseItem="0"/>
    <dataField name="Suma de Campo12" fld="41" baseField="0" baseItem="0" numFmtId="1"/>
  </dataFields>
  <formats count="2"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23" firstHeaderRow="0" firstDataRow="1" firstDataCol="1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m="1" x="10"/>
        <item m="1" x="11"/>
        <item t="default"/>
      </items>
    </pivotField>
    <pivotField showAll="0"/>
    <pivotField showAll="0"/>
    <pivotField axis="axisRow" showAll="0">
      <items count="37">
        <item m="1" x="30"/>
        <item m="1" x="24"/>
        <item m="1" x="27"/>
        <item m="1" x="13"/>
        <item m="1" x="28"/>
        <item m="1" x="33"/>
        <item m="1" x="19"/>
        <item m="1" x="21"/>
        <item m="1" x="15"/>
        <item m="1" x="16"/>
        <item m="1" x="17"/>
        <item m="1" x="14"/>
        <item m="1" x="34"/>
        <item m="1" x="31"/>
        <item m="1" x="10"/>
        <item m="1" x="25"/>
        <item m="1" x="22"/>
        <item m="1" x="18"/>
        <item m="1" x="12"/>
        <item m="1" x="32"/>
        <item m="1" x="26"/>
        <item m="1" x="23"/>
        <item m="1" x="20"/>
        <item x="0"/>
        <item x="1"/>
        <item x="2"/>
        <item x="3"/>
        <item m="1" x="35"/>
        <item x="5"/>
        <item x="6"/>
        <item x="7"/>
        <item x="8"/>
        <item m="1" x="29"/>
        <item m="1" x="11"/>
        <item x="4"/>
        <item x="9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7"/>
    <field x="20"/>
  </rowFields>
  <rowItems count="21">
    <i>
      <x/>
    </i>
    <i r="1">
      <x v="23"/>
    </i>
    <i>
      <x v="1"/>
    </i>
    <i r="1">
      <x v="24"/>
    </i>
    <i>
      <x v="2"/>
    </i>
    <i r="1">
      <x v="25"/>
    </i>
    <i>
      <x v="3"/>
    </i>
    <i r="1">
      <x v="26"/>
    </i>
    <i>
      <x v="4"/>
    </i>
    <i r="1">
      <x v="34"/>
    </i>
    <i>
      <x v="5"/>
    </i>
    <i r="1">
      <x v="28"/>
    </i>
    <i>
      <x v="6"/>
    </i>
    <i r="1">
      <x v="29"/>
    </i>
    <i>
      <x v="7"/>
    </i>
    <i r="1">
      <x v="30"/>
    </i>
    <i>
      <x v="8"/>
    </i>
    <i r="1">
      <x v="31"/>
    </i>
    <i>
      <x v="9"/>
    </i>
    <i r="1">
      <x v="3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2" baseField="0" baseItem="0"/>
    <dataField name="Suma de lanzamientos realizados" fld="24" baseField="0" baseItem="0"/>
    <dataField name="Suma de eficiencia" fld="38" baseField="0" baseItem="0" numFmtId="1"/>
  </dataFields>
  <formats count="2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7" count="1" selected="0">
            <x v="0"/>
          </reference>
          <reference field="20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42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37">
        <item m="1" x="34"/>
        <item x="2"/>
        <item x="7"/>
        <item m="1" x="30"/>
        <item x="4"/>
        <item x="9"/>
        <item m="1" x="24"/>
        <item m="1" x="16"/>
        <item m="1" x="27"/>
        <item m="1" x="11"/>
        <item x="8"/>
        <item x="3"/>
        <item m="1" x="13"/>
        <item m="1" x="28"/>
        <item m="1" x="35"/>
        <item m="1" x="29"/>
        <item m="1" x="33"/>
        <item m="1" x="19"/>
        <item m="1" x="14"/>
        <item x="6"/>
        <item x="1"/>
        <item m="1" x="31"/>
        <item m="1" x="25"/>
        <item m="1" x="22"/>
        <item m="1" x="18"/>
        <item m="1" x="12"/>
        <item m="1" x="32"/>
        <item m="1" x="26"/>
        <item m="1" x="23"/>
        <item m="1" x="20"/>
        <item m="1" x="21"/>
        <item m="1" x="15"/>
        <item m="1" x="17"/>
        <item x="0"/>
        <item x="5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8" baseField="0" baseItem="0"/>
    <dataField name="Recuperaciones" fld="14" baseField="0" baseItem="0"/>
    <dataField name="Suma de Exclusión +" fld="15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 s="1"/>
        <i x="9"/>
        <i x="14"/>
        <i x="8"/>
        <i x="4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1" s="1"/>
        <i x="3" s="1" nd="1"/>
        <i x="0" s="1" nd="1"/>
        <i x="4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36">
        <i x="2" s="1"/>
        <i x="7" s="1"/>
        <i x="4" s="1"/>
        <i x="9" s="1"/>
        <i x="8" s="1"/>
        <i x="3" s="1"/>
        <i x="6" s="1"/>
        <i x="1" s="1"/>
        <i x="0" s="1"/>
        <i x="5" s="1"/>
        <i x="34" s="1" nd="1"/>
        <i x="30" s="1" nd="1"/>
        <i x="24" s="1" nd="1"/>
        <i x="16" s="1" nd="1"/>
        <i x="27" s="1" nd="1"/>
        <i x="11" s="1" nd="1"/>
        <i x="13" s="1" nd="1"/>
        <i x="28" s="1" nd="1"/>
        <i x="35" s="1" nd="1"/>
        <i x="29" s="1" nd="1"/>
        <i x="33" s="1" nd="1"/>
        <i x="19" s="1" nd="1"/>
        <i x="14" s="1" nd="1"/>
        <i x="31" s="1" nd="1"/>
        <i x="25" s="1" nd="1"/>
        <i x="22" s="1" nd="1"/>
        <i x="18" s="1" nd="1"/>
        <i x="12" s="1" nd="1"/>
        <i x="32" s="1" nd="1"/>
        <i x="26" s="1" nd="1"/>
        <i x="23" s="1" nd="1"/>
        <i x="20" s="1" nd="1"/>
        <i x="21" s="1" nd="1"/>
        <i x="15" s="1" nd="1"/>
        <i x="17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Z192" totalsRowShown="0">
  <autoFilter ref="A1:Z192" xr:uid="{4E0CACF7-2516-40E4-A13A-36A69BFCF042}">
    <filterColumn colId="17">
      <filters>
        <filter val="9"/>
      </filters>
    </filterColumn>
  </autoFilter>
  <tableColumns count="26">
    <tableColumn id="1" xr3:uid="{52391530-6B4D-4F5B-A13F-EBEFDEBFF05D}" name="Jugador" dataDxfId="47" dataCellStyle="Normal 3"/>
    <tableColumn id="26" xr3:uid="{D9F75196-180E-4CE3-AE9D-6DB86ED6305E}" name="dorsal" dataDxfId="46" dataCellStyle="Normal 3"/>
    <tableColumn id="2" xr3:uid="{20EFE687-939F-4CE3-B940-223B282FF463}" name="Goles" dataDxfId="45" dataCellStyle="Normal 3"/>
    <tableColumn id="3" xr3:uid="{684A7D4D-D7B7-43F6-9A93-2ACF8C669153}" name="Paradas" dataDxfId="44" dataCellStyle="Normal 3"/>
    <tableColumn id="4" xr3:uid="{AAA14793-E69C-41E1-B0A0-4517D77AAD17}" name="Lanzam." dataDxfId="43" dataCellStyle="Normal 3"/>
    <tableColumn id="5" xr3:uid="{F7F9DF44-8244-4CC7-A0D1-06835389FDF4}" name="% lanz" dataDxfId="42" dataCellStyle="Porcentaje"/>
    <tableColumn id="25" xr3:uid="{C760EC5A-2C9B-48D2-AF45-E84FD37FED16}" name="Lanzam. 7m" dataDxfId="41" dataCellStyle="Porcentaje"/>
    <tableColumn id="22" xr3:uid="{317F374D-6165-40D0-9DBC-F8A999C0ED02}" name="Goles 7m" dataDxfId="40" dataCellStyle="Porcentaje"/>
    <tableColumn id="7" xr3:uid="{08DF6B37-12B5-4917-A522-F9142A96DB9B}" name="Asistencia" dataDxfId="39" dataCellStyle="Normal 3"/>
    <tableColumn id="8" xr3:uid="{50A8FB8C-4A7A-49D3-9AE9-3E8F48319DD1}" name="Exclusión" dataDxfId="38" dataCellStyle="Normal 3"/>
    <tableColumn id="9" xr3:uid="{0AF59981-5FBC-4DB2-8698-5D9F1ABC4155}" name="Pase" dataDxfId="37" dataCellStyle="Normal 3"/>
    <tableColumn id="10" xr3:uid="{9ABA852E-5F94-4462-B626-D21E860A5324}" name="Área" dataDxfId="36" dataCellStyle="Normal 3"/>
    <tableColumn id="12" xr3:uid="{541EE240-2B80-4C0C-B283-653D786EBF8E}" name="Pasos" dataDxfId="35" dataCellStyle="Normal 3"/>
    <tableColumn id="13" xr3:uid="{B9EEDD3B-D6DD-47C4-B010-4986464C3E47}" name="Otro" dataDxfId="34" dataCellStyle="Normal 3"/>
    <tableColumn id="14" xr3:uid="{5E37AACF-BE34-4507-831A-2294DC02D750}" name="Recup." dataDxfId="33" dataCellStyle="Normal 3"/>
    <tableColumn id="17" xr3:uid="{5CB4A98F-AC59-4C79-8B6E-D9EBC0F6C1BD}" name="Exclusión +" dataDxfId="32" dataCellStyle="Normal 3"/>
    <tableColumn id="6" xr3:uid="{2C6E471F-6D3B-42C8-81FA-7636186D2DE9}" name="PenaltiProvocado" dataDxfId="31" dataCellStyle="Normal 3"/>
    <tableColumn id="19" xr3:uid="{7C109E22-7D05-4D3D-9416-9760085CC706}" name="JORNADA" dataDxfId="30" dataCellStyle="Normal 2"/>
    <tableColumn id="20" xr3:uid="{6759F103-2E20-4B91-8851-820730AE8C35}" name="FASE" dataDxfId="29" dataCellStyle="Normal 2"/>
    <tableColumn id="21" xr3:uid="{DEA2EBD3-381A-4D3F-B764-26F8F743F131}" name="L/V" dataDxfId="28" dataCellStyle="Normal 3"/>
    <tableColumn id="23" xr3:uid="{D5CC1344-44F2-4559-86D2-5CD43B67B00C}" name="rival" dataDxfId="27" dataCellStyle="Normal 3"/>
    <tableColumn id="24" xr3:uid="{ECA9CC20-8ECF-411F-8B7A-C9AFCD3B84C9}" name="POSICION" dataDxfId="26" dataCellStyle="Normal 3">
      <calculatedColumnFormula>IF(OR(BD_ESTADISTICA_INF_B[[#This Row],[Jugador]]="eudald",BD_ESTADISTICA_INF_B[[#This Row],[Jugador]]="jules",BD_ESTADISTICA_INF_B[[#This Row],[Jugador]]="JAN"),"PORTERO","JUGADOR")</calculatedColumnFormula>
    </tableColumn>
    <tableColumn id="11" xr3:uid="{96A71FE8-7C2B-4C18-AC1B-E8C62789BC53}" name="goles favor" dataDxfId="25" dataCellStyle="Normal 3">
      <calculatedColumnFormula>IF(BD_ESTADISTICA_INF_B[[#This Row],[POSICION]]="jugador",BD_ESTADISTICA_INF_B[[#This Row],[Goles]],0)</calculatedColumnFormula>
    </tableColumn>
    <tableColumn id="15" xr3:uid="{46089932-E578-45E8-A8AB-7B2B44941717}" name="goles contra" dataDxfId="24" dataCellStyle="Normal 3">
      <calculatedColumnFormula>IF(BD_ESTADISTICA_INF_B[[#This Row],[POSICION]]="portero",BD_ESTADISTICA_INF_B[[#This Row],[Lanzam.]]-BD_ESTADISTICA_INF_B[[#This Row],[Paradas]],0)</calculatedColumnFormula>
    </tableColumn>
    <tableColumn id="16" xr3:uid="{BDAED3E0-6A88-4C71-B9F0-1E82A087A2F2}" name="lanzamientos realizados" dataDxfId="23" dataCellStyle="Normal 3">
      <calculatedColumnFormula>IF(BD_ESTADISTICA_INF_B[[#This Row],[POSICION]]="jugador",BD_ESTADISTICA_INF_B[[#This Row],[Lanzam.]],0)</calculatedColumnFormula>
    </tableColumn>
    <tableColumn id="18" xr3:uid="{7B0893AD-D9E4-4F00-8941-20FDECBB17AC}" name="lanzamientos recibidos" dataDxfId="22" dataCellStyle="Normal 3">
      <calculatedColumnFormula>IF(BD_ESTADISTICA_INF_B[[#This Row],[POSICION]]="portero",BD_ESTADISTICA_INF_B[[#This Row],[Lanzam.]],0)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Z192"/>
  <sheetViews>
    <sheetView tabSelected="1" workbookViewId="0">
      <pane ySplit="1" topLeftCell="A155" activePane="bottomLeft" state="frozen"/>
      <selection pane="bottomLeft" activeCell="C197" sqref="C197"/>
    </sheetView>
  </sheetViews>
  <sheetFormatPr baseColWidth="10" defaultColWidth="11.59765625" defaultRowHeight="14.4"/>
  <cols>
    <col min="1" max="1" width="11.59765625" style="7" bestFit="1" customWidth="1"/>
    <col min="2" max="2" width="9.19921875" style="7" bestFit="1" customWidth="1"/>
    <col min="3" max="3" width="9.8984375" style="7" bestFit="1" customWidth="1"/>
    <col min="4" max="4" width="11.59765625" style="7" bestFit="1" customWidth="1"/>
    <col min="5" max="5" width="11.8984375" style="7" bestFit="1" customWidth="1"/>
    <col min="6" max="6" width="10.296875" style="8" bestFit="1" customWidth="1"/>
    <col min="7" max="8" width="10.296875" style="42" customWidth="1"/>
    <col min="9" max="9" width="13.296875" style="7" bestFit="1" customWidth="1"/>
    <col min="10" max="10" width="12.69921875" style="7" bestFit="1" customWidth="1"/>
    <col min="11" max="12" width="9.09765625" style="7" bestFit="1" customWidth="1"/>
    <col min="13" max="13" width="9.8984375" style="7" bestFit="1" customWidth="1"/>
    <col min="14" max="14" width="9.09765625" style="7" bestFit="1" customWidth="1"/>
    <col min="15" max="15" width="10.8984375" style="7" bestFit="1" customWidth="1"/>
    <col min="16" max="16" width="14" style="7" bestFit="1" customWidth="1"/>
    <col min="17" max="17" width="19.09765625" style="7" bestFit="1" customWidth="1"/>
    <col min="18" max="18" width="13.296875" style="9" bestFit="1" customWidth="1"/>
    <col min="19" max="19" width="9.69921875" style="10" bestFit="1" customWidth="1"/>
    <col min="20" max="20" width="8.09765625" style="11" bestFit="1" customWidth="1"/>
    <col min="21" max="21" width="23.59765625" style="11" bestFit="1" customWidth="1"/>
    <col min="22" max="22" width="11.69921875" style="6" bestFit="1" customWidth="1"/>
    <col min="23" max="23" width="12.69921875" style="6" bestFit="1" customWidth="1"/>
    <col min="24" max="24" width="13.69921875" style="6" bestFit="1" customWidth="1"/>
    <col min="25" max="25" width="24.09765625" style="6" bestFit="1" customWidth="1"/>
    <col min="26" max="26" width="23.296875" style="6" bestFit="1" customWidth="1"/>
    <col min="27" max="16384" width="11.59765625" style="6"/>
  </cols>
  <sheetData>
    <row r="1" spans="1:26">
      <c r="A1" s="1" t="s">
        <v>0</v>
      </c>
      <c r="B1" s="1" t="s">
        <v>116</v>
      </c>
      <c r="C1" s="2" t="s">
        <v>1</v>
      </c>
      <c r="D1" s="2" t="s">
        <v>2</v>
      </c>
      <c r="E1" s="2" t="s">
        <v>3</v>
      </c>
      <c r="F1" s="1" t="s">
        <v>4</v>
      </c>
      <c r="G1" s="41" t="s">
        <v>114</v>
      </c>
      <c r="H1" s="41" t="s">
        <v>115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43</v>
      </c>
      <c r="R1" s="3" t="s">
        <v>13</v>
      </c>
      <c r="S1" s="4" t="s">
        <v>14</v>
      </c>
      <c r="T1" s="5" t="s">
        <v>15</v>
      </c>
      <c r="U1" s="5" t="s">
        <v>32</v>
      </c>
      <c r="V1" s="6" t="s">
        <v>38</v>
      </c>
      <c r="W1" s="6" t="s">
        <v>52</v>
      </c>
      <c r="X1" s="6" t="s">
        <v>55</v>
      </c>
      <c r="Y1" s="6" t="s">
        <v>53</v>
      </c>
      <c r="Z1" s="6" t="s">
        <v>54</v>
      </c>
    </row>
    <row r="2" spans="1:26" hidden="1">
      <c r="A2" s="21" t="s">
        <v>16</v>
      </c>
      <c r="B2" s="21"/>
      <c r="C2" s="22">
        <v>6</v>
      </c>
      <c r="D2" s="22"/>
      <c r="E2" s="22">
        <v>6</v>
      </c>
      <c r="F2" s="8">
        <f>IF(BD_ESTADISTICA_INF_B[[#This Row],[Lanzam.]]="","",IF(BD_ESTADISTICA_INF_B[[#This Row],[POSICION]]="jugador",C2/E2,D2/E2))</f>
        <v>1</v>
      </c>
      <c r="G2" s="8"/>
      <c r="H2" s="8"/>
      <c r="I2" s="22">
        <v>1</v>
      </c>
      <c r="J2" s="22"/>
      <c r="K2" s="22"/>
      <c r="L2" s="22"/>
      <c r="M2" s="22"/>
      <c r="N2" s="22"/>
      <c r="O2" s="22">
        <v>1</v>
      </c>
      <c r="P2" s="22"/>
      <c r="Q2" s="22"/>
      <c r="R2" s="23">
        <v>1</v>
      </c>
      <c r="S2" s="24">
        <v>1</v>
      </c>
      <c r="T2" s="25" t="s">
        <v>79</v>
      </c>
      <c r="U2" s="11" t="s">
        <v>90</v>
      </c>
      <c r="V2" s="26" t="str">
        <f>IF(OR(BD_ESTADISTICA_INF_B[[#This Row],[Jugador]]="eudald",BD_ESTADISTICA_INF_B[[#This Row],[Jugador]]="jules",BD_ESTADISTICA_INF_B[[#This Row],[Jugador]]="JAN"),"PORTERO","JUGADOR")</f>
        <v>JUGADOR</v>
      </c>
      <c r="W2" s="26">
        <f>IF(BD_ESTADISTICA_INF_B[[#This Row],[POSICION]]="jugador",BD_ESTADISTICA_INF_B[[#This Row],[Goles]],0)</f>
        <v>6</v>
      </c>
      <c r="X2" s="26">
        <f>IF(BD_ESTADISTICA_INF_B[[#This Row],[POSICION]]="portero",BD_ESTADISTICA_INF_B[[#This Row],[Lanzam.]]-BD_ESTADISTICA_INF_B[[#This Row],[Paradas]],0)</f>
        <v>0</v>
      </c>
      <c r="Y2" s="26">
        <f>IF(BD_ESTADISTICA_INF_B[[#This Row],[POSICION]]="jugador",BD_ESTADISTICA_INF_B[[#This Row],[Lanzam.]],0)</f>
        <v>6</v>
      </c>
      <c r="Z2" s="26">
        <f>IF(BD_ESTADISTICA_INF_B[[#This Row],[POSICION]]="portero",BD_ESTADISTICA_INF_B[[#This Row],[Lanzam.]],0)</f>
        <v>0</v>
      </c>
    </row>
    <row r="3" spans="1:26" hidden="1">
      <c r="A3" s="21" t="s">
        <v>17</v>
      </c>
      <c r="B3" s="21"/>
      <c r="C3" s="22">
        <v>6</v>
      </c>
      <c r="D3" s="22"/>
      <c r="E3" s="22">
        <v>7</v>
      </c>
      <c r="F3" s="8">
        <f>IF(BD_ESTADISTICA_INF_B[[#This Row],[Lanzam.]]="","",IF(BD_ESTADISTICA_INF_B[[#This Row],[POSICION]]="jugador",C3/E3,D3/E3))</f>
        <v>0.8571428571428571</v>
      </c>
      <c r="G3" s="8"/>
      <c r="H3" s="8"/>
      <c r="I3" s="22">
        <v>1</v>
      </c>
      <c r="J3" s="22"/>
      <c r="K3" s="22"/>
      <c r="L3" s="22"/>
      <c r="M3" s="22"/>
      <c r="N3" s="22"/>
      <c r="O3" s="22">
        <v>2</v>
      </c>
      <c r="P3" s="22"/>
      <c r="Q3" s="22"/>
      <c r="R3" s="23">
        <v>1</v>
      </c>
      <c r="S3" s="24">
        <v>1</v>
      </c>
      <c r="T3" s="25" t="s">
        <v>79</v>
      </c>
      <c r="U3" s="11" t="s">
        <v>90</v>
      </c>
      <c r="V3" s="26" t="str">
        <f>IF(OR(BD_ESTADISTICA_INF_B[[#This Row],[Jugador]]="eudald",BD_ESTADISTICA_INF_B[[#This Row],[Jugador]]="jules",BD_ESTADISTICA_INF_B[[#This Row],[Jugador]]="JAN"),"PORTERO","JUGADOR")</f>
        <v>JUGADOR</v>
      </c>
      <c r="W3" s="26">
        <f>IF(BD_ESTADISTICA_INF_B[[#This Row],[POSICION]]="jugador",BD_ESTADISTICA_INF_B[[#This Row],[Goles]],0)</f>
        <v>6</v>
      </c>
      <c r="X3" s="26">
        <f>IF(BD_ESTADISTICA_INF_B[[#This Row],[POSICION]]="portero",BD_ESTADISTICA_INF_B[[#This Row],[Lanzam.]]-BD_ESTADISTICA_INF_B[[#This Row],[Paradas]],0)</f>
        <v>0</v>
      </c>
      <c r="Y3" s="26">
        <f>IF(BD_ESTADISTICA_INF_B[[#This Row],[POSICION]]="jugador",BD_ESTADISTICA_INF_B[[#This Row],[Lanzam.]],0)</f>
        <v>7</v>
      </c>
      <c r="Z3" s="26">
        <f>IF(BD_ESTADISTICA_INF_B[[#This Row],[POSICION]]="portero",BD_ESTADISTICA_INF_B[[#This Row],[Lanzam.]],0)</f>
        <v>0</v>
      </c>
    </row>
    <row r="4" spans="1:26" hidden="1">
      <c r="A4" s="21" t="s">
        <v>18</v>
      </c>
      <c r="B4" s="21"/>
      <c r="C4" s="22">
        <v>2</v>
      </c>
      <c r="D4" s="22"/>
      <c r="E4" s="22">
        <v>2</v>
      </c>
      <c r="F4" s="8">
        <f>IF(BD_ESTADISTICA_INF_B[[#This Row],[Lanzam.]]="","",IF(BD_ESTADISTICA_INF_B[[#This Row],[POSICION]]="jugador",C4/E4,D4/E4))</f>
        <v>1</v>
      </c>
      <c r="G4" s="8"/>
      <c r="H4" s="8"/>
      <c r="I4" s="22">
        <v>5</v>
      </c>
      <c r="J4" s="22"/>
      <c r="K4" s="22"/>
      <c r="L4" s="22"/>
      <c r="M4" s="22"/>
      <c r="N4" s="22"/>
      <c r="O4" s="22">
        <v>1</v>
      </c>
      <c r="P4" s="22">
        <v>1</v>
      </c>
      <c r="Q4" s="22">
        <v>1</v>
      </c>
      <c r="R4" s="23">
        <v>1</v>
      </c>
      <c r="S4" s="24">
        <v>1</v>
      </c>
      <c r="T4" s="25" t="s">
        <v>79</v>
      </c>
      <c r="U4" s="11" t="s">
        <v>90</v>
      </c>
      <c r="V4" s="26" t="str">
        <f>IF(OR(BD_ESTADISTICA_INF_B[[#This Row],[Jugador]]="eudald",BD_ESTADISTICA_INF_B[[#This Row],[Jugador]]="jules",BD_ESTADISTICA_INF_B[[#This Row],[Jugador]]="JAN"),"PORTERO","JUGADOR")</f>
        <v>JUGADOR</v>
      </c>
      <c r="W4" s="26">
        <f>IF(BD_ESTADISTICA_INF_B[[#This Row],[POSICION]]="jugador",BD_ESTADISTICA_INF_B[[#This Row],[Goles]],0)</f>
        <v>2</v>
      </c>
      <c r="X4" s="26">
        <f>IF(BD_ESTADISTICA_INF_B[[#This Row],[POSICION]]="portero",BD_ESTADISTICA_INF_B[[#This Row],[Lanzam.]]-BD_ESTADISTICA_INF_B[[#This Row],[Paradas]],0)</f>
        <v>0</v>
      </c>
      <c r="Y4" s="26">
        <f>IF(BD_ESTADISTICA_INF_B[[#This Row],[POSICION]]="jugador",BD_ESTADISTICA_INF_B[[#This Row],[Lanzam.]],0)</f>
        <v>2</v>
      </c>
      <c r="Z4" s="26">
        <f>IF(BD_ESTADISTICA_INF_B[[#This Row],[POSICION]]="portero",BD_ESTADISTICA_INF_B[[#This Row],[Lanzam.]],0)</f>
        <v>0</v>
      </c>
    </row>
    <row r="5" spans="1:26" hidden="1">
      <c r="A5" s="21" t="s">
        <v>19</v>
      </c>
      <c r="B5" s="21"/>
      <c r="C5" s="22">
        <v>4</v>
      </c>
      <c r="D5" s="22"/>
      <c r="E5" s="22">
        <v>5</v>
      </c>
      <c r="F5" s="8">
        <f>IF(BD_ESTADISTICA_INF_B[[#This Row],[Lanzam.]]="","",IF(BD_ESTADISTICA_INF_B[[#This Row],[POSICION]]="jugador",C5/E5,D5/E5))</f>
        <v>0.8</v>
      </c>
      <c r="G5" s="8"/>
      <c r="H5" s="8"/>
      <c r="I5" s="22">
        <v>3</v>
      </c>
      <c r="J5" s="22"/>
      <c r="K5" s="22">
        <v>1</v>
      </c>
      <c r="L5" s="22"/>
      <c r="M5" s="22"/>
      <c r="N5" s="22"/>
      <c r="O5" s="22"/>
      <c r="P5" s="22"/>
      <c r="Q5" s="22"/>
      <c r="R5" s="23">
        <v>1</v>
      </c>
      <c r="S5" s="24">
        <v>1</v>
      </c>
      <c r="T5" s="25" t="s">
        <v>79</v>
      </c>
      <c r="U5" s="11" t="s">
        <v>90</v>
      </c>
      <c r="V5" s="26" t="str">
        <f>IF(OR(BD_ESTADISTICA_INF_B[[#This Row],[Jugador]]="eudald",BD_ESTADISTICA_INF_B[[#This Row],[Jugador]]="jules",BD_ESTADISTICA_INF_B[[#This Row],[Jugador]]="JAN"),"PORTERO","JUGADOR")</f>
        <v>JUGADOR</v>
      </c>
      <c r="W5" s="26">
        <f>IF(BD_ESTADISTICA_INF_B[[#This Row],[POSICION]]="jugador",BD_ESTADISTICA_INF_B[[#This Row],[Goles]],0)</f>
        <v>4</v>
      </c>
      <c r="X5" s="26">
        <f>IF(BD_ESTADISTICA_INF_B[[#This Row],[POSICION]]="portero",BD_ESTADISTICA_INF_B[[#This Row],[Lanzam.]]-BD_ESTADISTICA_INF_B[[#This Row],[Paradas]],0)</f>
        <v>0</v>
      </c>
      <c r="Y5" s="26">
        <f>IF(BD_ESTADISTICA_INF_B[[#This Row],[POSICION]]="jugador",BD_ESTADISTICA_INF_B[[#This Row],[Lanzam.]],0)</f>
        <v>5</v>
      </c>
      <c r="Z5" s="26">
        <f>IF(BD_ESTADISTICA_INF_B[[#This Row],[POSICION]]="portero",BD_ESTADISTICA_INF_B[[#This Row],[Lanzam.]],0)</f>
        <v>0</v>
      </c>
    </row>
    <row r="6" spans="1:26" hidden="1">
      <c r="A6" s="21" t="s">
        <v>20</v>
      </c>
      <c r="B6" s="21"/>
      <c r="C6" s="22">
        <v>2</v>
      </c>
      <c r="D6" s="22"/>
      <c r="E6" s="22">
        <v>3</v>
      </c>
      <c r="F6" s="8">
        <f>IF(BD_ESTADISTICA_INF_B[[#This Row],[Lanzam.]]="","",IF(BD_ESTADISTICA_INF_B[[#This Row],[POSICION]]="jugador",C6/E6,D6/E6))</f>
        <v>0.66666666666666663</v>
      </c>
      <c r="G6" s="8"/>
      <c r="H6" s="8"/>
      <c r="I6" s="22">
        <v>1</v>
      </c>
      <c r="J6" s="22">
        <v>1</v>
      </c>
      <c r="K6" s="22"/>
      <c r="L6" s="22"/>
      <c r="M6" s="22"/>
      <c r="N6" s="22"/>
      <c r="O6" s="22">
        <v>1</v>
      </c>
      <c r="P6" s="22"/>
      <c r="Q6" s="22"/>
      <c r="R6" s="23">
        <v>1</v>
      </c>
      <c r="S6" s="24">
        <v>1</v>
      </c>
      <c r="T6" s="25" t="s">
        <v>79</v>
      </c>
      <c r="U6" s="11" t="s">
        <v>90</v>
      </c>
      <c r="V6" s="26" t="str">
        <f>IF(OR(BD_ESTADISTICA_INF_B[[#This Row],[Jugador]]="eudald",BD_ESTADISTICA_INF_B[[#This Row],[Jugador]]="jules",BD_ESTADISTICA_INF_B[[#This Row],[Jugador]]="JAN"),"PORTERO","JUGADOR")</f>
        <v>JUGADOR</v>
      </c>
      <c r="W6" s="26">
        <f>IF(BD_ESTADISTICA_INF_B[[#This Row],[POSICION]]="jugador",BD_ESTADISTICA_INF_B[[#This Row],[Goles]],0)</f>
        <v>2</v>
      </c>
      <c r="X6" s="26">
        <f>IF(BD_ESTADISTICA_INF_B[[#This Row],[POSICION]]="portero",BD_ESTADISTICA_INF_B[[#This Row],[Lanzam.]]-BD_ESTADISTICA_INF_B[[#This Row],[Paradas]],0)</f>
        <v>0</v>
      </c>
      <c r="Y6" s="26">
        <f>IF(BD_ESTADISTICA_INF_B[[#This Row],[POSICION]]="jugador",BD_ESTADISTICA_INF_B[[#This Row],[Lanzam.]],0)</f>
        <v>3</v>
      </c>
      <c r="Z6" s="26">
        <f>IF(BD_ESTADISTICA_INF_B[[#This Row],[POSICION]]="portero",BD_ESTADISTICA_INF_B[[#This Row],[Lanzam.]],0)</f>
        <v>0</v>
      </c>
    </row>
    <row r="7" spans="1:26" hidden="1">
      <c r="A7" s="21" t="s">
        <v>21</v>
      </c>
      <c r="B7" s="21"/>
      <c r="C7" s="22">
        <v>7</v>
      </c>
      <c r="D7" s="22"/>
      <c r="E7" s="22">
        <v>9</v>
      </c>
      <c r="F7" s="8">
        <f>IF(BD_ESTADISTICA_INF_B[[#This Row],[Lanzam.]]="","",IF(BD_ESTADISTICA_INF_B[[#This Row],[POSICION]]="jugador",C7/E7,D7/E7))</f>
        <v>0.77777777777777779</v>
      </c>
      <c r="G7" s="8"/>
      <c r="H7" s="8"/>
      <c r="I7" s="22">
        <v>1</v>
      </c>
      <c r="J7" s="22"/>
      <c r="K7" s="22"/>
      <c r="L7" s="22"/>
      <c r="M7" s="22"/>
      <c r="N7" s="22"/>
      <c r="O7" s="22"/>
      <c r="P7" s="22"/>
      <c r="Q7" s="22">
        <v>1</v>
      </c>
      <c r="R7" s="23">
        <v>1</v>
      </c>
      <c r="S7" s="24">
        <v>1</v>
      </c>
      <c r="T7" s="25" t="s">
        <v>79</v>
      </c>
      <c r="U7" s="11" t="s">
        <v>90</v>
      </c>
      <c r="V7" s="26" t="str">
        <f>IF(OR(BD_ESTADISTICA_INF_B[[#This Row],[Jugador]]="eudald",BD_ESTADISTICA_INF_B[[#This Row],[Jugador]]="jules",BD_ESTADISTICA_INF_B[[#This Row],[Jugador]]="JAN"),"PORTERO","JUGADOR")</f>
        <v>JUGADOR</v>
      </c>
      <c r="W7" s="26">
        <f>IF(BD_ESTADISTICA_INF_B[[#This Row],[POSICION]]="jugador",BD_ESTADISTICA_INF_B[[#This Row],[Goles]],0)</f>
        <v>7</v>
      </c>
      <c r="X7" s="26">
        <f>IF(BD_ESTADISTICA_INF_B[[#This Row],[POSICION]]="portero",BD_ESTADISTICA_INF_B[[#This Row],[Lanzam.]]-BD_ESTADISTICA_INF_B[[#This Row],[Paradas]],0)</f>
        <v>0</v>
      </c>
      <c r="Y7" s="26">
        <f>IF(BD_ESTADISTICA_INF_B[[#This Row],[POSICION]]="jugador",BD_ESTADISTICA_INF_B[[#This Row],[Lanzam.]],0)</f>
        <v>9</v>
      </c>
      <c r="Z7" s="26">
        <f>IF(BD_ESTADISTICA_INF_B[[#This Row],[POSICION]]="portero",BD_ESTADISTICA_INF_B[[#This Row],[Lanzam.]],0)</f>
        <v>0</v>
      </c>
    </row>
    <row r="8" spans="1:26" hidden="1">
      <c r="A8" s="21" t="s">
        <v>40</v>
      </c>
      <c r="B8" s="21"/>
      <c r="C8" s="22">
        <v>1</v>
      </c>
      <c r="D8" s="22"/>
      <c r="E8" s="22">
        <v>2</v>
      </c>
      <c r="F8" s="8">
        <f>IF(BD_ESTADISTICA_INF_B[[#This Row],[Lanzam.]]="","",IF(BD_ESTADISTICA_INF_B[[#This Row],[POSICION]]="jugador",C8/E8,D8/E8))</f>
        <v>0.5</v>
      </c>
      <c r="G8" s="8"/>
      <c r="H8" s="8"/>
      <c r="I8" s="22">
        <v>2</v>
      </c>
      <c r="J8" s="22">
        <v>1</v>
      </c>
      <c r="K8" s="22"/>
      <c r="L8" s="22"/>
      <c r="M8" s="22"/>
      <c r="N8" s="22"/>
      <c r="O8" s="22">
        <v>4</v>
      </c>
      <c r="P8" s="22"/>
      <c r="Q8" s="22"/>
      <c r="R8" s="23">
        <v>1</v>
      </c>
      <c r="S8" s="24">
        <v>1</v>
      </c>
      <c r="T8" s="25" t="s">
        <v>79</v>
      </c>
      <c r="U8" s="11" t="s">
        <v>90</v>
      </c>
      <c r="V8" s="26" t="str">
        <f>IF(OR(BD_ESTADISTICA_INF_B[[#This Row],[Jugador]]="eudald",BD_ESTADISTICA_INF_B[[#This Row],[Jugador]]="jules",BD_ESTADISTICA_INF_B[[#This Row],[Jugador]]="JAN"),"PORTERO","JUGADOR")</f>
        <v>JUGADOR</v>
      </c>
      <c r="W8" s="26">
        <f>IF(BD_ESTADISTICA_INF_B[[#This Row],[POSICION]]="jugador",BD_ESTADISTICA_INF_B[[#This Row],[Goles]],0)</f>
        <v>1</v>
      </c>
      <c r="X8" s="26">
        <f>IF(BD_ESTADISTICA_INF_B[[#This Row],[POSICION]]="portero",BD_ESTADISTICA_INF_B[[#This Row],[Lanzam.]]-BD_ESTADISTICA_INF_B[[#This Row],[Paradas]],0)</f>
        <v>0</v>
      </c>
      <c r="Y8" s="26">
        <f>IF(BD_ESTADISTICA_INF_B[[#This Row],[POSICION]]="jugador",BD_ESTADISTICA_INF_B[[#This Row],[Lanzam.]],0)</f>
        <v>2</v>
      </c>
      <c r="Z8" s="26">
        <f>IF(BD_ESTADISTICA_INF_B[[#This Row],[POSICION]]="portero",BD_ESTADISTICA_INF_B[[#This Row],[Lanzam.]],0)</f>
        <v>0</v>
      </c>
    </row>
    <row r="9" spans="1:26" hidden="1">
      <c r="A9" s="21" t="s">
        <v>41</v>
      </c>
      <c r="B9" s="21"/>
      <c r="C9" s="22">
        <v>2</v>
      </c>
      <c r="D9" s="22"/>
      <c r="E9" s="22">
        <v>2</v>
      </c>
      <c r="F9" s="8">
        <f>IF(BD_ESTADISTICA_INF_B[[#This Row],[Lanzam.]]="","",IF(BD_ESTADISTICA_INF_B[[#This Row],[POSICION]]="jugador",C9/E9,D9/E9))</f>
        <v>1</v>
      </c>
      <c r="G9" s="8"/>
      <c r="H9" s="8"/>
      <c r="I9" s="22">
        <v>1</v>
      </c>
      <c r="J9" s="22"/>
      <c r="K9" s="22"/>
      <c r="L9" s="22"/>
      <c r="M9" s="22"/>
      <c r="N9" s="22"/>
      <c r="O9" s="22">
        <v>1</v>
      </c>
      <c r="P9" s="22"/>
      <c r="Q9" s="22"/>
      <c r="R9" s="23">
        <v>1</v>
      </c>
      <c r="S9" s="24">
        <v>1</v>
      </c>
      <c r="T9" s="25" t="s">
        <v>79</v>
      </c>
      <c r="U9" s="11" t="s">
        <v>90</v>
      </c>
      <c r="V9" s="26" t="str">
        <f>IF(OR(BD_ESTADISTICA_INF_B[[#This Row],[Jugador]]="eudald",BD_ESTADISTICA_INF_B[[#This Row],[Jugador]]="jules",BD_ESTADISTICA_INF_B[[#This Row],[Jugador]]="JAN"),"PORTERO","JUGADOR")</f>
        <v>JUGADOR</v>
      </c>
      <c r="W9" s="26">
        <f>IF(BD_ESTADISTICA_INF_B[[#This Row],[POSICION]]="jugador",BD_ESTADISTICA_INF_B[[#This Row],[Goles]],0)</f>
        <v>2</v>
      </c>
      <c r="X9" s="26">
        <f>IF(BD_ESTADISTICA_INF_B[[#This Row],[POSICION]]="portero",BD_ESTADISTICA_INF_B[[#This Row],[Lanzam.]]-BD_ESTADISTICA_INF_B[[#This Row],[Paradas]],0)</f>
        <v>0</v>
      </c>
      <c r="Y9" s="26">
        <f>IF(BD_ESTADISTICA_INF_B[[#This Row],[POSICION]]="jugador",BD_ESTADISTICA_INF_B[[#This Row],[Lanzam.]],0)</f>
        <v>2</v>
      </c>
      <c r="Z9" s="26">
        <f>IF(BD_ESTADISTICA_INF_B[[#This Row],[POSICION]]="portero",BD_ESTADISTICA_INF_B[[#This Row],[Lanzam.]],0)</f>
        <v>0</v>
      </c>
    </row>
    <row r="10" spans="1:26" hidden="1">
      <c r="A10" s="21" t="s">
        <v>23</v>
      </c>
      <c r="B10" s="21"/>
      <c r="C10" s="22">
        <v>5</v>
      </c>
      <c r="D10" s="22"/>
      <c r="E10" s="22">
        <v>5</v>
      </c>
      <c r="F10" s="8">
        <f>IF(BD_ESTADISTICA_INF_B[[#This Row],[Lanzam.]]="","",IF(BD_ESTADISTICA_INF_B[[#This Row],[POSICION]]="jugador",C10/E10,D10/E10))</f>
        <v>1</v>
      </c>
      <c r="G10" s="8"/>
      <c r="H10" s="8"/>
      <c r="I10" s="22">
        <v>2</v>
      </c>
      <c r="J10" s="22">
        <v>1</v>
      </c>
      <c r="K10" s="22">
        <v>2</v>
      </c>
      <c r="L10" s="22"/>
      <c r="M10" s="22"/>
      <c r="N10" s="22"/>
      <c r="O10" s="22">
        <v>3</v>
      </c>
      <c r="P10" s="22"/>
      <c r="Q10" s="22"/>
      <c r="R10" s="23">
        <v>1</v>
      </c>
      <c r="S10" s="24">
        <v>1</v>
      </c>
      <c r="T10" s="25" t="s">
        <v>79</v>
      </c>
      <c r="U10" s="11" t="s">
        <v>90</v>
      </c>
      <c r="V10" s="26" t="str">
        <f>IF(OR(BD_ESTADISTICA_INF_B[[#This Row],[Jugador]]="eudald",BD_ESTADISTICA_INF_B[[#This Row],[Jugador]]="jules",BD_ESTADISTICA_INF_B[[#This Row],[Jugador]]="JAN"),"PORTERO","JUGADOR")</f>
        <v>JUGADOR</v>
      </c>
      <c r="W10" s="26">
        <f>IF(BD_ESTADISTICA_INF_B[[#This Row],[POSICION]]="jugador",BD_ESTADISTICA_INF_B[[#This Row],[Goles]],0)</f>
        <v>5</v>
      </c>
      <c r="X10" s="26">
        <f>IF(BD_ESTADISTICA_INF_B[[#This Row],[POSICION]]="portero",BD_ESTADISTICA_INF_B[[#This Row],[Lanzam.]]-BD_ESTADISTICA_INF_B[[#This Row],[Paradas]],0)</f>
        <v>0</v>
      </c>
      <c r="Y10" s="26">
        <f>IF(BD_ESTADISTICA_INF_B[[#This Row],[POSICION]]="jugador",BD_ESTADISTICA_INF_B[[#This Row],[Lanzam.]],0)</f>
        <v>5</v>
      </c>
      <c r="Z10" s="26">
        <f>IF(BD_ESTADISTICA_INF_B[[#This Row],[POSICION]]="portero",BD_ESTADISTICA_INF_B[[#This Row],[Lanzam.]],0)</f>
        <v>0</v>
      </c>
    </row>
    <row r="11" spans="1:26" hidden="1">
      <c r="A11" s="34" t="s">
        <v>24</v>
      </c>
      <c r="B11" s="34"/>
      <c r="C11" s="22"/>
      <c r="D11" s="22"/>
      <c r="E11" s="22"/>
      <c r="F11" s="8" t="str">
        <f>IF(BD_ESTADISTICA_INF_B[[#This Row],[Lanzam.]]="","",IF(BD_ESTADISTICA_INF_B[[#This Row],[POSICION]]="jugador",C11/E11,D11/E11))</f>
        <v/>
      </c>
      <c r="G11" s="8"/>
      <c r="H11" s="8"/>
      <c r="I11" s="22"/>
      <c r="J11" s="22"/>
      <c r="K11" s="22"/>
      <c r="L11" s="22"/>
      <c r="M11" s="22"/>
      <c r="N11" s="22"/>
      <c r="O11" s="22"/>
      <c r="P11" s="22"/>
      <c r="Q11" s="22"/>
      <c r="R11" s="23">
        <v>1</v>
      </c>
      <c r="S11" s="24">
        <v>1</v>
      </c>
      <c r="T11" s="25" t="s">
        <v>79</v>
      </c>
      <c r="U11" s="11" t="s">
        <v>90</v>
      </c>
      <c r="V11" s="26" t="str">
        <f>IF(OR(BD_ESTADISTICA_INF_B[[#This Row],[Jugador]]="eudald",BD_ESTADISTICA_INF_B[[#This Row],[Jugador]]="jules",BD_ESTADISTICA_INF_B[[#This Row],[Jugador]]="JAN"),"PORTERO","JUGADOR")</f>
        <v>JUGADOR</v>
      </c>
      <c r="W11" s="26">
        <f>IF(BD_ESTADISTICA_INF_B[[#This Row],[POSICION]]="jugador",BD_ESTADISTICA_INF_B[[#This Row],[Goles]],0)</f>
        <v>0</v>
      </c>
      <c r="X11" s="26">
        <f>IF(BD_ESTADISTICA_INF_B[[#This Row],[POSICION]]="portero",BD_ESTADISTICA_INF_B[[#This Row],[Lanzam.]]-BD_ESTADISTICA_INF_B[[#This Row],[Paradas]],0)</f>
        <v>0</v>
      </c>
      <c r="Y11" s="26">
        <f>IF(BD_ESTADISTICA_INF_B[[#This Row],[POSICION]]="jugador",BD_ESTADISTICA_INF_B[[#This Row],[Lanzam.]],0)</f>
        <v>0</v>
      </c>
      <c r="Z11" s="26">
        <f>IF(BD_ESTADISTICA_INF_B[[#This Row],[POSICION]]="portero",BD_ESTADISTICA_INF_B[[#This Row],[Lanzam.]],0)</f>
        <v>0</v>
      </c>
    </row>
    <row r="12" spans="1:26" hidden="1">
      <c r="A12" s="21" t="s">
        <v>25</v>
      </c>
      <c r="B12" s="21"/>
      <c r="C12" s="22">
        <v>2</v>
      </c>
      <c r="D12" s="22"/>
      <c r="E12" s="22">
        <v>2</v>
      </c>
      <c r="F12" s="8">
        <f>IF(BD_ESTADISTICA_INF_B[[#This Row],[Lanzam.]]="","",IF(BD_ESTADISTICA_INF_B[[#This Row],[POSICION]]="jugador",C12/E12,D12/E12))</f>
        <v>1</v>
      </c>
      <c r="G12" s="8"/>
      <c r="H12" s="8"/>
      <c r="I12" s="22">
        <v>6</v>
      </c>
      <c r="J12" s="22"/>
      <c r="K12" s="22">
        <v>3</v>
      </c>
      <c r="L12" s="22"/>
      <c r="M12" s="22"/>
      <c r="N12" s="22"/>
      <c r="O12" s="22">
        <v>5</v>
      </c>
      <c r="P12" s="22"/>
      <c r="Q12" s="22"/>
      <c r="R12" s="23">
        <v>1</v>
      </c>
      <c r="S12" s="24">
        <v>1</v>
      </c>
      <c r="T12" s="25" t="s">
        <v>79</v>
      </c>
      <c r="U12" s="11" t="s">
        <v>90</v>
      </c>
      <c r="V12" s="26" t="str">
        <f>IF(OR(BD_ESTADISTICA_INF_B[[#This Row],[Jugador]]="eudald",BD_ESTADISTICA_INF_B[[#This Row],[Jugador]]="jules",BD_ESTADISTICA_INF_B[[#This Row],[Jugador]]="JAN"),"PORTERO","JUGADOR")</f>
        <v>JUGADOR</v>
      </c>
      <c r="W12" s="26">
        <f>IF(BD_ESTADISTICA_INF_B[[#This Row],[POSICION]]="jugador",BD_ESTADISTICA_INF_B[[#This Row],[Goles]],0)</f>
        <v>2</v>
      </c>
      <c r="X12" s="26">
        <f>IF(BD_ESTADISTICA_INF_B[[#This Row],[POSICION]]="portero",BD_ESTADISTICA_INF_B[[#This Row],[Lanzam.]]-BD_ESTADISTICA_INF_B[[#This Row],[Paradas]],0)</f>
        <v>0</v>
      </c>
      <c r="Y12" s="26">
        <f>IF(BD_ESTADISTICA_INF_B[[#This Row],[POSICION]]="jugador",BD_ESTADISTICA_INF_B[[#This Row],[Lanzam.]],0)</f>
        <v>2</v>
      </c>
      <c r="Z12" s="26">
        <f>IF(BD_ESTADISTICA_INF_B[[#This Row],[POSICION]]="portero",BD_ESTADISTICA_INF_B[[#This Row],[Lanzam.]],0)</f>
        <v>0</v>
      </c>
    </row>
    <row r="13" spans="1:26" hidden="1">
      <c r="A13" s="34" t="s">
        <v>26</v>
      </c>
      <c r="B13" s="34"/>
      <c r="C13" s="22"/>
      <c r="D13" s="22"/>
      <c r="E13" s="22"/>
      <c r="F13" s="8" t="str">
        <f>IF(BD_ESTADISTICA_INF_B[[#This Row],[Lanzam.]]="","",IF(BD_ESTADISTICA_INF_B[[#This Row],[POSICION]]="jugador",C13/E13,D13/E13))</f>
        <v/>
      </c>
      <c r="G13" s="8"/>
      <c r="H13" s="8"/>
      <c r="I13" s="22"/>
      <c r="J13" s="22"/>
      <c r="K13" s="22"/>
      <c r="L13" s="22"/>
      <c r="M13" s="22"/>
      <c r="N13" s="22"/>
      <c r="O13" s="22"/>
      <c r="P13" s="22"/>
      <c r="Q13" s="22"/>
      <c r="R13" s="23">
        <v>1</v>
      </c>
      <c r="S13" s="24">
        <v>1</v>
      </c>
      <c r="T13" s="25" t="s">
        <v>79</v>
      </c>
      <c r="U13" s="11" t="s">
        <v>90</v>
      </c>
      <c r="V13" s="26" t="str">
        <f>IF(OR(BD_ESTADISTICA_INF_B[[#This Row],[Jugador]]="eudald",BD_ESTADISTICA_INF_B[[#This Row],[Jugador]]="jules",BD_ESTADISTICA_INF_B[[#This Row],[Jugador]]="JAN"),"PORTERO","JUGADOR")</f>
        <v>JUGADOR</v>
      </c>
      <c r="W13" s="26">
        <f>IF(BD_ESTADISTICA_INF_B[[#This Row],[POSICION]]="jugador",BD_ESTADISTICA_INF_B[[#This Row],[Goles]],0)</f>
        <v>0</v>
      </c>
      <c r="X13" s="26">
        <f>IF(BD_ESTADISTICA_INF_B[[#This Row],[POSICION]]="portero",BD_ESTADISTICA_INF_B[[#This Row],[Lanzam.]]-BD_ESTADISTICA_INF_B[[#This Row],[Paradas]],0)</f>
        <v>0</v>
      </c>
      <c r="Y13" s="26">
        <f>IF(BD_ESTADISTICA_INF_B[[#This Row],[POSICION]]="jugador",BD_ESTADISTICA_INF_B[[#This Row],[Lanzam.]],0)</f>
        <v>0</v>
      </c>
      <c r="Z13" s="26">
        <f>IF(BD_ESTADISTICA_INF_B[[#This Row],[POSICION]]="portero",BD_ESTADISTICA_INF_B[[#This Row],[Lanzam.]],0)</f>
        <v>0</v>
      </c>
    </row>
    <row r="14" spans="1:26" hidden="1">
      <c r="A14" s="21" t="s">
        <v>27</v>
      </c>
      <c r="B14" s="21"/>
      <c r="C14" s="22">
        <v>10</v>
      </c>
      <c r="D14" s="22"/>
      <c r="E14" s="22">
        <v>11</v>
      </c>
      <c r="F14" s="8">
        <f>IF(BD_ESTADISTICA_INF_B[[#This Row],[Lanzam.]]="","",IF(BD_ESTADISTICA_INF_B[[#This Row],[POSICION]]="jugador",C14/E14,D14/E14))</f>
        <v>0.90909090909090906</v>
      </c>
      <c r="G14" s="8"/>
      <c r="H14" s="8"/>
      <c r="I14" s="22"/>
      <c r="J14" s="22"/>
      <c r="K14" s="22"/>
      <c r="L14" s="22"/>
      <c r="M14" s="22"/>
      <c r="N14" s="22"/>
      <c r="O14" s="22">
        <v>7</v>
      </c>
      <c r="P14" s="22"/>
      <c r="Q14" s="22"/>
      <c r="R14" s="23">
        <v>1</v>
      </c>
      <c r="S14" s="24">
        <v>1</v>
      </c>
      <c r="T14" s="25" t="s">
        <v>79</v>
      </c>
      <c r="U14" s="11" t="s">
        <v>90</v>
      </c>
      <c r="V14" s="26" t="str">
        <f>IF(OR(BD_ESTADISTICA_INF_B[[#This Row],[Jugador]]="eudald",BD_ESTADISTICA_INF_B[[#This Row],[Jugador]]="jules",BD_ESTADISTICA_INF_B[[#This Row],[Jugador]]="JAN"),"PORTERO","JUGADOR")</f>
        <v>JUGADOR</v>
      </c>
      <c r="W14" s="26">
        <f>IF(BD_ESTADISTICA_INF_B[[#This Row],[POSICION]]="jugador",BD_ESTADISTICA_INF_B[[#This Row],[Goles]],0)</f>
        <v>10</v>
      </c>
      <c r="X14" s="26">
        <f>IF(BD_ESTADISTICA_INF_B[[#This Row],[POSICION]]="portero",BD_ESTADISTICA_INF_B[[#This Row],[Lanzam.]]-BD_ESTADISTICA_INF_B[[#This Row],[Paradas]],0)</f>
        <v>0</v>
      </c>
      <c r="Y14" s="26">
        <f>IF(BD_ESTADISTICA_INF_B[[#This Row],[POSICION]]="jugador",BD_ESTADISTICA_INF_B[[#This Row],[Lanzam.]],0)</f>
        <v>11</v>
      </c>
      <c r="Z14" s="26">
        <f>IF(BD_ESTADISTICA_INF_B[[#This Row],[POSICION]]="portero",BD_ESTADISTICA_INF_B[[#This Row],[Lanzam.]],0)</f>
        <v>0</v>
      </c>
    </row>
    <row r="15" spans="1:26" hidden="1">
      <c r="A15" s="21" t="s">
        <v>28</v>
      </c>
      <c r="B15" s="21"/>
      <c r="C15" s="22">
        <v>3</v>
      </c>
      <c r="D15" s="22"/>
      <c r="E15" s="22">
        <v>3</v>
      </c>
      <c r="F15" s="8">
        <f>IF(BD_ESTADISTICA_INF_B[[#This Row],[Lanzam.]]="","",IF(BD_ESTADISTICA_INF_B[[#This Row],[POSICION]]="jugador",C15/E15,D15/E15))</f>
        <v>1</v>
      </c>
      <c r="G15" s="8"/>
      <c r="H15" s="8"/>
      <c r="I15" s="22">
        <v>4</v>
      </c>
      <c r="J15" s="22"/>
      <c r="K15" s="22"/>
      <c r="L15" s="22"/>
      <c r="M15" s="22"/>
      <c r="N15" s="22"/>
      <c r="O15" s="22"/>
      <c r="P15" s="22"/>
      <c r="Q15" s="22"/>
      <c r="R15" s="23">
        <v>1</v>
      </c>
      <c r="S15" s="24">
        <v>1</v>
      </c>
      <c r="T15" s="25" t="s">
        <v>79</v>
      </c>
      <c r="U15" s="11" t="s">
        <v>90</v>
      </c>
      <c r="V15" s="26" t="str">
        <f>IF(OR(BD_ESTADISTICA_INF_B[[#This Row],[Jugador]]="eudald",BD_ESTADISTICA_INF_B[[#This Row],[Jugador]]="jules",BD_ESTADISTICA_INF_B[[#This Row],[Jugador]]="JAN"),"PORTERO","JUGADOR")</f>
        <v>JUGADOR</v>
      </c>
      <c r="W15" s="26">
        <f>IF(BD_ESTADISTICA_INF_B[[#This Row],[POSICION]]="jugador",BD_ESTADISTICA_INF_B[[#This Row],[Goles]],0)</f>
        <v>3</v>
      </c>
      <c r="X15" s="26">
        <f>IF(BD_ESTADISTICA_INF_B[[#This Row],[POSICION]]="portero",BD_ESTADISTICA_INF_B[[#This Row],[Lanzam.]]-BD_ESTADISTICA_INF_B[[#This Row],[Paradas]],0)</f>
        <v>0</v>
      </c>
      <c r="Y15" s="26">
        <f>IF(BD_ESTADISTICA_INF_B[[#This Row],[POSICION]]="jugador",BD_ESTADISTICA_INF_B[[#This Row],[Lanzam.]],0)</f>
        <v>3</v>
      </c>
      <c r="Z15" s="26">
        <f>IF(BD_ESTADISTICA_INF_B[[#This Row],[POSICION]]="portero",BD_ESTADISTICA_INF_B[[#This Row],[Lanzam.]],0)</f>
        <v>0</v>
      </c>
    </row>
    <row r="16" spans="1:26" hidden="1">
      <c r="A16" s="34" t="s">
        <v>31</v>
      </c>
      <c r="B16" s="34"/>
      <c r="C16" s="22"/>
      <c r="D16" s="22"/>
      <c r="E16" s="22"/>
      <c r="F16" s="8" t="str">
        <f>IF(BD_ESTADISTICA_INF_B[[#This Row],[Lanzam.]]="","",IF(BD_ESTADISTICA_INF_B[[#This Row],[POSICION]]="jugador",C16/E16,D16/E16))</f>
        <v/>
      </c>
      <c r="G16" s="8"/>
      <c r="H16" s="8"/>
      <c r="I16" s="22"/>
      <c r="J16" s="22"/>
      <c r="K16" s="22"/>
      <c r="L16" s="22"/>
      <c r="M16" s="22"/>
      <c r="N16" s="22"/>
      <c r="O16" s="22"/>
      <c r="P16" s="22"/>
      <c r="Q16" s="22"/>
      <c r="R16" s="23">
        <v>1</v>
      </c>
      <c r="S16" s="24">
        <v>1</v>
      </c>
      <c r="T16" s="25" t="s">
        <v>79</v>
      </c>
      <c r="U16" s="11" t="s">
        <v>90</v>
      </c>
      <c r="V16" s="26" t="str">
        <f>IF(OR(BD_ESTADISTICA_INF_B[[#This Row],[Jugador]]="eudald",BD_ESTADISTICA_INF_B[[#This Row],[Jugador]]="jules",BD_ESTADISTICA_INF_B[[#This Row],[Jugador]]="JAN"),"PORTERO","JUGADOR")</f>
        <v>PORTERO</v>
      </c>
      <c r="W16" s="26">
        <f>IF(BD_ESTADISTICA_INF_B[[#This Row],[POSICION]]="jugador",BD_ESTADISTICA_INF_B[[#This Row],[Goles]],0)</f>
        <v>0</v>
      </c>
      <c r="X16" s="26">
        <f>IF(BD_ESTADISTICA_INF_B[[#This Row],[POSICION]]="portero",BD_ESTADISTICA_INF_B[[#This Row],[Lanzam.]]-BD_ESTADISTICA_INF_B[[#This Row],[Paradas]],0)</f>
        <v>0</v>
      </c>
      <c r="Y16" s="26">
        <f>IF(BD_ESTADISTICA_INF_B[[#This Row],[POSICION]]="jugador",BD_ESTADISTICA_INF_B[[#This Row],[Lanzam.]],0)</f>
        <v>0</v>
      </c>
      <c r="Z16" s="26">
        <f>IF(BD_ESTADISTICA_INF_B[[#This Row],[POSICION]]="portero",BD_ESTADISTICA_INF_B[[#This Row],[Lanzam.]],0)</f>
        <v>0</v>
      </c>
    </row>
    <row r="17" spans="1:26" hidden="1">
      <c r="A17" s="21" t="s">
        <v>29</v>
      </c>
      <c r="B17" s="21"/>
      <c r="C17" s="28">
        <v>4</v>
      </c>
      <c r="D17" s="22">
        <v>4</v>
      </c>
      <c r="E17" s="22">
        <v>13</v>
      </c>
      <c r="F17" s="8">
        <f>IF(BD_ESTADISTICA_INF_B[[#This Row],[Lanzam.]]="","",IF(BD_ESTADISTICA_INF_B[[#This Row],[POSICION]]="jugador",C17/E17,D17/E17))</f>
        <v>0.30769230769230771</v>
      </c>
      <c r="G17" s="8"/>
      <c r="H17" s="8"/>
      <c r="I17" s="22"/>
      <c r="J17" s="22"/>
      <c r="K17" s="22"/>
      <c r="L17" s="22"/>
      <c r="M17" s="22"/>
      <c r="N17" s="22"/>
      <c r="O17" s="22"/>
      <c r="P17" s="22"/>
      <c r="Q17" s="22"/>
      <c r="R17" s="23">
        <v>1</v>
      </c>
      <c r="S17" s="24">
        <v>1</v>
      </c>
      <c r="T17" s="25" t="s">
        <v>79</v>
      </c>
      <c r="U17" s="11" t="s">
        <v>90</v>
      </c>
      <c r="V17" s="26" t="str">
        <f>IF(OR(BD_ESTADISTICA_INF_B[[#This Row],[Jugador]]="eudald",BD_ESTADISTICA_INF_B[[#This Row],[Jugador]]="jules",BD_ESTADISTICA_INF_B[[#This Row],[Jugador]]="JAN"),"PORTERO","JUGADOR")</f>
        <v>PORTERO</v>
      </c>
      <c r="W17" s="26">
        <f>IF(BD_ESTADISTICA_INF_B[[#This Row],[POSICION]]="jugador",BD_ESTADISTICA_INF_B[[#This Row],[Goles]],0)</f>
        <v>0</v>
      </c>
      <c r="X17" s="26">
        <f>IF(BD_ESTADISTICA_INF_B[[#This Row],[POSICION]]="portero",BD_ESTADISTICA_INF_B[[#This Row],[Lanzam.]]-BD_ESTADISTICA_INF_B[[#This Row],[Paradas]],0)</f>
        <v>9</v>
      </c>
      <c r="Y17" s="26">
        <f>IF(BD_ESTADISTICA_INF_B[[#This Row],[POSICION]]="jugador",BD_ESTADISTICA_INF_B[[#This Row],[Lanzam.]],0)</f>
        <v>0</v>
      </c>
      <c r="Z17" s="26">
        <f>IF(BD_ESTADISTICA_INF_B[[#This Row],[POSICION]]="portero",BD_ESTADISTICA_INF_B[[#This Row],[Lanzam.]],0)</f>
        <v>13</v>
      </c>
    </row>
    <row r="18" spans="1:26" hidden="1">
      <c r="A18" s="21" t="s">
        <v>30</v>
      </c>
      <c r="B18" s="21"/>
      <c r="C18" s="29">
        <v>7</v>
      </c>
      <c r="D18" s="22">
        <v>7</v>
      </c>
      <c r="E18" s="22">
        <v>10</v>
      </c>
      <c r="F18" s="8">
        <f>IF(BD_ESTADISTICA_INF_B[[#This Row],[Lanzam.]]="","",IF(BD_ESTADISTICA_INF_B[[#This Row],[POSICION]]="jugador",C18/E18,D18/E18))</f>
        <v>0.7</v>
      </c>
      <c r="G18" s="8"/>
      <c r="H18" s="8"/>
      <c r="I18" s="22">
        <v>2</v>
      </c>
      <c r="J18" s="22"/>
      <c r="K18" s="22"/>
      <c r="L18" s="22"/>
      <c r="M18" s="22"/>
      <c r="N18" s="22"/>
      <c r="O18" s="22"/>
      <c r="P18" s="22"/>
      <c r="Q18" s="22"/>
      <c r="R18" s="23">
        <v>1</v>
      </c>
      <c r="S18" s="24">
        <v>1</v>
      </c>
      <c r="T18" s="25" t="s">
        <v>79</v>
      </c>
      <c r="U18" s="11" t="s">
        <v>90</v>
      </c>
      <c r="V18" s="26" t="str">
        <f>IF(OR(BD_ESTADISTICA_INF_B[[#This Row],[Jugador]]="eudald",BD_ESTADISTICA_INF_B[[#This Row],[Jugador]]="jules",BD_ESTADISTICA_INF_B[[#This Row],[Jugador]]="JAN"),"PORTERO","JUGADOR")</f>
        <v>PORTERO</v>
      </c>
      <c r="W18" s="26">
        <f>IF(BD_ESTADISTICA_INF_B[[#This Row],[POSICION]]="jugador",BD_ESTADISTICA_INF_B[[#This Row],[Goles]],0)</f>
        <v>0</v>
      </c>
      <c r="X18" s="26">
        <f>IF(BD_ESTADISTICA_INF_B[[#This Row],[POSICION]]="portero",BD_ESTADISTICA_INF_B[[#This Row],[Lanzam.]]-BD_ESTADISTICA_INF_B[[#This Row],[Paradas]],0)</f>
        <v>3</v>
      </c>
      <c r="Y18" s="26">
        <f>IF(BD_ESTADISTICA_INF_B[[#This Row],[POSICION]]="jugador",BD_ESTADISTICA_INF_B[[#This Row],[Lanzam.]],0)</f>
        <v>0</v>
      </c>
      <c r="Z18" s="26">
        <f>IF(BD_ESTADISTICA_INF_B[[#This Row],[POSICION]]="portero",BD_ESTADISTICA_INF_B[[#This Row],[Lanzam.]],0)</f>
        <v>10</v>
      </c>
    </row>
    <row r="19" spans="1:26" hidden="1">
      <c r="A19" s="21" t="s">
        <v>42</v>
      </c>
      <c r="B19" s="21"/>
      <c r="C19" s="22">
        <v>5</v>
      </c>
      <c r="D19" s="22"/>
      <c r="E19" s="22">
        <v>5</v>
      </c>
      <c r="F19" s="8">
        <f>IF(BD_ESTADISTICA_INF_B[[#This Row],[Lanzam.]]="","",IF(BD_ESTADISTICA_INF_B[[#This Row],[POSICION]]="jugador",C19/E19,D19/E19))</f>
        <v>1</v>
      </c>
      <c r="G19" s="8"/>
      <c r="H19" s="8"/>
      <c r="I19" s="22"/>
      <c r="J19" s="22"/>
      <c r="K19" s="22"/>
      <c r="L19" s="22"/>
      <c r="M19" s="22"/>
      <c r="N19" s="22"/>
      <c r="O19" s="22">
        <v>1</v>
      </c>
      <c r="P19" s="22"/>
      <c r="Q19" s="22"/>
      <c r="R19" s="23">
        <v>1</v>
      </c>
      <c r="S19" s="24">
        <v>1</v>
      </c>
      <c r="T19" s="25" t="s">
        <v>79</v>
      </c>
      <c r="U19" s="11" t="s">
        <v>90</v>
      </c>
      <c r="V19" s="26" t="str">
        <f>IF(OR(BD_ESTADISTICA_INF_B[[#This Row],[Jugador]]="eudald",BD_ESTADISTICA_INF_B[[#This Row],[Jugador]]="jules",BD_ESTADISTICA_INF_B[[#This Row],[Jugador]]="JAN"),"PORTERO","JUGADOR")</f>
        <v>JUGADOR</v>
      </c>
      <c r="W19" s="26">
        <f>IF(BD_ESTADISTICA_INF_B[[#This Row],[POSICION]]="jugador",BD_ESTADISTICA_INF_B[[#This Row],[Goles]],0)</f>
        <v>5</v>
      </c>
      <c r="X19" s="26">
        <f>IF(BD_ESTADISTICA_INF_B[[#This Row],[POSICION]]="portero",BD_ESTADISTICA_INF_B[[#This Row],[Lanzam.]]-BD_ESTADISTICA_INF_B[[#This Row],[Paradas]],0)</f>
        <v>0</v>
      </c>
      <c r="Y19" s="26">
        <f>IF(BD_ESTADISTICA_INF_B[[#This Row],[POSICION]]="jugador",BD_ESTADISTICA_INF_B[[#This Row],[Lanzam.]],0)</f>
        <v>5</v>
      </c>
      <c r="Z19" s="26">
        <f>IF(BD_ESTADISTICA_INF_B[[#This Row],[POSICION]]="portero",BD_ESTADISTICA_INF_B[[#This Row],[Lanzam.]],0)</f>
        <v>0</v>
      </c>
    </row>
    <row r="20" spans="1:26" hidden="1">
      <c r="A20" s="21" t="s">
        <v>22</v>
      </c>
      <c r="B20" s="21"/>
      <c r="C20" s="22"/>
      <c r="D20" s="22"/>
      <c r="E20" s="22"/>
      <c r="F20" s="8" t="str">
        <f>IF(BD_ESTADISTICA_INF_B[[#This Row],[Lanzam.]]="","",IF(BD_ESTADISTICA_INF_B[[#This Row],[POSICION]]="jugador",C20/E20,D20/E20))</f>
        <v/>
      </c>
      <c r="G20" s="8"/>
      <c r="H20" s="8"/>
      <c r="I20" s="22"/>
      <c r="J20" s="22"/>
      <c r="K20" s="22"/>
      <c r="L20" s="22">
        <v>1</v>
      </c>
      <c r="M20" s="22"/>
      <c r="N20" s="22"/>
      <c r="O20" s="22"/>
      <c r="P20" s="22"/>
      <c r="Q20" s="22"/>
      <c r="R20" s="23">
        <v>1</v>
      </c>
      <c r="S20" s="24">
        <v>1</v>
      </c>
      <c r="T20" s="25" t="s">
        <v>79</v>
      </c>
      <c r="U20" s="11" t="s">
        <v>90</v>
      </c>
      <c r="V20" s="26" t="str">
        <f>IF(OR(BD_ESTADISTICA_INF_B[[#This Row],[Jugador]]="eudald",BD_ESTADISTICA_INF_B[[#This Row],[Jugador]]="jules",BD_ESTADISTICA_INF_B[[#This Row],[Jugador]]="JAN"),"PORTERO","JUGADOR")</f>
        <v>JUGADOR</v>
      </c>
      <c r="W20" s="26">
        <f>IF(BD_ESTADISTICA_INF_B[[#This Row],[POSICION]]="jugador",BD_ESTADISTICA_INF_B[[#This Row],[Goles]],0)</f>
        <v>0</v>
      </c>
      <c r="X20" s="26">
        <f>IF(BD_ESTADISTICA_INF_B[[#This Row],[POSICION]]="portero",BD_ESTADISTICA_INF_B[[#This Row],[Lanzam.]]-BD_ESTADISTICA_INF_B[[#This Row],[Paradas]],0)</f>
        <v>0</v>
      </c>
      <c r="Y20" s="26">
        <f>IF(BD_ESTADISTICA_INF_B[[#This Row],[POSICION]]="jugador",BD_ESTADISTICA_INF_B[[#This Row],[Lanzam.]],0)</f>
        <v>0</v>
      </c>
      <c r="Z20" s="26">
        <f>IF(BD_ESTADISTICA_INF_B[[#This Row],[POSICION]]="portero",BD_ESTADISTICA_INF_B[[#This Row],[Lanzam.]],0)</f>
        <v>0</v>
      </c>
    </row>
    <row r="21" spans="1:26" hidden="1">
      <c r="A21" s="21" t="s">
        <v>16</v>
      </c>
      <c r="B21" s="21"/>
      <c r="C21" s="22">
        <v>5</v>
      </c>
      <c r="D21" s="22"/>
      <c r="E21" s="22">
        <v>7</v>
      </c>
      <c r="F21" s="8">
        <f>IF(BD_ESTADISTICA_INF_B[[#This Row],[Lanzam.]]="","",IF(BD_ESTADISTICA_INF_B[[#This Row],[POSICION]]="jugador",C21/E21,D21/E21))</f>
        <v>0.7142857142857143</v>
      </c>
      <c r="G21" s="8"/>
      <c r="H21" s="8"/>
      <c r="I21" s="22">
        <v>2</v>
      </c>
      <c r="J21" s="22"/>
      <c r="K21" s="22">
        <v>1</v>
      </c>
      <c r="L21" s="22"/>
      <c r="M21" s="22"/>
      <c r="N21" s="22"/>
      <c r="O21" s="22">
        <v>2</v>
      </c>
      <c r="P21" s="22"/>
      <c r="Q21" s="22">
        <v>1</v>
      </c>
      <c r="R21" s="23">
        <v>2</v>
      </c>
      <c r="S21" s="24">
        <v>1</v>
      </c>
      <c r="T21" s="25" t="s">
        <v>84</v>
      </c>
      <c r="U21" s="11" t="s">
        <v>91</v>
      </c>
      <c r="V21" s="26" t="str">
        <f>IF(OR(BD_ESTADISTICA_INF_B[[#This Row],[Jugador]]="eudald",BD_ESTADISTICA_INF_B[[#This Row],[Jugador]]="jules",BD_ESTADISTICA_INF_B[[#This Row],[Jugador]]="JAN"),"PORTERO","JUGADOR")</f>
        <v>JUGADOR</v>
      </c>
      <c r="W21" s="26">
        <f>IF(BD_ESTADISTICA_INF_B[[#This Row],[POSICION]]="jugador",BD_ESTADISTICA_INF_B[[#This Row],[Goles]],0)</f>
        <v>5</v>
      </c>
      <c r="X21" s="26">
        <f>IF(BD_ESTADISTICA_INF_B[[#This Row],[POSICION]]="portero",BD_ESTADISTICA_INF_B[[#This Row],[Lanzam.]]-BD_ESTADISTICA_INF_B[[#This Row],[Paradas]],0)</f>
        <v>0</v>
      </c>
      <c r="Y21" s="26">
        <f>IF(BD_ESTADISTICA_INF_B[[#This Row],[POSICION]]="jugador",BD_ESTADISTICA_INF_B[[#This Row],[Lanzam.]],0)</f>
        <v>7</v>
      </c>
      <c r="Z21" s="26">
        <f>IF(BD_ESTADISTICA_INF_B[[#This Row],[POSICION]]="portero",BD_ESTADISTICA_INF_B[[#This Row],[Lanzam.]],0)</f>
        <v>0</v>
      </c>
    </row>
    <row r="22" spans="1:26" hidden="1">
      <c r="A22" s="21" t="s">
        <v>17</v>
      </c>
      <c r="B22" s="21"/>
      <c r="C22" s="22">
        <v>2</v>
      </c>
      <c r="D22" s="22"/>
      <c r="E22" s="22">
        <v>2</v>
      </c>
      <c r="F22" s="8">
        <f>IF(BD_ESTADISTICA_INF_B[[#This Row],[Lanzam.]]="","",IF(BD_ESTADISTICA_INF_B[[#This Row],[POSICION]]="jugador",C22/E22,D22/E22))</f>
        <v>1</v>
      </c>
      <c r="G22" s="8"/>
      <c r="H22" s="8"/>
      <c r="I22" s="22"/>
      <c r="J22" s="22"/>
      <c r="K22" s="22"/>
      <c r="L22" s="22"/>
      <c r="M22" s="22"/>
      <c r="N22" s="22"/>
      <c r="O22" s="22">
        <v>1</v>
      </c>
      <c r="P22" s="22"/>
      <c r="Q22" s="22">
        <v>1</v>
      </c>
      <c r="R22" s="23">
        <v>2</v>
      </c>
      <c r="S22" s="24">
        <v>1</v>
      </c>
      <c r="T22" s="25" t="s">
        <v>84</v>
      </c>
      <c r="U22" s="11" t="s">
        <v>91</v>
      </c>
      <c r="V22" s="26" t="str">
        <f>IF(OR(BD_ESTADISTICA_INF_B[[#This Row],[Jugador]]="eudald",BD_ESTADISTICA_INF_B[[#This Row],[Jugador]]="jules",BD_ESTADISTICA_INF_B[[#This Row],[Jugador]]="JAN"),"PORTERO","JUGADOR")</f>
        <v>JUGADOR</v>
      </c>
      <c r="W22" s="26">
        <f>IF(BD_ESTADISTICA_INF_B[[#This Row],[POSICION]]="jugador",BD_ESTADISTICA_INF_B[[#This Row],[Goles]],0)</f>
        <v>2</v>
      </c>
      <c r="X22" s="26">
        <f>IF(BD_ESTADISTICA_INF_B[[#This Row],[POSICION]]="portero",BD_ESTADISTICA_INF_B[[#This Row],[Lanzam.]]-BD_ESTADISTICA_INF_B[[#This Row],[Paradas]],0)</f>
        <v>0</v>
      </c>
      <c r="Y22" s="26">
        <f>IF(BD_ESTADISTICA_INF_B[[#This Row],[POSICION]]="jugador",BD_ESTADISTICA_INF_B[[#This Row],[Lanzam.]],0)</f>
        <v>2</v>
      </c>
      <c r="Z22" s="26">
        <f>IF(BD_ESTADISTICA_INF_B[[#This Row],[POSICION]]="portero",BD_ESTADISTICA_INF_B[[#This Row],[Lanzam.]],0)</f>
        <v>0</v>
      </c>
    </row>
    <row r="23" spans="1:26" hidden="1">
      <c r="A23" s="21" t="s">
        <v>18</v>
      </c>
      <c r="B23" s="21"/>
      <c r="C23" s="22"/>
      <c r="D23" s="22"/>
      <c r="E23" s="22"/>
      <c r="F23" s="8" t="str">
        <f>IF(BD_ESTADISTICA_INF_B[[#This Row],[Lanzam.]]="","",IF(BD_ESTADISTICA_INF_B[[#This Row],[POSICION]]="jugador",C23/E23,D23/E23))</f>
        <v/>
      </c>
      <c r="G23" s="8"/>
      <c r="H23" s="8"/>
      <c r="I23" s="22">
        <v>1</v>
      </c>
      <c r="J23" s="22"/>
      <c r="K23" s="22">
        <v>2</v>
      </c>
      <c r="L23" s="22"/>
      <c r="M23" s="22"/>
      <c r="N23" s="22"/>
      <c r="O23" s="22"/>
      <c r="P23" s="22"/>
      <c r="Q23" s="22"/>
      <c r="R23" s="23">
        <v>2</v>
      </c>
      <c r="S23" s="24">
        <v>1</v>
      </c>
      <c r="T23" s="25" t="s">
        <v>84</v>
      </c>
      <c r="U23" s="11" t="s">
        <v>91</v>
      </c>
      <c r="V23" s="26" t="str">
        <f>IF(OR(BD_ESTADISTICA_INF_B[[#This Row],[Jugador]]="eudald",BD_ESTADISTICA_INF_B[[#This Row],[Jugador]]="jules",BD_ESTADISTICA_INF_B[[#This Row],[Jugador]]="JAN"),"PORTERO","JUGADOR")</f>
        <v>JUGADOR</v>
      </c>
      <c r="W23" s="26">
        <f>IF(BD_ESTADISTICA_INF_B[[#This Row],[POSICION]]="jugador",BD_ESTADISTICA_INF_B[[#This Row],[Goles]],0)</f>
        <v>0</v>
      </c>
      <c r="X23" s="26">
        <f>IF(BD_ESTADISTICA_INF_B[[#This Row],[POSICION]]="portero",BD_ESTADISTICA_INF_B[[#This Row],[Lanzam.]]-BD_ESTADISTICA_INF_B[[#This Row],[Paradas]],0)</f>
        <v>0</v>
      </c>
      <c r="Y23" s="26">
        <f>IF(BD_ESTADISTICA_INF_B[[#This Row],[POSICION]]="jugador",BD_ESTADISTICA_INF_B[[#This Row],[Lanzam.]],0)</f>
        <v>0</v>
      </c>
      <c r="Z23" s="26">
        <f>IF(BD_ESTADISTICA_INF_B[[#This Row],[POSICION]]="portero",BD_ESTADISTICA_INF_B[[#This Row],[Lanzam.]],0)</f>
        <v>0</v>
      </c>
    </row>
    <row r="24" spans="1:26" hidden="1">
      <c r="A24" s="21" t="s">
        <v>19</v>
      </c>
      <c r="B24" s="21"/>
      <c r="C24" s="22">
        <v>6</v>
      </c>
      <c r="D24" s="22"/>
      <c r="E24" s="22">
        <v>6</v>
      </c>
      <c r="F24" s="8">
        <f>IF(BD_ESTADISTICA_INF_B[[#This Row],[Lanzam.]]="","",IF(BD_ESTADISTICA_INF_B[[#This Row],[POSICION]]="jugador",C24/E24,D24/E24))</f>
        <v>1</v>
      </c>
      <c r="G24" s="8"/>
      <c r="H24" s="8"/>
      <c r="I24" s="22">
        <v>2</v>
      </c>
      <c r="J24" s="22"/>
      <c r="K24" s="22">
        <v>1</v>
      </c>
      <c r="L24" s="22"/>
      <c r="M24" s="22"/>
      <c r="N24" s="22"/>
      <c r="O24" s="22">
        <v>1</v>
      </c>
      <c r="P24" s="22"/>
      <c r="Q24" s="22"/>
      <c r="R24" s="23">
        <v>2</v>
      </c>
      <c r="S24" s="24">
        <v>1</v>
      </c>
      <c r="T24" s="25" t="s">
        <v>84</v>
      </c>
      <c r="U24" s="11" t="s">
        <v>91</v>
      </c>
      <c r="V24" s="26" t="str">
        <f>IF(OR(BD_ESTADISTICA_INF_B[[#This Row],[Jugador]]="eudald",BD_ESTADISTICA_INF_B[[#This Row],[Jugador]]="jules",BD_ESTADISTICA_INF_B[[#This Row],[Jugador]]="JAN"),"PORTERO","JUGADOR")</f>
        <v>JUGADOR</v>
      </c>
      <c r="W24" s="26">
        <f>IF(BD_ESTADISTICA_INF_B[[#This Row],[POSICION]]="jugador",BD_ESTADISTICA_INF_B[[#This Row],[Goles]],0)</f>
        <v>6</v>
      </c>
      <c r="X24" s="26">
        <f>IF(BD_ESTADISTICA_INF_B[[#This Row],[POSICION]]="portero",BD_ESTADISTICA_INF_B[[#This Row],[Lanzam.]]-BD_ESTADISTICA_INF_B[[#This Row],[Paradas]],0)</f>
        <v>0</v>
      </c>
      <c r="Y24" s="26">
        <f>IF(BD_ESTADISTICA_INF_B[[#This Row],[POSICION]]="jugador",BD_ESTADISTICA_INF_B[[#This Row],[Lanzam.]],0)</f>
        <v>6</v>
      </c>
      <c r="Z24" s="26">
        <f>IF(BD_ESTADISTICA_INF_B[[#This Row],[POSICION]]="portero",BD_ESTADISTICA_INF_B[[#This Row],[Lanzam.]],0)</f>
        <v>0</v>
      </c>
    </row>
    <row r="25" spans="1:26" hidden="1">
      <c r="A25" s="34" t="s">
        <v>20</v>
      </c>
      <c r="B25" s="34"/>
      <c r="C25" s="22"/>
      <c r="D25" s="22"/>
      <c r="E25" s="22"/>
      <c r="F25" s="8" t="str">
        <f>IF(BD_ESTADISTICA_INF_B[[#This Row],[Lanzam.]]="","",IF(BD_ESTADISTICA_INF_B[[#This Row],[POSICION]]="jugador",C25/E25,D25/E25))</f>
        <v/>
      </c>
      <c r="G25" s="8"/>
      <c r="H25" s="8"/>
      <c r="I25" s="22"/>
      <c r="J25" s="22"/>
      <c r="K25" s="22"/>
      <c r="L25" s="22"/>
      <c r="M25" s="22"/>
      <c r="N25" s="22"/>
      <c r="O25" s="22"/>
      <c r="P25" s="22"/>
      <c r="Q25" s="22"/>
      <c r="R25" s="23">
        <v>2</v>
      </c>
      <c r="S25" s="24">
        <v>1</v>
      </c>
      <c r="T25" s="25" t="s">
        <v>84</v>
      </c>
      <c r="U25" s="11" t="s">
        <v>91</v>
      </c>
      <c r="V25" s="26" t="str">
        <f>IF(OR(BD_ESTADISTICA_INF_B[[#This Row],[Jugador]]="eudald",BD_ESTADISTICA_INF_B[[#This Row],[Jugador]]="jules",BD_ESTADISTICA_INF_B[[#This Row],[Jugador]]="JAN"),"PORTERO","JUGADOR")</f>
        <v>JUGADOR</v>
      </c>
      <c r="W25" s="26">
        <f>IF(BD_ESTADISTICA_INF_B[[#This Row],[POSICION]]="jugador",BD_ESTADISTICA_INF_B[[#This Row],[Goles]],0)</f>
        <v>0</v>
      </c>
      <c r="X25" s="26">
        <f>IF(BD_ESTADISTICA_INF_B[[#This Row],[POSICION]]="portero",BD_ESTADISTICA_INF_B[[#This Row],[Lanzam.]]-BD_ESTADISTICA_INF_B[[#This Row],[Paradas]],0)</f>
        <v>0</v>
      </c>
      <c r="Y25" s="26">
        <f>IF(BD_ESTADISTICA_INF_B[[#This Row],[POSICION]]="jugador",BD_ESTADISTICA_INF_B[[#This Row],[Lanzam.]],0)</f>
        <v>0</v>
      </c>
      <c r="Z25" s="26">
        <f>IF(BD_ESTADISTICA_INF_B[[#This Row],[POSICION]]="portero",BD_ESTADISTICA_INF_B[[#This Row],[Lanzam.]],0)</f>
        <v>0</v>
      </c>
    </row>
    <row r="26" spans="1:26" hidden="1">
      <c r="A26" s="21" t="s">
        <v>21</v>
      </c>
      <c r="B26" s="21"/>
      <c r="C26" s="22">
        <v>3</v>
      </c>
      <c r="D26" s="22"/>
      <c r="E26" s="22">
        <v>3</v>
      </c>
      <c r="F26" s="8">
        <f>IF(BD_ESTADISTICA_INF_B[[#This Row],[Lanzam.]]="","",IF(BD_ESTADISTICA_INF_B[[#This Row],[POSICION]]="jugador",C26/E26,D26/E26))</f>
        <v>1</v>
      </c>
      <c r="G26" s="8"/>
      <c r="H26" s="8"/>
      <c r="I26" s="22"/>
      <c r="J26" s="22"/>
      <c r="K26" s="22"/>
      <c r="L26" s="22">
        <v>1</v>
      </c>
      <c r="M26" s="22"/>
      <c r="N26" s="22"/>
      <c r="O26" s="22"/>
      <c r="P26" s="22">
        <v>1</v>
      </c>
      <c r="Q26" s="22">
        <v>1</v>
      </c>
      <c r="R26" s="23">
        <v>2</v>
      </c>
      <c r="S26" s="24">
        <v>1</v>
      </c>
      <c r="T26" s="25" t="s">
        <v>84</v>
      </c>
      <c r="U26" s="11" t="s">
        <v>91</v>
      </c>
      <c r="V26" s="26" t="str">
        <f>IF(OR(BD_ESTADISTICA_INF_B[[#This Row],[Jugador]]="eudald",BD_ESTADISTICA_INF_B[[#This Row],[Jugador]]="jules",BD_ESTADISTICA_INF_B[[#This Row],[Jugador]]="JAN"),"PORTERO","JUGADOR")</f>
        <v>JUGADOR</v>
      </c>
      <c r="W26" s="26">
        <f>IF(BD_ESTADISTICA_INF_B[[#This Row],[POSICION]]="jugador",BD_ESTADISTICA_INF_B[[#This Row],[Goles]],0)</f>
        <v>3</v>
      </c>
      <c r="X26" s="26">
        <f>IF(BD_ESTADISTICA_INF_B[[#This Row],[POSICION]]="portero",BD_ESTADISTICA_INF_B[[#This Row],[Lanzam.]]-BD_ESTADISTICA_INF_B[[#This Row],[Paradas]],0)</f>
        <v>0</v>
      </c>
      <c r="Y26" s="26">
        <f>IF(BD_ESTADISTICA_INF_B[[#This Row],[POSICION]]="jugador",BD_ESTADISTICA_INF_B[[#This Row],[Lanzam.]],0)</f>
        <v>3</v>
      </c>
      <c r="Z26" s="26">
        <f>IF(BD_ESTADISTICA_INF_B[[#This Row],[POSICION]]="portero",BD_ESTADISTICA_INF_B[[#This Row],[Lanzam.]],0)</f>
        <v>0</v>
      </c>
    </row>
    <row r="27" spans="1:26" hidden="1">
      <c r="A27" s="21" t="s">
        <v>40</v>
      </c>
      <c r="B27" s="21"/>
      <c r="C27" s="22">
        <v>2</v>
      </c>
      <c r="D27" s="22"/>
      <c r="E27" s="22">
        <v>4</v>
      </c>
      <c r="F27" s="8">
        <f>IF(BD_ESTADISTICA_INF_B[[#This Row],[Lanzam.]]="","",IF(BD_ESTADISTICA_INF_B[[#This Row],[POSICION]]="jugador",C27/E27,D27/E27))</f>
        <v>0.5</v>
      </c>
      <c r="G27" s="8"/>
      <c r="H27" s="8"/>
      <c r="I27" s="22"/>
      <c r="J27" s="22"/>
      <c r="K27" s="22">
        <v>1</v>
      </c>
      <c r="L27" s="22"/>
      <c r="M27" s="22"/>
      <c r="N27" s="22"/>
      <c r="O27" s="22">
        <v>1</v>
      </c>
      <c r="P27" s="22"/>
      <c r="Q27" s="22">
        <v>1</v>
      </c>
      <c r="R27" s="23">
        <v>2</v>
      </c>
      <c r="S27" s="24">
        <v>1</v>
      </c>
      <c r="T27" s="25" t="s">
        <v>84</v>
      </c>
      <c r="U27" s="11" t="s">
        <v>91</v>
      </c>
      <c r="V27" s="26" t="str">
        <f>IF(OR(BD_ESTADISTICA_INF_B[[#This Row],[Jugador]]="eudald",BD_ESTADISTICA_INF_B[[#This Row],[Jugador]]="jules",BD_ESTADISTICA_INF_B[[#This Row],[Jugador]]="JAN"),"PORTERO","JUGADOR")</f>
        <v>JUGADOR</v>
      </c>
      <c r="W27" s="26">
        <f>IF(BD_ESTADISTICA_INF_B[[#This Row],[POSICION]]="jugador",BD_ESTADISTICA_INF_B[[#This Row],[Goles]],0)</f>
        <v>2</v>
      </c>
      <c r="X27" s="26">
        <f>IF(BD_ESTADISTICA_INF_B[[#This Row],[POSICION]]="portero",BD_ESTADISTICA_INF_B[[#This Row],[Lanzam.]]-BD_ESTADISTICA_INF_B[[#This Row],[Paradas]],0)</f>
        <v>0</v>
      </c>
      <c r="Y27" s="26">
        <f>IF(BD_ESTADISTICA_INF_B[[#This Row],[POSICION]]="jugador",BD_ESTADISTICA_INF_B[[#This Row],[Lanzam.]],0)</f>
        <v>4</v>
      </c>
      <c r="Z27" s="26">
        <f>IF(BD_ESTADISTICA_INF_B[[#This Row],[POSICION]]="portero",BD_ESTADISTICA_INF_B[[#This Row],[Lanzam.]],0)</f>
        <v>0</v>
      </c>
    </row>
    <row r="28" spans="1:26" hidden="1">
      <c r="A28" s="21" t="s">
        <v>41</v>
      </c>
      <c r="B28" s="21"/>
      <c r="C28" s="22">
        <v>1</v>
      </c>
      <c r="D28" s="22"/>
      <c r="E28" s="22">
        <v>2</v>
      </c>
      <c r="F28" s="8">
        <f>IF(BD_ESTADISTICA_INF_B[[#This Row],[Lanzam.]]="","",IF(BD_ESTADISTICA_INF_B[[#This Row],[POSICION]]="jugador",C28/E28,D28/E28))</f>
        <v>0.5</v>
      </c>
      <c r="G28" s="8"/>
      <c r="H28" s="8"/>
      <c r="I28" s="22">
        <v>1</v>
      </c>
      <c r="J28" s="22"/>
      <c r="K28" s="22"/>
      <c r="L28" s="22"/>
      <c r="M28" s="22"/>
      <c r="N28" s="22"/>
      <c r="O28" s="22">
        <v>2</v>
      </c>
      <c r="P28" s="22"/>
      <c r="Q28" s="22"/>
      <c r="R28" s="23">
        <v>2</v>
      </c>
      <c r="S28" s="24">
        <v>1</v>
      </c>
      <c r="T28" s="25" t="s">
        <v>84</v>
      </c>
      <c r="U28" s="11" t="s">
        <v>91</v>
      </c>
      <c r="V28" s="26" t="str">
        <f>IF(OR(BD_ESTADISTICA_INF_B[[#This Row],[Jugador]]="eudald",BD_ESTADISTICA_INF_B[[#This Row],[Jugador]]="jules",BD_ESTADISTICA_INF_B[[#This Row],[Jugador]]="JAN"),"PORTERO","JUGADOR")</f>
        <v>JUGADOR</v>
      </c>
      <c r="W28" s="26">
        <f>IF(BD_ESTADISTICA_INF_B[[#This Row],[POSICION]]="jugador",BD_ESTADISTICA_INF_B[[#This Row],[Goles]],0)</f>
        <v>1</v>
      </c>
      <c r="X28" s="26">
        <f>IF(BD_ESTADISTICA_INF_B[[#This Row],[POSICION]]="portero",BD_ESTADISTICA_INF_B[[#This Row],[Lanzam.]]-BD_ESTADISTICA_INF_B[[#This Row],[Paradas]],0)</f>
        <v>0</v>
      </c>
      <c r="Y28" s="26">
        <f>IF(BD_ESTADISTICA_INF_B[[#This Row],[POSICION]]="jugador",BD_ESTADISTICA_INF_B[[#This Row],[Lanzam.]],0)</f>
        <v>2</v>
      </c>
      <c r="Z28" s="26">
        <f>IF(BD_ESTADISTICA_INF_B[[#This Row],[POSICION]]="portero",BD_ESTADISTICA_INF_B[[#This Row],[Lanzam.]],0)</f>
        <v>0</v>
      </c>
    </row>
    <row r="29" spans="1:26" hidden="1">
      <c r="A29" s="21" t="s">
        <v>23</v>
      </c>
      <c r="B29" s="21"/>
      <c r="C29" s="22">
        <v>8</v>
      </c>
      <c r="D29" s="22"/>
      <c r="E29" s="22">
        <v>10</v>
      </c>
      <c r="F29" s="8">
        <f>IF(BD_ESTADISTICA_INF_B[[#This Row],[Lanzam.]]="","",IF(BD_ESTADISTICA_INF_B[[#This Row],[POSICION]]="jugador",C29/E29,D29/E29))</f>
        <v>0.8</v>
      </c>
      <c r="G29" s="8"/>
      <c r="H29" s="8"/>
      <c r="I29" s="22">
        <v>1</v>
      </c>
      <c r="J29" s="22"/>
      <c r="K29" s="22">
        <v>1</v>
      </c>
      <c r="L29" s="22"/>
      <c r="M29" s="22"/>
      <c r="N29" s="22"/>
      <c r="O29" s="22">
        <v>1</v>
      </c>
      <c r="P29" s="22"/>
      <c r="Q29" s="22"/>
      <c r="R29" s="23">
        <v>2</v>
      </c>
      <c r="S29" s="24">
        <v>1</v>
      </c>
      <c r="T29" s="25" t="s">
        <v>84</v>
      </c>
      <c r="U29" s="11" t="s">
        <v>91</v>
      </c>
      <c r="V29" s="26" t="str">
        <f>IF(OR(BD_ESTADISTICA_INF_B[[#This Row],[Jugador]]="eudald",BD_ESTADISTICA_INF_B[[#This Row],[Jugador]]="jules",BD_ESTADISTICA_INF_B[[#This Row],[Jugador]]="JAN"),"PORTERO","JUGADOR")</f>
        <v>JUGADOR</v>
      </c>
      <c r="W29" s="26">
        <f>IF(BD_ESTADISTICA_INF_B[[#This Row],[POSICION]]="jugador",BD_ESTADISTICA_INF_B[[#This Row],[Goles]],0)</f>
        <v>8</v>
      </c>
      <c r="X29" s="26">
        <f>IF(BD_ESTADISTICA_INF_B[[#This Row],[POSICION]]="portero",BD_ESTADISTICA_INF_B[[#This Row],[Lanzam.]]-BD_ESTADISTICA_INF_B[[#This Row],[Paradas]],0)</f>
        <v>0</v>
      </c>
      <c r="Y29" s="26">
        <f>IF(BD_ESTADISTICA_INF_B[[#This Row],[POSICION]]="jugador",BD_ESTADISTICA_INF_B[[#This Row],[Lanzam.]],0)</f>
        <v>10</v>
      </c>
      <c r="Z29" s="26">
        <f>IF(BD_ESTADISTICA_INF_B[[#This Row],[POSICION]]="portero",BD_ESTADISTICA_INF_B[[#This Row],[Lanzam.]],0)</f>
        <v>0</v>
      </c>
    </row>
    <row r="30" spans="1:26" hidden="1">
      <c r="A30" s="34" t="s">
        <v>24</v>
      </c>
      <c r="B30" s="34"/>
      <c r="C30" s="22"/>
      <c r="D30" s="22"/>
      <c r="E30" s="22"/>
      <c r="F30" s="8" t="str">
        <f>IF(BD_ESTADISTICA_INF_B[[#This Row],[Lanzam.]]="","",IF(BD_ESTADISTICA_INF_B[[#This Row],[POSICION]]="jugador",C30/E30,D30/E30))</f>
        <v/>
      </c>
      <c r="G30" s="8"/>
      <c r="H30" s="8"/>
      <c r="I30" s="22"/>
      <c r="J30" s="22"/>
      <c r="K30" s="22"/>
      <c r="L30" s="22"/>
      <c r="M30" s="22"/>
      <c r="N30" s="22"/>
      <c r="O30" s="22"/>
      <c r="P30" s="22"/>
      <c r="Q30" s="22"/>
      <c r="R30" s="23">
        <v>2</v>
      </c>
      <c r="S30" s="24">
        <v>1</v>
      </c>
      <c r="T30" s="25" t="s">
        <v>84</v>
      </c>
      <c r="U30" s="11" t="s">
        <v>91</v>
      </c>
      <c r="V30" s="26" t="str">
        <f>IF(OR(BD_ESTADISTICA_INF_B[[#This Row],[Jugador]]="eudald",BD_ESTADISTICA_INF_B[[#This Row],[Jugador]]="jules",BD_ESTADISTICA_INF_B[[#This Row],[Jugador]]="JAN"),"PORTERO","JUGADOR")</f>
        <v>JUGADOR</v>
      </c>
      <c r="W30" s="26">
        <f>IF(BD_ESTADISTICA_INF_B[[#This Row],[POSICION]]="jugador",BD_ESTADISTICA_INF_B[[#This Row],[Goles]],0)</f>
        <v>0</v>
      </c>
      <c r="X30" s="26">
        <f>IF(BD_ESTADISTICA_INF_B[[#This Row],[POSICION]]="portero",BD_ESTADISTICA_INF_B[[#This Row],[Lanzam.]]-BD_ESTADISTICA_INF_B[[#This Row],[Paradas]],0)</f>
        <v>0</v>
      </c>
      <c r="Y30" s="26">
        <f>IF(BD_ESTADISTICA_INF_B[[#This Row],[POSICION]]="jugador",BD_ESTADISTICA_INF_B[[#This Row],[Lanzam.]],0)</f>
        <v>0</v>
      </c>
      <c r="Z30" s="26">
        <f>IF(BD_ESTADISTICA_INF_B[[#This Row],[POSICION]]="portero",BD_ESTADISTICA_INF_B[[#This Row],[Lanzam.]],0)</f>
        <v>0</v>
      </c>
    </row>
    <row r="31" spans="1:26" hidden="1">
      <c r="A31" s="21" t="s">
        <v>25</v>
      </c>
      <c r="B31" s="21"/>
      <c r="C31" s="22">
        <v>7</v>
      </c>
      <c r="D31" s="22"/>
      <c r="E31" s="22">
        <v>8</v>
      </c>
      <c r="F31" s="8">
        <f>IF(BD_ESTADISTICA_INF_B[[#This Row],[Lanzam.]]="","",IF(BD_ESTADISTICA_INF_B[[#This Row],[POSICION]]="jugador",C31/E31,D31/E31))</f>
        <v>0.875</v>
      </c>
      <c r="G31" s="8"/>
      <c r="H31" s="8"/>
      <c r="I31" s="22">
        <v>1</v>
      </c>
      <c r="J31" s="22"/>
      <c r="K31" s="22"/>
      <c r="L31" s="22"/>
      <c r="M31" s="22"/>
      <c r="N31" s="22">
        <v>1</v>
      </c>
      <c r="O31" s="22">
        <v>5</v>
      </c>
      <c r="P31" s="22"/>
      <c r="Q31" s="22"/>
      <c r="R31" s="23">
        <v>2</v>
      </c>
      <c r="S31" s="24">
        <v>1</v>
      </c>
      <c r="T31" s="25" t="s">
        <v>84</v>
      </c>
      <c r="U31" s="11" t="s">
        <v>91</v>
      </c>
      <c r="V31" s="26" t="str">
        <f>IF(OR(BD_ESTADISTICA_INF_B[[#This Row],[Jugador]]="eudald",BD_ESTADISTICA_INF_B[[#This Row],[Jugador]]="jules",BD_ESTADISTICA_INF_B[[#This Row],[Jugador]]="JAN"),"PORTERO","JUGADOR")</f>
        <v>JUGADOR</v>
      </c>
      <c r="W31" s="26">
        <f>IF(BD_ESTADISTICA_INF_B[[#This Row],[POSICION]]="jugador",BD_ESTADISTICA_INF_B[[#This Row],[Goles]],0)</f>
        <v>7</v>
      </c>
      <c r="X31" s="26">
        <f>IF(BD_ESTADISTICA_INF_B[[#This Row],[POSICION]]="portero",BD_ESTADISTICA_INF_B[[#This Row],[Lanzam.]]-BD_ESTADISTICA_INF_B[[#This Row],[Paradas]],0)</f>
        <v>0</v>
      </c>
      <c r="Y31" s="26">
        <f>IF(BD_ESTADISTICA_INF_B[[#This Row],[POSICION]]="jugador",BD_ESTADISTICA_INF_B[[#This Row],[Lanzam.]],0)</f>
        <v>8</v>
      </c>
      <c r="Z31" s="26">
        <f>IF(BD_ESTADISTICA_INF_B[[#This Row],[POSICION]]="portero",BD_ESTADISTICA_INF_B[[#This Row],[Lanzam.]],0)</f>
        <v>0</v>
      </c>
    </row>
    <row r="32" spans="1:26" hidden="1">
      <c r="A32" s="21" t="s">
        <v>26</v>
      </c>
      <c r="B32" s="21"/>
      <c r="C32" s="22">
        <v>8</v>
      </c>
      <c r="D32" s="22"/>
      <c r="E32" s="22">
        <v>9</v>
      </c>
      <c r="F32" s="8">
        <f>IF(BD_ESTADISTICA_INF_B[[#This Row],[Lanzam.]]="","",IF(BD_ESTADISTICA_INF_B[[#This Row],[POSICION]]="jugador",C32/E32,D32/E32))</f>
        <v>0.88888888888888884</v>
      </c>
      <c r="G32" s="8"/>
      <c r="H32" s="8"/>
      <c r="I32" s="22">
        <v>4</v>
      </c>
      <c r="J32" s="22"/>
      <c r="K32" s="22">
        <v>1</v>
      </c>
      <c r="L32" s="22"/>
      <c r="M32" s="22"/>
      <c r="N32" s="22"/>
      <c r="O32" s="22">
        <v>3</v>
      </c>
      <c r="P32" s="22"/>
      <c r="Q32" s="22"/>
      <c r="R32" s="23">
        <v>2</v>
      </c>
      <c r="S32" s="24">
        <v>1</v>
      </c>
      <c r="T32" s="25" t="s">
        <v>84</v>
      </c>
      <c r="U32" s="11" t="s">
        <v>91</v>
      </c>
      <c r="V32" s="26" t="str">
        <f>IF(OR(BD_ESTADISTICA_INF_B[[#This Row],[Jugador]]="eudald",BD_ESTADISTICA_INF_B[[#This Row],[Jugador]]="jules",BD_ESTADISTICA_INF_B[[#This Row],[Jugador]]="JAN"),"PORTERO","JUGADOR")</f>
        <v>JUGADOR</v>
      </c>
      <c r="W32" s="26">
        <f>IF(BD_ESTADISTICA_INF_B[[#This Row],[POSICION]]="jugador",BD_ESTADISTICA_INF_B[[#This Row],[Goles]],0)</f>
        <v>8</v>
      </c>
      <c r="X32" s="26">
        <f>IF(BD_ESTADISTICA_INF_B[[#This Row],[POSICION]]="portero",BD_ESTADISTICA_INF_B[[#This Row],[Lanzam.]]-BD_ESTADISTICA_INF_B[[#This Row],[Paradas]],0)</f>
        <v>0</v>
      </c>
      <c r="Y32" s="26">
        <f>IF(BD_ESTADISTICA_INF_B[[#This Row],[POSICION]]="jugador",BD_ESTADISTICA_INF_B[[#This Row],[Lanzam.]],0)</f>
        <v>9</v>
      </c>
      <c r="Z32" s="26">
        <f>IF(BD_ESTADISTICA_INF_B[[#This Row],[POSICION]]="portero",BD_ESTADISTICA_INF_B[[#This Row],[Lanzam.]],0)</f>
        <v>0</v>
      </c>
    </row>
    <row r="33" spans="1:26" hidden="1">
      <c r="A33" s="21" t="s">
        <v>27</v>
      </c>
      <c r="B33" s="21"/>
      <c r="C33" s="22">
        <v>11</v>
      </c>
      <c r="D33" s="22"/>
      <c r="E33" s="22">
        <v>11</v>
      </c>
      <c r="F33" s="8">
        <f>IF(BD_ESTADISTICA_INF_B[[#This Row],[Lanzam.]]="","",IF(BD_ESTADISTICA_INF_B[[#This Row],[POSICION]]="jugador",C33/E33,D33/E33))</f>
        <v>1</v>
      </c>
      <c r="G33" s="8"/>
      <c r="H33" s="8"/>
      <c r="I33" s="22">
        <v>1</v>
      </c>
      <c r="J33" s="22"/>
      <c r="K33" s="22"/>
      <c r="L33" s="22">
        <v>1</v>
      </c>
      <c r="M33" s="22"/>
      <c r="N33" s="22"/>
      <c r="O33" s="22">
        <v>6</v>
      </c>
      <c r="P33" s="22"/>
      <c r="Q33" s="22">
        <v>1</v>
      </c>
      <c r="R33" s="23">
        <v>2</v>
      </c>
      <c r="S33" s="24">
        <v>1</v>
      </c>
      <c r="T33" s="25" t="s">
        <v>84</v>
      </c>
      <c r="U33" s="11" t="s">
        <v>91</v>
      </c>
      <c r="V33" s="26" t="str">
        <f>IF(OR(BD_ESTADISTICA_INF_B[[#This Row],[Jugador]]="eudald",BD_ESTADISTICA_INF_B[[#This Row],[Jugador]]="jules",BD_ESTADISTICA_INF_B[[#This Row],[Jugador]]="JAN"),"PORTERO","JUGADOR")</f>
        <v>JUGADOR</v>
      </c>
      <c r="W33" s="26">
        <f>IF(BD_ESTADISTICA_INF_B[[#This Row],[POSICION]]="jugador",BD_ESTADISTICA_INF_B[[#This Row],[Goles]],0)</f>
        <v>11</v>
      </c>
      <c r="X33" s="26">
        <f>IF(BD_ESTADISTICA_INF_B[[#This Row],[POSICION]]="portero",BD_ESTADISTICA_INF_B[[#This Row],[Lanzam.]]-BD_ESTADISTICA_INF_B[[#This Row],[Paradas]],0)</f>
        <v>0</v>
      </c>
      <c r="Y33" s="26">
        <f>IF(BD_ESTADISTICA_INF_B[[#This Row],[POSICION]]="jugador",BD_ESTADISTICA_INF_B[[#This Row],[Lanzam.]],0)</f>
        <v>11</v>
      </c>
      <c r="Z33" s="26">
        <f>IF(BD_ESTADISTICA_INF_B[[#This Row],[POSICION]]="portero",BD_ESTADISTICA_INF_B[[#This Row],[Lanzam.]],0)</f>
        <v>0</v>
      </c>
    </row>
    <row r="34" spans="1:26" hidden="1">
      <c r="A34" s="21" t="s">
        <v>28</v>
      </c>
      <c r="B34" s="21"/>
      <c r="C34" s="22"/>
      <c r="D34" s="22"/>
      <c r="E34" s="22"/>
      <c r="F34" s="8" t="str">
        <f>IF(BD_ESTADISTICA_INF_B[[#This Row],[Lanzam.]]="","",IF(BD_ESTADISTICA_INF_B[[#This Row],[POSICION]]="jugador",C34/E34,D34/E34))</f>
        <v/>
      </c>
      <c r="G34" s="8"/>
      <c r="H34" s="8"/>
      <c r="I34" s="22">
        <v>5</v>
      </c>
      <c r="J34" s="22"/>
      <c r="K34" s="22">
        <v>1</v>
      </c>
      <c r="L34" s="22"/>
      <c r="M34" s="22"/>
      <c r="N34" s="22"/>
      <c r="O34" s="22"/>
      <c r="P34" s="22"/>
      <c r="Q34" s="22">
        <v>1</v>
      </c>
      <c r="R34" s="23">
        <v>2</v>
      </c>
      <c r="S34" s="24">
        <v>1</v>
      </c>
      <c r="T34" s="25" t="s">
        <v>84</v>
      </c>
      <c r="U34" s="11" t="s">
        <v>91</v>
      </c>
      <c r="V34" s="26" t="str">
        <f>IF(OR(BD_ESTADISTICA_INF_B[[#This Row],[Jugador]]="eudald",BD_ESTADISTICA_INF_B[[#This Row],[Jugador]]="jules",BD_ESTADISTICA_INF_B[[#This Row],[Jugador]]="JAN"),"PORTERO","JUGADOR")</f>
        <v>JUGADOR</v>
      </c>
      <c r="W34" s="26">
        <f>IF(BD_ESTADISTICA_INF_B[[#This Row],[POSICION]]="jugador",BD_ESTADISTICA_INF_B[[#This Row],[Goles]],0)</f>
        <v>0</v>
      </c>
      <c r="X34" s="26">
        <f>IF(BD_ESTADISTICA_INF_B[[#This Row],[POSICION]]="portero",BD_ESTADISTICA_INF_B[[#This Row],[Lanzam.]]-BD_ESTADISTICA_INF_B[[#This Row],[Paradas]],0)</f>
        <v>0</v>
      </c>
      <c r="Y34" s="26">
        <f>IF(BD_ESTADISTICA_INF_B[[#This Row],[POSICION]]="jugador",BD_ESTADISTICA_INF_B[[#This Row],[Lanzam.]],0)</f>
        <v>0</v>
      </c>
      <c r="Z34" s="26">
        <f>IF(BD_ESTADISTICA_INF_B[[#This Row],[POSICION]]="portero",BD_ESTADISTICA_INF_B[[#This Row],[Lanzam.]],0)</f>
        <v>0</v>
      </c>
    </row>
    <row r="35" spans="1:26" hidden="1">
      <c r="A35" s="21" t="s">
        <v>31</v>
      </c>
      <c r="B35" s="21"/>
      <c r="C35" s="28">
        <v>4</v>
      </c>
      <c r="D35" s="22">
        <v>4</v>
      </c>
      <c r="E35" s="22">
        <v>17</v>
      </c>
      <c r="F35" s="8">
        <f>IF(BD_ESTADISTICA_INF_B[[#This Row],[Lanzam.]]="","",IF(BD_ESTADISTICA_INF_B[[#This Row],[POSICION]]="jugador",C35/E35,D35/E35))</f>
        <v>0.23529411764705882</v>
      </c>
      <c r="G35" s="8"/>
      <c r="H35" s="8"/>
      <c r="I35" s="22">
        <v>1</v>
      </c>
      <c r="J35" s="22"/>
      <c r="K35" s="22"/>
      <c r="L35" s="22"/>
      <c r="M35" s="22"/>
      <c r="N35" s="22"/>
      <c r="O35" s="22"/>
      <c r="P35" s="22"/>
      <c r="Q35" s="22"/>
      <c r="R35" s="23">
        <v>2</v>
      </c>
      <c r="S35" s="24">
        <v>1</v>
      </c>
      <c r="T35" s="25" t="s">
        <v>84</v>
      </c>
      <c r="U35" s="11" t="s">
        <v>91</v>
      </c>
      <c r="V35" s="26" t="str">
        <f>IF(OR(BD_ESTADISTICA_INF_B[[#This Row],[Jugador]]="eudald",BD_ESTADISTICA_INF_B[[#This Row],[Jugador]]="jules",BD_ESTADISTICA_INF_B[[#This Row],[Jugador]]="JAN"),"PORTERO","JUGADOR")</f>
        <v>PORTERO</v>
      </c>
      <c r="W35" s="26">
        <f>IF(BD_ESTADISTICA_INF_B[[#This Row],[POSICION]]="jugador",BD_ESTADISTICA_INF_B[[#This Row],[Goles]],0)</f>
        <v>0</v>
      </c>
      <c r="X35" s="26">
        <f>IF(BD_ESTADISTICA_INF_B[[#This Row],[POSICION]]="portero",BD_ESTADISTICA_INF_B[[#This Row],[Lanzam.]]-BD_ESTADISTICA_INF_B[[#This Row],[Paradas]],0)</f>
        <v>13</v>
      </c>
      <c r="Y35" s="26">
        <f>IF(BD_ESTADISTICA_INF_B[[#This Row],[POSICION]]="jugador",BD_ESTADISTICA_INF_B[[#This Row],[Lanzam.]],0)</f>
        <v>0</v>
      </c>
      <c r="Z35" s="26">
        <f>IF(BD_ESTADISTICA_INF_B[[#This Row],[POSICION]]="portero",BD_ESTADISTICA_INF_B[[#This Row],[Lanzam.]],0)</f>
        <v>17</v>
      </c>
    </row>
    <row r="36" spans="1:26" hidden="1">
      <c r="A36" s="34" t="s">
        <v>29</v>
      </c>
      <c r="B36" s="34"/>
      <c r="C36" s="22"/>
      <c r="D36" s="22"/>
      <c r="E36" s="22"/>
      <c r="F36" s="8" t="str">
        <f>IF(BD_ESTADISTICA_INF_B[[#This Row],[Lanzam.]]="","",IF(BD_ESTADISTICA_INF_B[[#This Row],[POSICION]]="jugador",C36/E36,D36/E36))</f>
        <v/>
      </c>
      <c r="G36" s="8"/>
      <c r="H36" s="8"/>
      <c r="I36" s="22"/>
      <c r="J36" s="22"/>
      <c r="K36" s="22"/>
      <c r="L36" s="22"/>
      <c r="M36" s="22"/>
      <c r="N36" s="22"/>
      <c r="O36" s="22"/>
      <c r="P36" s="22"/>
      <c r="Q36" s="22"/>
      <c r="R36" s="23">
        <v>2</v>
      </c>
      <c r="S36" s="24">
        <v>1</v>
      </c>
      <c r="T36" s="25" t="s">
        <v>84</v>
      </c>
      <c r="U36" s="11" t="s">
        <v>91</v>
      </c>
      <c r="V36" s="26" t="str">
        <f>IF(OR(BD_ESTADISTICA_INF_B[[#This Row],[Jugador]]="eudald",BD_ESTADISTICA_INF_B[[#This Row],[Jugador]]="jules",BD_ESTADISTICA_INF_B[[#This Row],[Jugador]]="JAN"),"PORTERO","JUGADOR")</f>
        <v>PORTERO</v>
      </c>
      <c r="W36" s="26">
        <f>IF(BD_ESTADISTICA_INF_B[[#This Row],[POSICION]]="jugador",BD_ESTADISTICA_INF_B[[#This Row],[Goles]],0)</f>
        <v>0</v>
      </c>
      <c r="X36" s="26">
        <f>IF(BD_ESTADISTICA_INF_B[[#This Row],[POSICION]]="portero",BD_ESTADISTICA_INF_B[[#This Row],[Lanzam.]]-BD_ESTADISTICA_INF_B[[#This Row],[Paradas]],0)</f>
        <v>0</v>
      </c>
      <c r="Y36" s="26">
        <f>IF(BD_ESTADISTICA_INF_B[[#This Row],[POSICION]]="jugador",BD_ESTADISTICA_INF_B[[#This Row],[Lanzam.]],0)</f>
        <v>0</v>
      </c>
      <c r="Z36" s="26">
        <f>IF(BD_ESTADISTICA_INF_B[[#This Row],[POSICION]]="portero",BD_ESTADISTICA_INF_B[[#This Row],[Lanzam.]],0)</f>
        <v>0</v>
      </c>
    </row>
    <row r="37" spans="1:26" hidden="1">
      <c r="A37" s="21" t="s">
        <v>30</v>
      </c>
      <c r="B37" s="21"/>
      <c r="C37" s="28">
        <v>7</v>
      </c>
      <c r="D37" s="22">
        <v>7</v>
      </c>
      <c r="E37" s="22">
        <v>20</v>
      </c>
      <c r="F37" s="8">
        <f>IF(BD_ESTADISTICA_INF_B[[#This Row],[Lanzam.]]="","",IF(BD_ESTADISTICA_INF_B[[#This Row],[POSICION]]="jugador",C37/E37,D37/E37))</f>
        <v>0.35</v>
      </c>
      <c r="G37" s="8"/>
      <c r="H37" s="8"/>
      <c r="I37" s="22"/>
      <c r="J37" s="22"/>
      <c r="K37" s="22">
        <v>1</v>
      </c>
      <c r="L37" s="22"/>
      <c r="M37" s="22"/>
      <c r="N37" s="22"/>
      <c r="O37" s="22"/>
      <c r="P37" s="22"/>
      <c r="Q37" s="22"/>
      <c r="R37" s="23">
        <v>2</v>
      </c>
      <c r="S37" s="24">
        <v>1</v>
      </c>
      <c r="T37" s="25" t="s">
        <v>84</v>
      </c>
      <c r="U37" s="11" t="s">
        <v>91</v>
      </c>
      <c r="V37" s="26" t="str">
        <f>IF(OR(BD_ESTADISTICA_INF_B[[#This Row],[Jugador]]="eudald",BD_ESTADISTICA_INF_B[[#This Row],[Jugador]]="jules",BD_ESTADISTICA_INF_B[[#This Row],[Jugador]]="JAN"),"PORTERO","JUGADOR")</f>
        <v>PORTERO</v>
      </c>
      <c r="W37" s="26">
        <f>IF(BD_ESTADISTICA_INF_B[[#This Row],[POSICION]]="jugador",BD_ESTADISTICA_INF_B[[#This Row],[Goles]],0)</f>
        <v>0</v>
      </c>
      <c r="X37" s="26">
        <f>IF(BD_ESTADISTICA_INF_B[[#This Row],[POSICION]]="portero",BD_ESTADISTICA_INF_B[[#This Row],[Lanzam.]]-BD_ESTADISTICA_INF_B[[#This Row],[Paradas]],0)</f>
        <v>13</v>
      </c>
      <c r="Y37" s="26">
        <f>IF(BD_ESTADISTICA_INF_B[[#This Row],[POSICION]]="jugador",BD_ESTADISTICA_INF_B[[#This Row],[Lanzam.]],0)</f>
        <v>0</v>
      </c>
      <c r="Z37" s="26">
        <f>IF(BD_ESTADISTICA_INF_B[[#This Row],[POSICION]]="portero",BD_ESTADISTICA_INF_B[[#This Row],[Lanzam.]],0)</f>
        <v>20</v>
      </c>
    </row>
    <row r="38" spans="1:26" hidden="1">
      <c r="A38" s="21" t="s">
        <v>42</v>
      </c>
      <c r="B38" s="21"/>
      <c r="C38" s="22">
        <v>2</v>
      </c>
      <c r="D38" s="22"/>
      <c r="E38" s="22">
        <v>3</v>
      </c>
      <c r="F38" s="8">
        <f>IF(BD_ESTADISTICA_INF_B[[#This Row],[Lanzam.]]="","",IF(BD_ESTADISTICA_INF_B[[#This Row],[POSICION]]="jugador",C38/E38,D38/E38))</f>
        <v>0.66666666666666663</v>
      </c>
      <c r="G38" s="8"/>
      <c r="H38" s="8"/>
      <c r="I38" s="22"/>
      <c r="J38" s="22"/>
      <c r="K38" s="22"/>
      <c r="L38" s="22"/>
      <c r="M38" s="22"/>
      <c r="N38" s="22"/>
      <c r="O38" s="22">
        <v>1</v>
      </c>
      <c r="P38" s="22">
        <v>2</v>
      </c>
      <c r="Q38" s="22"/>
      <c r="R38" s="23">
        <v>2</v>
      </c>
      <c r="S38" s="24">
        <v>1</v>
      </c>
      <c r="T38" s="25" t="s">
        <v>84</v>
      </c>
      <c r="U38" s="11" t="s">
        <v>91</v>
      </c>
      <c r="V38" s="26" t="str">
        <f>IF(OR(BD_ESTADISTICA_INF_B[[#This Row],[Jugador]]="eudald",BD_ESTADISTICA_INF_B[[#This Row],[Jugador]]="jules",BD_ESTADISTICA_INF_B[[#This Row],[Jugador]]="JAN"),"PORTERO","JUGADOR")</f>
        <v>JUGADOR</v>
      </c>
      <c r="W38" s="26">
        <f>IF(BD_ESTADISTICA_INF_B[[#This Row],[POSICION]]="jugador",BD_ESTADISTICA_INF_B[[#This Row],[Goles]],0)</f>
        <v>2</v>
      </c>
      <c r="X38" s="26">
        <f>IF(BD_ESTADISTICA_INF_B[[#This Row],[POSICION]]="portero",BD_ESTADISTICA_INF_B[[#This Row],[Lanzam.]]-BD_ESTADISTICA_INF_B[[#This Row],[Paradas]],0)</f>
        <v>0</v>
      </c>
      <c r="Y38" s="26">
        <f>IF(BD_ESTADISTICA_INF_B[[#This Row],[POSICION]]="jugador",BD_ESTADISTICA_INF_B[[#This Row],[Lanzam.]],0)</f>
        <v>3</v>
      </c>
      <c r="Z38" s="26">
        <f>IF(BD_ESTADISTICA_INF_B[[#This Row],[POSICION]]="portero",BD_ESTADISTICA_INF_B[[#This Row],[Lanzam.]],0)</f>
        <v>0</v>
      </c>
    </row>
    <row r="39" spans="1:26" hidden="1">
      <c r="A39" s="21" t="s">
        <v>22</v>
      </c>
      <c r="B39" s="21"/>
      <c r="C39" s="22">
        <v>0</v>
      </c>
      <c r="D39" s="22"/>
      <c r="E39" s="22">
        <v>1</v>
      </c>
      <c r="F39" s="8">
        <f>IF(BD_ESTADISTICA_INF_B[[#This Row],[Lanzam.]]="","",IF(BD_ESTADISTICA_INF_B[[#This Row],[POSICION]]="jugador",C39/E39,D39/E39))</f>
        <v>0</v>
      </c>
      <c r="G39" s="8"/>
      <c r="H39" s="8"/>
      <c r="I39" s="22"/>
      <c r="J39" s="22"/>
      <c r="K39" s="22"/>
      <c r="L39" s="22"/>
      <c r="M39" s="22"/>
      <c r="N39" s="22"/>
      <c r="O39" s="22"/>
      <c r="P39" s="22"/>
      <c r="Q39" s="22"/>
      <c r="R39" s="23">
        <v>2</v>
      </c>
      <c r="S39" s="24">
        <v>1</v>
      </c>
      <c r="T39" s="25" t="s">
        <v>84</v>
      </c>
      <c r="U39" s="11" t="s">
        <v>91</v>
      </c>
      <c r="V39" s="26" t="str">
        <f>IF(OR(BD_ESTADISTICA_INF_B[[#This Row],[Jugador]]="eudald",BD_ESTADISTICA_INF_B[[#This Row],[Jugador]]="jules",BD_ESTADISTICA_INF_B[[#This Row],[Jugador]]="JAN"),"PORTERO","JUGADOR")</f>
        <v>JUGADOR</v>
      </c>
      <c r="W39" s="26">
        <f>IF(BD_ESTADISTICA_INF_B[[#This Row],[POSICION]]="jugador",BD_ESTADISTICA_INF_B[[#This Row],[Goles]],0)</f>
        <v>0</v>
      </c>
      <c r="X39" s="26">
        <f>IF(BD_ESTADISTICA_INF_B[[#This Row],[POSICION]]="portero",BD_ESTADISTICA_INF_B[[#This Row],[Lanzam.]]-BD_ESTADISTICA_INF_B[[#This Row],[Paradas]],0)</f>
        <v>0</v>
      </c>
      <c r="Y39" s="26">
        <f>IF(BD_ESTADISTICA_INF_B[[#This Row],[POSICION]]="jugador",BD_ESTADISTICA_INF_B[[#This Row],[Lanzam.]],0)</f>
        <v>1</v>
      </c>
      <c r="Z39" s="26">
        <f>IF(BD_ESTADISTICA_INF_B[[#This Row],[POSICION]]="portero",BD_ESTADISTICA_INF_B[[#This Row],[Lanzam.]],0)</f>
        <v>0</v>
      </c>
    </row>
    <row r="40" spans="1:26" hidden="1">
      <c r="A40" s="21" t="s">
        <v>16</v>
      </c>
      <c r="B40" s="21"/>
      <c r="C40" s="22"/>
      <c r="D40" s="22"/>
      <c r="E40" s="22"/>
      <c r="F40" s="8" t="str">
        <f>IF(BD_ESTADISTICA_INF_B[[#This Row],[Lanzam.]]="","",IF(BD_ESTADISTICA_INF_B[[#This Row],[POSICION]]="jugador",C40/E40,D40/E40))</f>
        <v/>
      </c>
      <c r="G40" s="8"/>
      <c r="H40" s="8"/>
      <c r="I40" s="22"/>
      <c r="J40" s="22"/>
      <c r="K40" s="22"/>
      <c r="L40" s="22"/>
      <c r="M40" s="22"/>
      <c r="N40" s="22"/>
      <c r="O40" s="22"/>
      <c r="P40" s="22"/>
      <c r="Q40" s="22"/>
      <c r="R40" s="23">
        <v>3</v>
      </c>
      <c r="S40" s="24">
        <v>1</v>
      </c>
      <c r="T40" s="25" t="s">
        <v>79</v>
      </c>
      <c r="U40" s="11" t="s">
        <v>92</v>
      </c>
      <c r="V40" s="26" t="str">
        <f>IF(OR(BD_ESTADISTICA_INF_B[[#This Row],[Jugador]]="eudald",BD_ESTADISTICA_INF_B[[#This Row],[Jugador]]="jules",BD_ESTADISTICA_INF_B[[#This Row],[Jugador]]="JAN"),"PORTERO","JUGADOR")</f>
        <v>JUGADOR</v>
      </c>
      <c r="W40" s="26">
        <f>IF(BD_ESTADISTICA_INF_B[[#This Row],[POSICION]]="jugador",BD_ESTADISTICA_INF_B[[#This Row],[Goles]],0)</f>
        <v>0</v>
      </c>
      <c r="X40" s="26">
        <f>IF(BD_ESTADISTICA_INF_B[[#This Row],[POSICION]]="portero",BD_ESTADISTICA_INF_B[[#This Row],[Lanzam.]]-BD_ESTADISTICA_INF_B[[#This Row],[Paradas]],0)</f>
        <v>0</v>
      </c>
      <c r="Y40" s="26">
        <f>IF(BD_ESTADISTICA_INF_B[[#This Row],[POSICION]]="jugador",BD_ESTADISTICA_INF_B[[#This Row],[Lanzam.]],0)</f>
        <v>0</v>
      </c>
      <c r="Z40" s="26">
        <f>IF(BD_ESTADISTICA_INF_B[[#This Row],[POSICION]]="portero",BD_ESTADISTICA_INF_B[[#This Row],[Lanzam.]],0)</f>
        <v>0</v>
      </c>
    </row>
    <row r="41" spans="1:26" hidden="1">
      <c r="A41" s="21" t="s">
        <v>16</v>
      </c>
      <c r="B41" s="21"/>
      <c r="C41" s="22">
        <v>2</v>
      </c>
      <c r="D41" s="22"/>
      <c r="E41" s="22">
        <v>4</v>
      </c>
      <c r="G41" s="8"/>
      <c r="H41" s="8"/>
      <c r="I41" s="22">
        <v>3</v>
      </c>
      <c r="J41" s="22">
        <v>1</v>
      </c>
      <c r="K41" s="22">
        <v>1</v>
      </c>
      <c r="L41" s="22"/>
      <c r="M41" s="22"/>
      <c r="N41" s="22"/>
      <c r="O41" s="22">
        <v>1</v>
      </c>
      <c r="P41" s="22"/>
      <c r="Q41" s="22"/>
      <c r="R41" s="23">
        <v>3</v>
      </c>
      <c r="S41" s="24">
        <v>1</v>
      </c>
      <c r="T41" s="25" t="s">
        <v>79</v>
      </c>
      <c r="U41" s="11" t="s">
        <v>92</v>
      </c>
      <c r="V41" s="26" t="str">
        <f>IF(OR(BD_ESTADISTICA_INF_B[[#This Row],[Jugador]]="eudald",BD_ESTADISTICA_INF_B[[#This Row],[Jugador]]="jules",BD_ESTADISTICA_INF_B[[#This Row],[Jugador]]="JAN"),"PORTERO","JUGADOR")</f>
        <v>JUGADOR</v>
      </c>
      <c r="W41" s="26">
        <f>IF(BD_ESTADISTICA_INF_B[[#This Row],[POSICION]]="jugador",BD_ESTADISTICA_INF_B[[#This Row],[Goles]],0)</f>
        <v>2</v>
      </c>
      <c r="X41" s="26">
        <f>IF(BD_ESTADISTICA_INF_B[[#This Row],[POSICION]]="portero",BD_ESTADISTICA_INF_B[[#This Row],[Lanzam.]]-BD_ESTADISTICA_INF_B[[#This Row],[Paradas]],0)</f>
        <v>0</v>
      </c>
      <c r="Y41" s="26">
        <f>IF(BD_ESTADISTICA_INF_B[[#This Row],[POSICION]]="jugador",BD_ESTADISTICA_INF_B[[#This Row],[Lanzam.]],0)</f>
        <v>4</v>
      </c>
      <c r="Z41" s="26">
        <f>IF(BD_ESTADISTICA_INF_B[[#This Row],[POSICION]]="portero",BD_ESTADISTICA_INF_B[[#This Row],[Lanzam.]],0)</f>
        <v>0</v>
      </c>
    </row>
    <row r="42" spans="1:26" hidden="1">
      <c r="A42" s="21" t="s">
        <v>17</v>
      </c>
      <c r="B42" s="21"/>
      <c r="C42" s="22">
        <v>2</v>
      </c>
      <c r="D42" s="22"/>
      <c r="E42" s="22">
        <v>2</v>
      </c>
      <c r="F42" s="8">
        <f>IF(BD_ESTADISTICA_INF_B[[#This Row],[Lanzam.]]="","",IF(BD_ESTADISTICA_INF_B[[#This Row],[POSICION]]="jugador",C42/E42,D42/E42))</f>
        <v>1</v>
      </c>
      <c r="G42" s="8"/>
      <c r="H42" s="8"/>
      <c r="I42" s="22">
        <v>2</v>
      </c>
      <c r="J42" s="22">
        <v>1</v>
      </c>
      <c r="K42" s="22"/>
      <c r="L42" s="22"/>
      <c r="M42" s="22"/>
      <c r="N42" s="22"/>
      <c r="O42" s="22">
        <v>5</v>
      </c>
      <c r="P42" s="22"/>
      <c r="Q42" s="22"/>
      <c r="R42" s="23">
        <v>3</v>
      </c>
      <c r="S42" s="24">
        <v>1</v>
      </c>
      <c r="T42" s="25" t="s">
        <v>79</v>
      </c>
      <c r="U42" s="11" t="s">
        <v>92</v>
      </c>
      <c r="V42" s="26" t="str">
        <f>IF(OR(BD_ESTADISTICA_INF_B[[#This Row],[Jugador]]="eudald",BD_ESTADISTICA_INF_B[[#This Row],[Jugador]]="jules",BD_ESTADISTICA_INF_B[[#This Row],[Jugador]]="JAN"),"PORTERO","JUGADOR")</f>
        <v>JUGADOR</v>
      </c>
      <c r="W42" s="26">
        <f>IF(BD_ESTADISTICA_INF_B[[#This Row],[POSICION]]="jugador",BD_ESTADISTICA_INF_B[[#This Row],[Goles]],0)</f>
        <v>2</v>
      </c>
      <c r="X42" s="26">
        <f>IF(BD_ESTADISTICA_INF_B[[#This Row],[POSICION]]="portero",BD_ESTADISTICA_INF_B[[#This Row],[Lanzam.]]-BD_ESTADISTICA_INF_B[[#This Row],[Paradas]],0)</f>
        <v>0</v>
      </c>
      <c r="Y42" s="26">
        <f>IF(BD_ESTADISTICA_INF_B[[#This Row],[POSICION]]="jugador",BD_ESTADISTICA_INF_B[[#This Row],[Lanzam.]],0)</f>
        <v>2</v>
      </c>
      <c r="Z42" s="26">
        <f>IF(BD_ESTADISTICA_INF_B[[#This Row],[POSICION]]="portero",BD_ESTADISTICA_INF_B[[#This Row],[Lanzam.]],0)</f>
        <v>0</v>
      </c>
    </row>
    <row r="43" spans="1:26" hidden="1">
      <c r="A43" s="21" t="s">
        <v>18</v>
      </c>
      <c r="B43" s="21"/>
      <c r="C43" s="22"/>
      <c r="D43" s="22"/>
      <c r="E43" s="22"/>
      <c r="F43" s="8" t="str">
        <f>IF(BD_ESTADISTICA_INF_B[[#This Row],[Lanzam.]]="","",IF(BD_ESTADISTICA_INF_B[[#This Row],[POSICION]]="jugador",C43/E43,D43/E43))</f>
        <v/>
      </c>
      <c r="G43" s="8"/>
      <c r="H43" s="8"/>
      <c r="I43" s="22">
        <v>7</v>
      </c>
      <c r="J43" s="22"/>
      <c r="K43" s="22"/>
      <c r="L43" s="22"/>
      <c r="M43" s="22"/>
      <c r="N43" s="22"/>
      <c r="O43" s="22"/>
      <c r="P43" s="22"/>
      <c r="Q43" s="22"/>
      <c r="R43" s="23">
        <v>3</v>
      </c>
      <c r="S43" s="24">
        <v>1</v>
      </c>
      <c r="T43" s="25" t="s">
        <v>79</v>
      </c>
      <c r="U43" s="11" t="s">
        <v>92</v>
      </c>
      <c r="V43" s="26" t="str">
        <f>IF(OR(BD_ESTADISTICA_INF_B[[#This Row],[Jugador]]="eudald",BD_ESTADISTICA_INF_B[[#This Row],[Jugador]]="jules",BD_ESTADISTICA_INF_B[[#This Row],[Jugador]]="JAN"),"PORTERO","JUGADOR")</f>
        <v>JUGADOR</v>
      </c>
      <c r="W43" s="26">
        <f>IF(BD_ESTADISTICA_INF_B[[#This Row],[POSICION]]="jugador",BD_ESTADISTICA_INF_B[[#This Row],[Goles]],0)</f>
        <v>0</v>
      </c>
      <c r="X43" s="26">
        <f>IF(BD_ESTADISTICA_INF_B[[#This Row],[POSICION]]="portero",BD_ESTADISTICA_INF_B[[#This Row],[Lanzam.]]-BD_ESTADISTICA_INF_B[[#This Row],[Paradas]],0)</f>
        <v>0</v>
      </c>
      <c r="Y43" s="26">
        <f>IF(BD_ESTADISTICA_INF_B[[#This Row],[POSICION]]="jugador",BD_ESTADISTICA_INF_B[[#This Row],[Lanzam.]],0)</f>
        <v>0</v>
      </c>
      <c r="Z43" s="26">
        <f>IF(BD_ESTADISTICA_INF_B[[#This Row],[POSICION]]="portero",BD_ESTADISTICA_INF_B[[#This Row],[Lanzam.]],0)</f>
        <v>0</v>
      </c>
    </row>
    <row r="44" spans="1:26" hidden="1">
      <c r="A44" s="21" t="s">
        <v>19</v>
      </c>
      <c r="B44" s="21"/>
      <c r="C44" s="22">
        <v>4</v>
      </c>
      <c r="D44" s="22"/>
      <c r="E44" s="22">
        <v>4</v>
      </c>
      <c r="F44" s="8">
        <f>IF(BD_ESTADISTICA_INF_B[[#This Row],[Lanzam.]]="","",IF(BD_ESTADISTICA_INF_B[[#This Row],[POSICION]]="jugador",C44/E44,D44/E44))</f>
        <v>1</v>
      </c>
      <c r="G44" s="8"/>
      <c r="H44" s="8"/>
      <c r="I44" s="22">
        <v>4</v>
      </c>
      <c r="J44" s="22"/>
      <c r="K44" s="22"/>
      <c r="L44" s="22"/>
      <c r="M44" s="22"/>
      <c r="N44" s="22"/>
      <c r="O44" s="22">
        <v>1</v>
      </c>
      <c r="P44" s="22"/>
      <c r="Q44" s="22"/>
      <c r="R44" s="23">
        <v>3</v>
      </c>
      <c r="S44" s="24">
        <v>1</v>
      </c>
      <c r="T44" s="25" t="s">
        <v>79</v>
      </c>
      <c r="U44" s="11" t="s">
        <v>92</v>
      </c>
      <c r="V44" s="26" t="str">
        <f>IF(OR(BD_ESTADISTICA_INF_B[[#This Row],[Jugador]]="eudald",BD_ESTADISTICA_INF_B[[#This Row],[Jugador]]="jules",BD_ESTADISTICA_INF_B[[#This Row],[Jugador]]="JAN"),"PORTERO","JUGADOR")</f>
        <v>JUGADOR</v>
      </c>
      <c r="W44" s="26">
        <f>IF(BD_ESTADISTICA_INF_B[[#This Row],[POSICION]]="jugador",BD_ESTADISTICA_INF_B[[#This Row],[Goles]],0)</f>
        <v>4</v>
      </c>
      <c r="X44" s="26">
        <f>IF(BD_ESTADISTICA_INF_B[[#This Row],[POSICION]]="portero",BD_ESTADISTICA_INF_B[[#This Row],[Lanzam.]]-BD_ESTADISTICA_INF_B[[#This Row],[Paradas]],0)</f>
        <v>0</v>
      </c>
      <c r="Y44" s="26">
        <f>IF(BD_ESTADISTICA_INF_B[[#This Row],[POSICION]]="jugador",BD_ESTADISTICA_INF_B[[#This Row],[Lanzam.]],0)</f>
        <v>4</v>
      </c>
      <c r="Z44" s="26">
        <f>IF(BD_ESTADISTICA_INF_B[[#This Row],[POSICION]]="portero",BD_ESTADISTICA_INF_B[[#This Row],[Lanzam.]],0)</f>
        <v>0</v>
      </c>
    </row>
    <row r="45" spans="1:26" hidden="1">
      <c r="A45" s="34" t="s">
        <v>20</v>
      </c>
      <c r="B45" s="34"/>
      <c r="C45" s="22"/>
      <c r="D45" s="22"/>
      <c r="E45" s="22"/>
      <c r="F45" s="8" t="str">
        <f>IF(BD_ESTADISTICA_INF_B[[#This Row],[Lanzam.]]="","",IF(BD_ESTADISTICA_INF_B[[#This Row],[POSICION]]="jugador",C45/E45,D45/E45))</f>
        <v/>
      </c>
      <c r="G45" s="8"/>
      <c r="H45" s="8"/>
      <c r="I45" s="22"/>
      <c r="J45" s="22"/>
      <c r="K45" s="22"/>
      <c r="L45" s="22"/>
      <c r="M45" s="22"/>
      <c r="N45" s="22"/>
      <c r="O45" s="22"/>
      <c r="P45" s="22"/>
      <c r="Q45" s="22"/>
      <c r="R45" s="23">
        <v>3</v>
      </c>
      <c r="S45" s="24">
        <v>1</v>
      </c>
      <c r="T45" s="25" t="s">
        <v>79</v>
      </c>
      <c r="U45" s="11" t="s">
        <v>92</v>
      </c>
      <c r="V45" s="26" t="str">
        <f>IF(OR(BD_ESTADISTICA_INF_B[[#This Row],[Jugador]]="eudald",BD_ESTADISTICA_INF_B[[#This Row],[Jugador]]="jules",BD_ESTADISTICA_INF_B[[#This Row],[Jugador]]="JAN"),"PORTERO","JUGADOR")</f>
        <v>JUGADOR</v>
      </c>
      <c r="W45" s="26">
        <f>IF(BD_ESTADISTICA_INF_B[[#This Row],[POSICION]]="jugador",BD_ESTADISTICA_INF_B[[#This Row],[Goles]],0)</f>
        <v>0</v>
      </c>
      <c r="X45" s="26">
        <f>IF(BD_ESTADISTICA_INF_B[[#This Row],[POSICION]]="portero",BD_ESTADISTICA_INF_B[[#This Row],[Lanzam.]]-BD_ESTADISTICA_INF_B[[#This Row],[Paradas]],0)</f>
        <v>0</v>
      </c>
      <c r="Y45" s="26">
        <f>IF(BD_ESTADISTICA_INF_B[[#This Row],[POSICION]]="jugador",BD_ESTADISTICA_INF_B[[#This Row],[Lanzam.]],0)</f>
        <v>0</v>
      </c>
      <c r="Z45" s="26">
        <f>IF(BD_ESTADISTICA_INF_B[[#This Row],[POSICION]]="portero",BD_ESTADISTICA_INF_B[[#This Row],[Lanzam.]],0)</f>
        <v>0</v>
      </c>
    </row>
    <row r="46" spans="1:26" hidden="1">
      <c r="A46" s="34" t="s">
        <v>21</v>
      </c>
      <c r="B46" s="34"/>
      <c r="C46" s="22"/>
      <c r="D46" s="22"/>
      <c r="E46" s="22"/>
      <c r="F46" s="8" t="str">
        <f>IF(BD_ESTADISTICA_INF_B[[#This Row],[Lanzam.]]="","",IF(BD_ESTADISTICA_INF_B[[#This Row],[POSICION]]="jugador",C46/E46,D46/E46))</f>
        <v/>
      </c>
      <c r="G46" s="8"/>
      <c r="H46" s="8"/>
      <c r="I46" s="22"/>
      <c r="J46" s="22"/>
      <c r="K46" s="22"/>
      <c r="L46" s="22"/>
      <c r="M46" s="22"/>
      <c r="N46" s="22"/>
      <c r="O46" s="22"/>
      <c r="P46" s="22"/>
      <c r="Q46" s="22"/>
      <c r="R46" s="23">
        <v>3</v>
      </c>
      <c r="S46" s="24">
        <v>1</v>
      </c>
      <c r="T46" s="25" t="s">
        <v>79</v>
      </c>
      <c r="U46" s="11" t="s">
        <v>92</v>
      </c>
      <c r="V46" s="26" t="str">
        <f>IF(OR(BD_ESTADISTICA_INF_B[[#This Row],[Jugador]]="eudald",BD_ESTADISTICA_INF_B[[#This Row],[Jugador]]="jules",BD_ESTADISTICA_INF_B[[#This Row],[Jugador]]="JAN"),"PORTERO","JUGADOR")</f>
        <v>JUGADOR</v>
      </c>
      <c r="W46" s="26">
        <f>IF(BD_ESTADISTICA_INF_B[[#This Row],[POSICION]]="jugador",BD_ESTADISTICA_INF_B[[#This Row],[Goles]],0)</f>
        <v>0</v>
      </c>
      <c r="X46" s="26">
        <f>IF(BD_ESTADISTICA_INF_B[[#This Row],[POSICION]]="portero",BD_ESTADISTICA_INF_B[[#This Row],[Lanzam.]]-BD_ESTADISTICA_INF_B[[#This Row],[Paradas]],0)</f>
        <v>0</v>
      </c>
      <c r="Y46" s="26">
        <f>IF(BD_ESTADISTICA_INF_B[[#This Row],[POSICION]]="jugador",BD_ESTADISTICA_INF_B[[#This Row],[Lanzam.]],0)</f>
        <v>0</v>
      </c>
      <c r="Z46" s="26">
        <f>IF(BD_ESTADISTICA_INF_B[[#This Row],[POSICION]]="portero",BD_ESTADISTICA_INF_B[[#This Row],[Lanzam.]],0)</f>
        <v>0</v>
      </c>
    </row>
    <row r="47" spans="1:26" hidden="1">
      <c r="A47" s="21" t="s">
        <v>40</v>
      </c>
      <c r="B47" s="21"/>
      <c r="C47" s="22">
        <v>2</v>
      </c>
      <c r="D47" s="22"/>
      <c r="E47" s="22">
        <v>2</v>
      </c>
      <c r="F47" s="8">
        <f>IF(BD_ESTADISTICA_INF_B[[#This Row],[Lanzam.]]="","",IF(BD_ESTADISTICA_INF_B[[#This Row],[POSICION]]="jugador",C47/E47,D47/E47))</f>
        <v>1</v>
      </c>
      <c r="G47" s="8"/>
      <c r="H47" s="8"/>
      <c r="I47" s="22">
        <v>3</v>
      </c>
      <c r="J47" s="22"/>
      <c r="K47" s="22">
        <v>1</v>
      </c>
      <c r="L47" s="22"/>
      <c r="M47" s="22"/>
      <c r="N47" s="22"/>
      <c r="O47" s="22">
        <v>1</v>
      </c>
      <c r="P47" s="22"/>
      <c r="Q47" s="22"/>
      <c r="R47" s="23">
        <v>3</v>
      </c>
      <c r="S47" s="24">
        <v>1</v>
      </c>
      <c r="T47" s="25" t="s">
        <v>79</v>
      </c>
      <c r="U47" s="11" t="s">
        <v>92</v>
      </c>
      <c r="V47" s="26" t="str">
        <f>IF(OR(BD_ESTADISTICA_INF_B[[#This Row],[Jugador]]="eudald",BD_ESTADISTICA_INF_B[[#This Row],[Jugador]]="jules",BD_ESTADISTICA_INF_B[[#This Row],[Jugador]]="JAN"),"PORTERO","JUGADOR")</f>
        <v>JUGADOR</v>
      </c>
      <c r="W47" s="26">
        <f>IF(BD_ESTADISTICA_INF_B[[#This Row],[POSICION]]="jugador",BD_ESTADISTICA_INF_B[[#This Row],[Goles]],0)</f>
        <v>2</v>
      </c>
      <c r="X47" s="26">
        <f>IF(BD_ESTADISTICA_INF_B[[#This Row],[POSICION]]="portero",BD_ESTADISTICA_INF_B[[#This Row],[Lanzam.]]-BD_ESTADISTICA_INF_B[[#This Row],[Paradas]],0)</f>
        <v>0</v>
      </c>
      <c r="Y47" s="26">
        <f>IF(BD_ESTADISTICA_INF_B[[#This Row],[POSICION]]="jugador",BD_ESTADISTICA_INF_B[[#This Row],[Lanzam.]],0)</f>
        <v>2</v>
      </c>
      <c r="Z47" s="26">
        <f>IF(BD_ESTADISTICA_INF_B[[#This Row],[POSICION]]="portero",BD_ESTADISTICA_INF_B[[#This Row],[Lanzam.]],0)</f>
        <v>0</v>
      </c>
    </row>
    <row r="48" spans="1:26" hidden="1">
      <c r="A48" s="21" t="s">
        <v>41</v>
      </c>
      <c r="B48" s="21"/>
      <c r="C48" s="22">
        <v>1</v>
      </c>
      <c r="D48" s="22"/>
      <c r="E48" s="22">
        <v>2</v>
      </c>
      <c r="F48" s="8">
        <f>IF(BD_ESTADISTICA_INF_B[[#This Row],[Lanzam.]]="","",IF(BD_ESTADISTICA_INF_B[[#This Row],[POSICION]]="jugador",C48/E48,D48/E48))</f>
        <v>0.5</v>
      </c>
      <c r="G48" s="8"/>
      <c r="H48" s="8"/>
      <c r="I48" s="22"/>
      <c r="J48" s="22"/>
      <c r="K48" s="22">
        <v>1</v>
      </c>
      <c r="L48" s="22"/>
      <c r="M48" s="22"/>
      <c r="N48" s="22"/>
      <c r="O48" s="22">
        <v>4</v>
      </c>
      <c r="P48" s="22"/>
      <c r="Q48" s="22"/>
      <c r="R48" s="23">
        <v>3</v>
      </c>
      <c r="S48" s="24">
        <v>1</v>
      </c>
      <c r="T48" s="25" t="s">
        <v>79</v>
      </c>
      <c r="U48" s="11" t="s">
        <v>92</v>
      </c>
      <c r="V48" s="26" t="str">
        <f>IF(OR(BD_ESTADISTICA_INF_B[[#This Row],[Jugador]]="eudald",BD_ESTADISTICA_INF_B[[#This Row],[Jugador]]="jules",BD_ESTADISTICA_INF_B[[#This Row],[Jugador]]="JAN"),"PORTERO","JUGADOR")</f>
        <v>JUGADOR</v>
      </c>
      <c r="W48" s="26">
        <f>IF(BD_ESTADISTICA_INF_B[[#This Row],[POSICION]]="jugador",BD_ESTADISTICA_INF_B[[#This Row],[Goles]],0)</f>
        <v>1</v>
      </c>
      <c r="X48" s="26">
        <f>IF(BD_ESTADISTICA_INF_B[[#This Row],[POSICION]]="portero",BD_ESTADISTICA_INF_B[[#This Row],[Lanzam.]]-BD_ESTADISTICA_INF_B[[#This Row],[Paradas]],0)</f>
        <v>0</v>
      </c>
      <c r="Y48" s="26">
        <f>IF(BD_ESTADISTICA_INF_B[[#This Row],[POSICION]]="jugador",BD_ESTADISTICA_INF_B[[#This Row],[Lanzam.]],0)</f>
        <v>2</v>
      </c>
      <c r="Z48" s="26">
        <f>IF(BD_ESTADISTICA_INF_B[[#This Row],[POSICION]]="portero",BD_ESTADISTICA_INF_B[[#This Row],[Lanzam.]],0)</f>
        <v>0</v>
      </c>
    </row>
    <row r="49" spans="1:26" hidden="1">
      <c r="A49" s="21" t="s">
        <v>23</v>
      </c>
      <c r="B49" s="21"/>
      <c r="C49" s="22">
        <v>7</v>
      </c>
      <c r="D49" s="22"/>
      <c r="E49" s="22">
        <v>7</v>
      </c>
      <c r="F49" s="8">
        <f>IF(BD_ESTADISTICA_INF_B[[#This Row],[Lanzam.]]="","",IF(BD_ESTADISTICA_INF_B[[#This Row],[POSICION]]="jugador",C49/E49,D49/E49))</f>
        <v>1</v>
      </c>
      <c r="G49" s="8"/>
      <c r="H49" s="8"/>
      <c r="I49" s="22"/>
      <c r="J49" s="22"/>
      <c r="K49" s="22"/>
      <c r="L49" s="22"/>
      <c r="M49" s="22"/>
      <c r="N49" s="22"/>
      <c r="O49" s="22">
        <v>1</v>
      </c>
      <c r="P49" s="22"/>
      <c r="Q49" s="22"/>
      <c r="R49" s="23">
        <v>3</v>
      </c>
      <c r="S49" s="24">
        <v>1</v>
      </c>
      <c r="T49" s="25" t="s">
        <v>79</v>
      </c>
      <c r="U49" s="11" t="s">
        <v>92</v>
      </c>
      <c r="V49" s="26" t="str">
        <f>IF(OR(BD_ESTADISTICA_INF_B[[#This Row],[Jugador]]="eudald",BD_ESTADISTICA_INF_B[[#This Row],[Jugador]]="jules",BD_ESTADISTICA_INF_B[[#This Row],[Jugador]]="JAN"),"PORTERO","JUGADOR")</f>
        <v>JUGADOR</v>
      </c>
      <c r="W49" s="26">
        <f>IF(BD_ESTADISTICA_INF_B[[#This Row],[POSICION]]="jugador",BD_ESTADISTICA_INF_B[[#This Row],[Goles]],0)</f>
        <v>7</v>
      </c>
      <c r="X49" s="26">
        <f>IF(BD_ESTADISTICA_INF_B[[#This Row],[POSICION]]="portero",BD_ESTADISTICA_INF_B[[#This Row],[Lanzam.]]-BD_ESTADISTICA_INF_B[[#This Row],[Paradas]],0)</f>
        <v>0</v>
      </c>
      <c r="Y49" s="26">
        <f>IF(BD_ESTADISTICA_INF_B[[#This Row],[POSICION]]="jugador",BD_ESTADISTICA_INF_B[[#This Row],[Lanzam.]],0)</f>
        <v>7</v>
      </c>
      <c r="Z49" s="26">
        <f>IF(BD_ESTADISTICA_INF_B[[#This Row],[POSICION]]="portero",BD_ESTADISTICA_INF_B[[#This Row],[Lanzam.]],0)</f>
        <v>0</v>
      </c>
    </row>
    <row r="50" spans="1:26" hidden="1">
      <c r="A50" s="34" t="s">
        <v>24</v>
      </c>
      <c r="B50" s="34"/>
      <c r="C50" s="22"/>
      <c r="D50" s="22"/>
      <c r="E50" s="22"/>
      <c r="F50" s="8" t="str">
        <f>IF(BD_ESTADISTICA_INF_B[[#This Row],[Lanzam.]]="","",IF(BD_ESTADISTICA_INF_B[[#This Row],[POSICION]]="jugador",C50/E50,D50/E50))</f>
        <v/>
      </c>
      <c r="G50" s="8"/>
      <c r="H50" s="8"/>
      <c r="I50" s="22"/>
      <c r="J50" s="22"/>
      <c r="K50" s="22"/>
      <c r="L50" s="22"/>
      <c r="M50" s="22"/>
      <c r="N50" s="22"/>
      <c r="O50" s="22"/>
      <c r="P50" s="22"/>
      <c r="Q50" s="22"/>
      <c r="R50" s="23">
        <v>3</v>
      </c>
      <c r="S50" s="24">
        <v>1</v>
      </c>
      <c r="T50" s="25" t="s">
        <v>79</v>
      </c>
      <c r="U50" s="11" t="s">
        <v>92</v>
      </c>
      <c r="V50" s="26" t="str">
        <f>IF(OR(BD_ESTADISTICA_INF_B[[#This Row],[Jugador]]="eudald",BD_ESTADISTICA_INF_B[[#This Row],[Jugador]]="jules",BD_ESTADISTICA_INF_B[[#This Row],[Jugador]]="JAN"),"PORTERO","JUGADOR")</f>
        <v>JUGADOR</v>
      </c>
      <c r="W50" s="26">
        <f>IF(BD_ESTADISTICA_INF_B[[#This Row],[POSICION]]="jugador",BD_ESTADISTICA_INF_B[[#This Row],[Goles]],0)</f>
        <v>0</v>
      </c>
      <c r="X50" s="26">
        <f>IF(BD_ESTADISTICA_INF_B[[#This Row],[POSICION]]="portero",BD_ESTADISTICA_INF_B[[#This Row],[Lanzam.]]-BD_ESTADISTICA_INF_B[[#This Row],[Paradas]],0)</f>
        <v>0</v>
      </c>
      <c r="Y50" s="26">
        <f>IF(BD_ESTADISTICA_INF_B[[#This Row],[POSICION]]="jugador",BD_ESTADISTICA_INF_B[[#This Row],[Lanzam.]],0)</f>
        <v>0</v>
      </c>
      <c r="Z50" s="26">
        <f>IF(BD_ESTADISTICA_INF_B[[#This Row],[POSICION]]="portero",BD_ESTADISTICA_INF_B[[#This Row],[Lanzam.]],0)</f>
        <v>0</v>
      </c>
    </row>
    <row r="51" spans="1:26" hidden="1">
      <c r="A51" s="21" t="s">
        <v>25</v>
      </c>
      <c r="B51" s="21"/>
      <c r="C51" s="22">
        <v>5</v>
      </c>
      <c r="D51" s="22"/>
      <c r="E51" s="22">
        <v>6</v>
      </c>
      <c r="F51" s="8">
        <f>IF(BD_ESTADISTICA_INF_B[[#This Row],[Lanzam.]]="","",IF(BD_ESTADISTICA_INF_B[[#This Row],[POSICION]]="jugador",C51/E51,D51/E51))</f>
        <v>0.83333333333333337</v>
      </c>
      <c r="G51" s="8"/>
      <c r="H51" s="8"/>
      <c r="I51" s="22">
        <v>1</v>
      </c>
      <c r="J51" s="22"/>
      <c r="K51" s="22"/>
      <c r="L51" s="22"/>
      <c r="M51" s="22"/>
      <c r="N51" s="22"/>
      <c r="O51" s="22">
        <v>2</v>
      </c>
      <c r="P51" s="22"/>
      <c r="Q51" s="22"/>
      <c r="R51" s="23">
        <v>3</v>
      </c>
      <c r="S51" s="24">
        <v>1</v>
      </c>
      <c r="T51" s="25" t="s">
        <v>79</v>
      </c>
      <c r="U51" s="11" t="s">
        <v>92</v>
      </c>
      <c r="V51" s="26" t="str">
        <f>IF(OR(BD_ESTADISTICA_INF_B[[#This Row],[Jugador]]="eudald",BD_ESTADISTICA_INF_B[[#This Row],[Jugador]]="jules",BD_ESTADISTICA_INF_B[[#This Row],[Jugador]]="JAN"),"PORTERO","JUGADOR")</f>
        <v>JUGADOR</v>
      </c>
      <c r="W51" s="26">
        <f>IF(BD_ESTADISTICA_INF_B[[#This Row],[POSICION]]="jugador",BD_ESTADISTICA_INF_B[[#This Row],[Goles]],0)</f>
        <v>5</v>
      </c>
      <c r="X51" s="26">
        <f>IF(BD_ESTADISTICA_INF_B[[#This Row],[POSICION]]="portero",BD_ESTADISTICA_INF_B[[#This Row],[Lanzam.]]-BD_ESTADISTICA_INF_B[[#This Row],[Paradas]],0)</f>
        <v>0</v>
      </c>
      <c r="Y51" s="26">
        <f>IF(BD_ESTADISTICA_INF_B[[#This Row],[POSICION]]="jugador",BD_ESTADISTICA_INF_B[[#This Row],[Lanzam.]],0)</f>
        <v>6</v>
      </c>
      <c r="Z51" s="26">
        <f>IF(BD_ESTADISTICA_INF_B[[#This Row],[POSICION]]="portero",BD_ESTADISTICA_INF_B[[#This Row],[Lanzam.]],0)</f>
        <v>0</v>
      </c>
    </row>
    <row r="52" spans="1:26" hidden="1">
      <c r="A52" s="21" t="s">
        <v>26</v>
      </c>
      <c r="B52" s="21"/>
      <c r="C52" s="22">
        <v>8</v>
      </c>
      <c r="D52" s="22"/>
      <c r="E52" s="22">
        <v>8</v>
      </c>
      <c r="F52" s="8">
        <f>IF(BD_ESTADISTICA_INF_B[[#This Row],[Lanzam.]]="","",IF(BD_ESTADISTICA_INF_B[[#This Row],[POSICION]]="jugador",C52/E52,D52/E52))</f>
        <v>1</v>
      </c>
      <c r="G52" s="8"/>
      <c r="H52" s="8"/>
      <c r="I52" s="22">
        <v>5</v>
      </c>
      <c r="J52" s="22"/>
      <c r="K52" s="22">
        <v>1</v>
      </c>
      <c r="L52" s="22"/>
      <c r="M52" s="22"/>
      <c r="N52" s="22"/>
      <c r="O52" s="22">
        <v>4</v>
      </c>
      <c r="P52" s="22"/>
      <c r="Q52" s="22"/>
      <c r="R52" s="23">
        <v>3</v>
      </c>
      <c r="S52" s="24">
        <v>1</v>
      </c>
      <c r="T52" s="25" t="s">
        <v>79</v>
      </c>
      <c r="U52" s="11" t="s">
        <v>92</v>
      </c>
      <c r="V52" s="26" t="str">
        <f>IF(OR(BD_ESTADISTICA_INF_B[[#This Row],[Jugador]]="eudald",BD_ESTADISTICA_INF_B[[#This Row],[Jugador]]="jules",BD_ESTADISTICA_INF_B[[#This Row],[Jugador]]="JAN"),"PORTERO","JUGADOR")</f>
        <v>JUGADOR</v>
      </c>
      <c r="W52" s="26">
        <f>IF(BD_ESTADISTICA_INF_B[[#This Row],[POSICION]]="jugador",BD_ESTADISTICA_INF_B[[#This Row],[Goles]],0)</f>
        <v>8</v>
      </c>
      <c r="X52" s="26">
        <f>IF(BD_ESTADISTICA_INF_B[[#This Row],[POSICION]]="portero",BD_ESTADISTICA_INF_B[[#This Row],[Lanzam.]]-BD_ESTADISTICA_INF_B[[#This Row],[Paradas]],0)</f>
        <v>0</v>
      </c>
      <c r="Y52" s="26">
        <f>IF(BD_ESTADISTICA_INF_B[[#This Row],[POSICION]]="jugador",BD_ESTADISTICA_INF_B[[#This Row],[Lanzam.]],0)</f>
        <v>8</v>
      </c>
      <c r="Z52" s="26">
        <f>IF(BD_ESTADISTICA_INF_B[[#This Row],[POSICION]]="portero",BD_ESTADISTICA_INF_B[[#This Row],[Lanzam.]],0)</f>
        <v>0</v>
      </c>
    </row>
    <row r="53" spans="1:26" hidden="1">
      <c r="A53" s="21" t="s">
        <v>27</v>
      </c>
      <c r="B53" s="21"/>
      <c r="C53" s="22">
        <v>15</v>
      </c>
      <c r="D53" s="22"/>
      <c r="E53" s="22">
        <v>16</v>
      </c>
      <c r="F53" s="8">
        <f>IF(BD_ESTADISTICA_INF_B[[#This Row],[Lanzam.]]="","",IF(BD_ESTADISTICA_INF_B[[#This Row],[POSICION]]="jugador",C53/E53,D53/E53))</f>
        <v>0.9375</v>
      </c>
      <c r="G53" s="8"/>
      <c r="H53" s="8"/>
      <c r="I53" s="22">
        <v>3</v>
      </c>
      <c r="J53" s="22"/>
      <c r="K53" s="22"/>
      <c r="L53" s="22"/>
      <c r="M53" s="22"/>
      <c r="N53" s="22"/>
      <c r="O53" s="22">
        <v>8</v>
      </c>
      <c r="P53" s="22"/>
      <c r="Q53" s="22"/>
      <c r="R53" s="23">
        <v>3</v>
      </c>
      <c r="S53" s="24">
        <v>1</v>
      </c>
      <c r="T53" s="25" t="s">
        <v>79</v>
      </c>
      <c r="U53" s="11" t="s">
        <v>92</v>
      </c>
      <c r="V53" s="26" t="str">
        <f>IF(OR(BD_ESTADISTICA_INF_B[[#This Row],[Jugador]]="eudald",BD_ESTADISTICA_INF_B[[#This Row],[Jugador]]="jules",BD_ESTADISTICA_INF_B[[#This Row],[Jugador]]="JAN"),"PORTERO","JUGADOR")</f>
        <v>JUGADOR</v>
      </c>
      <c r="W53" s="26">
        <f>IF(BD_ESTADISTICA_INF_B[[#This Row],[POSICION]]="jugador",BD_ESTADISTICA_INF_B[[#This Row],[Goles]],0)</f>
        <v>15</v>
      </c>
      <c r="X53" s="26">
        <f>IF(BD_ESTADISTICA_INF_B[[#This Row],[POSICION]]="portero",BD_ESTADISTICA_INF_B[[#This Row],[Lanzam.]]-BD_ESTADISTICA_INF_B[[#This Row],[Paradas]],0)</f>
        <v>0</v>
      </c>
      <c r="Y53" s="26">
        <f>IF(BD_ESTADISTICA_INF_B[[#This Row],[POSICION]]="jugador",BD_ESTADISTICA_INF_B[[#This Row],[Lanzam.]],0)</f>
        <v>16</v>
      </c>
      <c r="Z53" s="26">
        <f>IF(BD_ESTADISTICA_INF_B[[#This Row],[POSICION]]="portero",BD_ESTADISTICA_INF_B[[#This Row],[Lanzam.]],0)</f>
        <v>0</v>
      </c>
    </row>
    <row r="54" spans="1:26" hidden="1">
      <c r="A54" s="21" t="s">
        <v>28</v>
      </c>
      <c r="B54" s="21"/>
      <c r="C54" s="22">
        <v>2</v>
      </c>
      <c r="D54" s="22"/>
      <c r="E54" s="22">
        <v>2</v>
      </c>
      <c r="F54" s="8">
        <f>IF(BD_ESTADISTICA_INF_B[[#This Row],[Lanzam.]]="","",IF(BD_ESTADISTICA_INF_B[[#This Row],[POSICION]]="jugador",C54/E54,D54/E54))</f>
        <v>1</v>
      </c>
      <c r="G54" s="8"/>
      <c r="H54" s="8"/>
      <c r="I54" s="22">
        <v>4</v>
      </c>
      <c r="J54" s="22"/>
      <c r="K54" s="22">
        <v>1</v>
      </c>
      <c r="L54" s="22"/>
      <c r="M54" s="22"/>
      <c r="N54" s="22"/>
      <c r="O54" s="22"/>
      <c r="P54" s="22"/>
      <c r="Q54" s="22"/>
      <c r="R54" s="23">
        <v>3</v>
      </c>
      <c r="S54" s="24">
        <v>1</v>
      </c>
      <c r="T54" s="25" t="s">
        <v>79</v>
      </c>
      <c r="U54" s="11" t="s">
        <v>92</v>
      </c>
      <c r="V54" s="26" t="str">
        <f>IF(OR(BD_ESTADISTICA_INF_B[[#This Row],[Jugador]]="eudald",BD_ESTADISTICA_INF_B[[#This Row],[Jugador]]="jules",BD_ESTADISTICA_INF_B[[#This Row],[Jugador]]="JAN"),"PORTERO","JUGADOR")</f>
        <v>JUGADOR</v>
      </c>
      <c r="W54" s="26">
        <f>IF(BD_ESTADISTICA_INF_B[[#This Row],[POSICION]]="jugador",BD_ESTADISTICA_INF_B[[#This Row],[Goles]],0)</f>
        <v>2</v>
      </c>
      <c r="X54" s="26">
        <f>IF(BD_ESTADISTICA_INF_B[[#This Row],[POSICION]]="portero",BD_ESTADISTICA_INF_B[[#This Row],[Lanzam.]]-BD_ESTADISTICA_INF_B[[#This Row],[Paradas]],0)</f>
        <v>0</v>
      </c>
      <c r="Y54" s="26">
        <f>IF(BD_ESTADISTICA_INF_B[[#This Row],[POSICION]]="jugador",BD_ESTADISTICA_INF_B[[#This Row],[Lanzam.]],0)</f>
        <v>2</v>
      </c>
      <c r="Z54" s="26">
        <f>IF(BD_ESTADISTICA_INF_B[[#This Row],[POSICION]]="portero",BD_ESTADISTICA_INF_B[[#This Row],[Lanzam.]],0)</f>
        <v>0</v>
      </c>
    </row>
    <row r="55" spans="1:26" hidden="1">
      <c r="A55" s="21" t="s">
        <v>31</v>
      </c>
      <c r="B55" s="21"/>
      <c r="C55" s="22"/>
      <c r="D55" s="22"/>
      <c r="E55" s="22"/>
      <c r="F55" s="8" t="str">
        <f>IF(BD_ESTADISTICA_INF_B[[#This Row],[Lanzam.]]="","",IF(BD_ESTADISTICA_INF_B[[#This Row],[POSICION]]="jugador",C55/E55,D55/E55))</f>
        <v/>
      </c>
      <c r="G55" s="8"/>
      <c r="H55" s="8"/>
      <c r="I55" s="22"/>
      <c r="J55" s="22"/>
      <c r="K55" s="22"/>
      <c r="L55" s="22"/>
      <c r="M55" s="22"/>
      <c r="N55" s="22"/>
      <c r="O55" s="22"/>
      <c r="P55" s="22"/>
      <c r="Q55" s="22"/>
      <c r="R55" s="23">
        <v>3</v>
      </c>
      <c r="S55" s="24">
        <v>1</v>
      </c>
      <c r="T55" s="25" t="s">
        <v>79</v>
      </c>
      <c r="U55" s="11" t="s">
        <v>92</v>
      </c>
      <c r="V55" s="26" t="str">
        <f>IF(OR(BD_ESTADISTICA_INF_B[[#This Row],[Jugador]]="eudald",BD_ESTADISTICA_INF_B[[#This Row],[Jugador]]="jules",BD_ESTADISTICA_INF_B[[#This Row],[Jugador]]="JAN"),"PORTERO","JUGADOR")</f>
        <v>PORTERO</v>
      </c>
      <c r="W55" s="26">
        <f>IF(BD_ESTADISTICA_INF_B[[#This Row],[POSICION]]="jugador",BD_ESTADISTICA_INF_B[[#This Row],[Goles]],0)</f>
        <v>0</v>
      </c>
      <c r="X55" s="26">
        <f>IF(BD_ESTADISTICA_INF_B[[#This Row],[POSICION]]="portero",BD_ESTADISTICA_INF_B[[#This Row],[Lanzam.]]-BD_ESTADISTICA_INF_B[[#This Row],[Paradas]],0)</f>
        <v>0</v>
      </c>
      <c r="Y55" s="26">
        <f>IF(BD_ESTADISTICA_INF_B[[#This Row],[POSICION]]="jugador",BD_ESTADISTICA_INF_B[[#This Row],[Lanzam.]],0)</f>
        <v>0</v>
      </c>
      <c r="Z55" s="26">
        <f>IF(BD_ESTADISTICA_INF_B[[#This Row],[POSICION]]="portero",BD_ESTADISTICA_INF_B[[#This Row],[Lanzam.]],0)</f>
        <v>0</v>
      </c>
    </row>
    <row r="56" spans="1:26" hidden="1">
      <c r="A56" s="21" t="s">
        <v>29</v>
      </c>
      <c r="B56" s="21"/>
      <c r="C56" s="29">
        <v>6</v>
      </c>
      <c r="D56" s="22">
        <v>6</v>
      </c>
      <c r="E56" s="22">
        <v>13</v>
      </c>
      <c r="F56" s="8">
        <f>IF(BD_ESTADISTICA_INF_B[[#This Row],[Lanzam.]]="","",IF(BD_ESTADISTICA_INF_B[[#This Row],[POSICION]]="jugador",C56/E56,D56/E56))</f>
        <v>0.46153846153846156</v>
      </c>
      <c r="G56" s="8"/>
      <c r="H56" s="8"/>
      <c r="I56" s="22"/>
      <c r="J56" s="22"/>
      <c r="K56" s="22"/>
      <c r="L56" s="22"/>
      <c r="M56" s="22"/>
      <c r="N56" s="22"/>
      <c r="O56" s="22"/>
      <c r="P56" s="22"/>
      <c r="Q56" s="22"/>
      <c r="R56" s="23">
        <v>3</v>
      </c>
      <c r="S56" s="24">
        <v>1</v>
      </c>
      <c r="T56" s="25" t="s">
        <v>79</v>
      </c>
      <c r="U56" s="11" t="s">
        <v>92</v>
      </c>
      <c r="V56" s="26" t="str">
        <f>IF(OR(BD_ESTADISTICA_INF_B[[#This Row],[Jugador]]="eudald",BD_ESTADISTICA_INF_B[[#This Row],[Jugador]]="jules",BD_ESTADISTICA_INF_B[[#This Row],[Jugador]]="JAN"),"PORTERO","JUGADOR")</f>
        <v>PORTERO</v>
      </c>
      <c r="W56" s="26">
        <f>IF(BD_ESTADISTICA_INF_B[[#This Row],[POSICION]]="jugador",BD_ESTADISTICA_INF_B[[#This Row],[Goles]],0)</f>
        <v>0</v>
      </c>
      <c r="X56" s="26">
        <f>IF(BD_ESTADISTICA_INF_B[[#This Row],[POSICION]]="portero",BD_ESTADISTICA_INF_B[[#This Row],[Lanzam.]]-BD_ESTADISTICA_INF_B[[#This Row],[Paradas]],0)</f>
        <v>7</v>
      </c>
      <c r="Y56" s="26">
        <f>IF(BD_ESTADISTICA_INF_B[[#This Row],[POSICION]]="jugador",BD_ESTADISTICA_INF_B[[#This Row],[Lanzam.]],0)</f>
        <v>0</v>
      </c>
      <c r="Z56" s="26">
        <f>IF(BD_ESTADISTICA_INF_B[[#This Row],[POSICION]]="portero",BD_ESTADISTICA_INF_B[[#This Row],[Lanzam.]],0)</f>
        <v>13</v>
      </c>
    </row>
    <row r="57" spans="1:26" hidden="1">
      <c r="A57" s="21" t="s">
        <v>30</v>
      </c>
      <c r="B57" s="21"/>
      <c r="C57" s="28">
        <v>7</v>
      </c>
      <c r="D57" s="22">
        <v>7</v>
      </c>
      <c r="E57" s="22">
        <v>11</v>
      </c>
      <c r="F57" s="8">
        <f>IF(BD_ESTADISTICA_INF_B[[#This Row],[Lanzam.]]="","",IF(BD_ESTADISTICA_INF_B[[#This Row],[POSICION]]="jugador",C57/E57,D57/E57))</f>
        <v>0.63636363636363635</v>
      </c>
      <c r="G57" s="8"/>
      <c r="H57" s="8"/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3">
        <v>3</v>
      </c>
      <c r="S57" s="24">
        <v>1</v>
      </c>
      <c r="T57" s="25" t="s">
        <v>79</v>
      </c>
      <c r="U57" s="11" t="s">
        <v>92</v>
      </c>
      <c r="V57" s="26" t="str">
        <f>IF(OR(BD_ESTADISTICA_INF_B[[#This Row],[Jugador]]="eudald",BD_ESTADISTICA_INF_B[[#This Row],[Jugador]]="jules",BD_ESTADISTICA_INF_B[[#This Row],[Jugador]]="JAN"),"PORTERO","JUGADOR")</f>
        <v>PORTERO</v>
      </c>
      <c r="W57" s="26">
        <f>IF(BD_ESTADISTICA_INF_B[[#This Row],[POSICION]]="jugador",BD_ESTADISTICA_INF_B[[#This Row],[Goles]],0)</f>
        <v>0</v>
      </c>
      <c r="X57" s="26">
        <f>IF(BD_ESTADISTICA_INF_B[[#This Row],[POSICION]]="portero",BD_ESTADISTICA_INF_B[[#This Row],[Lanzam.]]-BD_ESTADISTICA_INF_B[[#This Row],[Paradas]],0)</f>
        <v>4</v>
      </c>
      <c r="Y57" s="26">
        <f>IF(BD_ESTADISTICA_INF_B[[#This Row],[POSICION]]="jugador",BD_ESTADISTICA_INF_B[[#This Row],[Lanzam.]],0)</f>
        <v>0</v>
      </c>
      <c r="Z57" s="26">
        <f>IF(BD_ESTADISTICA_INF_B[[#This Row],[POSICION]]="portero",BD_ESTADISTICA_INF_B[[#This Row],[Lanzam.]],0)</f>
        <v>11</v>
      </c>
    </row>
    <row r="58" spans="1:26" hidden="1">
      <c r="A58" s="21" t="s">
        <v>42</v>
      </c>
      <c r="B58" s="21"/>
      <c r="C58" s="22">
        <v>4</v>
      </c>
      <c r="D58" s="22"/>
      <c r="E58" s="22">
        <v>7</v>
      </c>
      <c r="F58" s="8">
        <f>IF(BD_ESTADISTICA_INF_B[[#This Row],[Lanzam.]]="","",IF(BD_ESTADISTICA_INF_B[[#This Row],[POSICION]]="jugador",C58/E58,D58/E58))</f>
        <v>0.5714285714285714</v>
      </c>
      <c r="G58" s="8"/>
      <c r="H58" s="8"/>
      <c r="I58" s="22"/>
      <c r="J58" s="22"/>
      <c r="K58" s="22"/>
      <c r="L58" s="22"/>
      <c r="M58" s="22"/>
      <c r="N58" s="22"/>
      <c r="O58" s="22"/>
      <c r="P58" s="22"/>
      <c r="Q58" s="22"/>
      <c r="R58" s="23">
        <v>3</v>
      </c>
      <c r="S58" s="24">
        <v>1</v>
      </c>
      <c r="T58" s="25" t="s">
        <v>79</v>
      </c>
      <c r="U58" s="11" t="s">
        <v>92</v>
      </c>
      <c r="V58" s="26" t="str">
        <f>IF(OR(BD_ESTADISTICA_INF_B[[#This Row],[Jugador]]="eudald",BD_ESTADISTICA_INF_B[[#This Row],[Jugador]]="jules",BD_ESTADISTICA_INF_B[[#This Row],[Jugador]]="JAN"),"PORTERO","JUGADOR")</f>
        <v>JUGADOR</v>
      </c>
      <c r="W58" s="26">
        <f>IF(BD_ESTADISTICA_INF_B[[#This Row],[POSICION]]="jugador",BD_ESTADISTICA_INF_B[[#This Row],[Goles]],0)</f>
        <v>4</v>
      </c>
      <c r="X58" s="26">
        <f>IF(BD_ESTADISTICA_INF_B[[#This Row],[POSICION]]="portero",BD_ESTADISTICA_INF_B[[#This Row],[Lanzam.]]-BD_ESTADISTICA_INF_B[[#This Row],[Paradas]],0)</f>
        <v>0</v>
      </c>
      <c r="Y58" s="26">
        <f>IF(BD_ESTADISTICA_INF_B[[#This Row],[POSICION]]="jugador",BD_ESTADISTICA_INF_B[[#This Row],[Lanzam.]],0)</f>
        <v>7</v>
      </c>
      <c r="Z58" s="26">
        <f>IF(BD_ESTADISTICA_INF_B[[#This Row],[POSICION]]="portero",BD_ESTADISTICA_INF_B[[#This Row],[Lanzam.]],0)</f>
        <v>0</v>
      </c>
    </row>
    <row r="59" spans="1:26" hidden="1">
      <c r="A59" s="21" t="s">
        <v>22</v>
      </c>
      <c r="B59" s="21"/>
      <c r="C59" s="22"/>
      <c r="D59" s="22"/>
      <c r="E59" s="22"/>
      <c r="F59" s="8" t="str">
        <f>IF(BD_ESTADISTICA_INF_B[[#This Row],[Lanzam.]]="","",IF(BD_ESTADISTICA_INF_B[[#This Row],[POSICION]]="jugador",C59/E59,D59/E59))</f>
        <v/>
      </c>
      <c r="G59" s="8"/>
      <c r="H59" s="8"/>
      <c r="I59" s="22"/>
      <c r="J59" s="22"/>
      <c r="K59" s="22"/>
      <c r="L59" s="22"/>
      <c r="M59" s="22"/>
      <c r="N59" s="22"/>
      <c r="O59" s="22"/>
      <c r="P59" s="22"/>
      <c r="Q59" s="22"/>
      <c r="R59" s="23">
        <v>3</v>
      </c>
      <c r="S59" s="24">
        <v>1</v>
      </c>
      <c r="T59" s="25" t="s">
        <v>79</v>
      </c>
      <c r="U59" s="11" t="s">
        <v>92</v>
      </c>
      <c r="V59" s="26" t="str">
        <f>IF(OR(BD_ESTADISTICA_INF_B[[#This Row],[Jugador]]="eudald",BD_ESTADISTICA_INF_B[[#This Row],[Jugador]]="jules",BD_ESTADISTICA_INF_B[[#This Row],[Jugador]]="JAN"),"PORTERO","JUGADOR")</f>
        <v>JUGADOR</v>
      </c>
      <c r="W59" s="26">
        <f>IF(BD_ESTADISTICA_INF_B[[#This Row],[POSICION]]="jugador",BD_ESTADISTICA_INF_B[[#This Row],[Goles]],0)</f>
        <v>0</v>
      </c>
      <c r="X59" s="26">
        <f>IF(BD_ESTADISTICA_INF_B[[#This Row],[POSICION]]="portero",BD_ESTADISTICA_INF_B[[#This Row],[Lanzam.]]-BD_ESTADISTICA_INF_B[[#This Row],[Paradas]],0)</f>
        <v>0</v>
      </c>
      <c r="Y59" s="26">
        <f>IF(BD_ESTADISTICA_INF_B[[#This Row],[POSICION]]="jugador",BD_ESTADISTICA_INF_B[[#This Row],[Lanzam.]],0)</f>
        <v>0</v>
      </c>
      <c r="Z59" s="26">
        <f>IF(BD_ESTADISTICA_INF_B[[#This Row],[POSICION]]="portero",BD_ESTADISTICA_INF_B[[#This Row],[Lanzam.]],0)</f>
        <v>0</v>
      </c>
    </row>
    <row r="60" spans="1:26" hidden="1">
      <c r="A60" s="21" t="s">
        <v>16</v>
      </c>
      <c r="B60" s="21"/>
      <c r="C60" s="22">
        <v>0</v>
      </c>
      <c r="D60" s="22"/>
      <c r="E60" s="22">
        <v>2</v>
      </c>
      <c r="F60" s="8">
        <v>0</v>
      </c>
      <c r="G60" s="8"/>
      <c r="H60" s="8"/>
      <c r="I60" s="22"/>
      <c r="J60" s="22">
        <v>2</v>
      </c>
      <c r="K60" s="22"/>
      <c r="L60" s="22"/>
      <c r="M60" s="22"/>
      <c r="N60" s="22"/>
      <c r="O60" s="22"/>
      <c r="P60" s="22"/>
      <c r="Q60" s="22"/>
      <c r="R60" s="23">
        <v>4</v>
      </c>
      <c r="S60" s="24">
        <v>1</v>
      </c>
      <c r="T60" s="25" t="s">
        <v>84</v>
      </c>
      <c r="U60" s="11" t="s">
        <v>112</v>
      </c>
      <c r="V60" s="26" t="str">
        <f>IF(OR(BD_ESTADISTICA_INF_B[[#This Row],[Jugador]]="eudald",BD_ESTADISTICA_INF_B[[#This Row],[Jugador]]="jules",BD_ESTADISTICA_INF_B[[#This Row],[Jugador]]="JAN"),"PORTERO","JUGADOR")</f>
        <v>JUGADOR</v>
      </c>
      <c r="W60" s="26">
        <f>IF(BD_ESTADISTICA_INF_B[[#This Row],[POSICION]]="jugador",BD_ESTADISTICA_INF_B[[#This Row],[Goles]],0)</f>
        <v>0</v>
      </c>
      <c r="X60" s="26">
        <f>IF(BD_ESTADISTICA_INF_B[[#This Row],[POSICION]]="portero",BD_ESTADISTICA_INF_B[[#This Row],[Lanzam.]]-BD_ESTADISTICA_INF_B[[#This Row],[Paradas]],0)</f>
        <v>0</v>
      </c>
      <c r="Y60" s="26">
        <f>IF(BD_ESTADISTICA_INF_B[[#This Row],[POSICION]]="jugador",BD_ESTADISTICA_INF_B[[#This Row],[Lanzam.]],0)</f>
        <v>2</v>
      </c>
      <c r="Z60" s="26">
        <f>IF(BD_ESTADISTICA_INF_B[[#This Row],[POSICION]]="portero",BD_ESTADISTICA_INF_B[[#This Row],[Lanzam.]],0)</f>
        <v>0</v>
      </c>
    </row>
    <row r="61" spans="1:26" hidden="1">
      <c r="A61" s="21" t="s">
        <v>17</v>
      </c>
      <c r="B61" s="21"/>
      <c r="C61" s="22">
        <v>4</v>
      </c>
      <c r="D61" s="22"/>
      <c r="E61" s="22">
        <v>4</v>
      </c>
      <c r="F61" s="8">
        <v>1</v>
      </c>
      <c r="G61" s="8"/>
      <c r="H61" s="8"/>
      <c r="I61" s="22">
        <v>1</v>
      </c>
      <c r="J61" s="22"/>
      <c r="K61" s="22"/>
      <c r="L61" s="22"/>
      <c r="M61" s="22"/>
      <c r="N61" s="22">
        <v>1</v>
      </c>
      <c r="O61" s="22">
        <v>1</v>
      </c>
      <c r="P61" s="22"/>
      <c r="Q61" s="22"/>
      <c r="R61" s="23">
        <v>4</v>
      </c>
      <c r="S61" s="24">
        <v>1</v>
      </c>
      <c r="T61" s="25" t="s">
        <v>84</v>
      </c>
      <c r="U61" s="11" t="s">
        <v>112</v>
      </c>
      <c r="V61" s="26" t="str">
        <f>IF(OR(BD_ESTADISTICA_INF_B[[#This Row],[Jugador]]="eudald",BD_ESTADISTICA_INF_B[[#This Row],[Jugador]]="jules",BD_ESTADISTICA_INF_B[[#This Row],[Jugador]]="JAN"),"PORTERO","JUGADOR")</f>
        <v>JUGADOR</v>
      </c>
      <c r="W61" s="26">
        <f>IF(BD_ESTADISTICA_INF_B[[#This Row],[POSICION]]="jugador",BD_ESTADISTICA_INF_B[[#This Row],[Goles]],0)</f>
        <v>4</v>
      </c>
      <c r="X61" s="26">
        <f>IF(BD_ESTADISTICA_INF_B[[#This Row],[POSICION]]="portero",BD_ESTADISTICA_INF_B[[#This Row],[Lanzam.]]-BD_ESTADISTICA_INF_B[[#This Row],[Paradas]],0)</f>
        <v>0</v>
      </c>
      <c r="Y61" s="26">
        <f>IF(BD_ESTADISTICA_INF_B[[#This Row],[POSICION]]="jugador",BD_ESTADISTICA_INF_B[[#This Row],[Lanzam.]],0)</f>
        <v>4</v>
      </c>
      <c r="Z61" s="26">
        <f>IF(BD_ESTADISTICA_INF_B[[#This Row],[POSICION]]="portero",BD_ESTADISTICA_INF_B[[#This Row],[Lanzam.]],0)</f>
        <v>0</v>
      </c>
    </row>
    <row r="62" spans="1:26" hidden="1">
      <c r="A62" s="21" t="s">
        <v>18</v>
      </c>
      <c r="B62" s="21"/>
      <c r="C62" s="22"/>
      <c r="D62" s="22"/>
      <c r="E62" s="22"/>
      <c r="F62" s="8" t="s">
        <v>99</v>
      </c>
      <c r="G62" s="8"/>
      <c r="H62" s="8"/>
      <c r="I62" s="22"/>
      <c r="J62" s="22"/>
      <c r="K62" s="22"/>
      <c r="L62" s="22"/>
      <c r="M62" s="22"/>
      <c r="N62" s="22"/>
      <c r="O62" s="22"/>
      <c r="P62" s="22"/>
      <c r="Q62" s="22"/>
      <c r="R62" s="23">
        <v>4</v>
      </c>
      <c r="S62" s="24">
        <v>1</v>
      </c>
      <c r="T62" s="25" t="s">
        <v>84</v>
      </c>
      <c r="U62" s="11" t="s">
        <v>112</v>
      </c>
      <c r="V62" s="26" t="str">
        <f>IF(OR(BD_ESTADISTICA_INF_B[[#This Row],[Jugador]]="eudald",BD_ESTADISTICA_INF_B[[#This Row],[Jugador]]="jules",BD_ESTADISTICA_INF_B[[#This Row],[Jugador]]="JAN"),"PORTERO","JUGADOR")</f>
        <v>JUGADOR</v>
      </c>
      <c r="W62" s="26">
        <f>IF(BD_ESTADISTICA_INF_B[[#This Row],[POSICION]]="jugador",BD_ESTADISTICA_INF_B[[#This Row],[Goles]],0)</f>
        <v>0</v>
      </c>
      <c r="X62" s="26">
        <f>IF(BD_ESTADISTICA_INF_B[[#This Row],[POSICION]]="portero",BD_ESTADISTICA_INF_B[[#This Row],[Lanzam.]]-BD_ESTADISTICA_INF_B[[#This Row],[Paradas]],0)</f>
        <v>0</v>
      </c>
      <c r="Y62" s="26">
        <f>IF(BD_ESTADISTICA_INF_B[[#This Row],[POSICION]]="jugador",BD_ESTADISTICA_INF_B[[#This Row],[Lanzam.]],0)</f>
        <v>0</v>
      </c>
      <c r="Z62" s="26">
        <f>IF(BD_ESTADISTICA_INF_B[[#This Row],[POSICION]]="portero",BD_ESTADISTICA_INF_B[[#This Row],[Lanzam.]],0)</f>
        <v>0</v>
      </c>
    </row>
    <row r="63" spans="1:26" hidden="1">
      <c r="A63" s="21" t="s">
        <v>19</v>
      </c>
      <c r="B63" s="21"/>
      <c r="C63" s="22">
        <v>1</v>
      </c>
      <c r="D63" s="22"/>
      <c r="E63" s="22">
        <v>1</v>
      </c>
      <c r="F63" s="8">
        <v>1</v>
      </c>
      <c r="G63" s="8"/>
      <c r="H63" s="8"/>
      <c r="I63" s="22">
        <v>8</v>
      </c>
      <c r="J63" s="22"/>
      <c r="K63" s="22"/>
      <c r="L63" s="22"/>
      <c r="M63" s="22"/>
      <c r="N63" s="22"/>
      <c r="O63" s="22">
        <v>5</v>
      </c>
      <c r="P63" s="22"/>
      <c r="Q63" s="22"/>
      <c r="R63" s="23">
        <v>4</v>
      </c>
      <c r="S63" s="24">
        <v>1</v>
      </c>
      <c r="T63" s="25" t="s">
        <v>84</v>
      </c>
      <c r="U63" s="11" t="s">
        <v>112</v>
      </c>
      <c r="V63" s="26" t="str">
        <f>IF(OR(BD_ESTADISTICA_INF_B[[#This Row],[Jugador]]="eudald",BD_ESTADISTICA_INF_B[[#This Row],[Jugador]]="jules",BD_ESTADISTICA_INF_B[[#This Row],[Jugador]]="JAN"),"PORTERO","JUGADOR")</f>
        <v>JUGADOR</v>
      </c>
      <c r="W63" s="26">
        <f>IF(BD_ESTADISTICA_INF_B[[#This Row],[POSICION]]="jugador",BD_ESTADISTICA_INF_B[[#This Row],[Goles]],0)</f>
        <v>1</v>
      </c>
      <c r="X63" s="26">
        <f>IF(BD_ESTADISTICA_INF_B[[#This Row],[POSICION]]="portero",BD_ESTADISTICA_INF_B[[#This Row],[Lanzam.]]-BD_ESTADISTICA_INF_B[[#This Row],[Paradas]],0)</f>
        <v>0</v>
      </c>
      <c r="Y63" s="26">
        <f>IF(BD_ESTADISTICA_INF_B[[#This Row],[POSICION]]="jugador",BD_ESTADISTICA_INF_B[[#This Row],[Lanzam.]],0)</f>
        <v>1</v>
      </c>
      <c r="Z63" s="26">
        <f>IF(BD_ESTADISTICA_INF_B[[#This Row],[POSICION]]="portero",BD_ESTADISTICA_INF_B[[#This Row],[Lanzam.]],0)</f>
        <v>0</v>
      </c>
    </row>
    <row r="64" spans="1:26" hidden="1">
      <c r="A64" s="34" t="s">
        <v>20</v>
      </c>
      <c r="B64" s="34"/>
      <c r="C64" s="22"/>
      <c r="D64" s="22"/>
      <c r="E64" s="22"/>
      <c r="F64" s="8" t="s">
        <v>99</v>
      </c>
      <c r="G64" s="8"/>
      <c r="H64" s="8"/>
      <c r="I64" s="22"/>
      <c r="J64" s="22"/>
      <c r="K64" s="22"/>
      <c r="L64" s="22"/>
      <c r="M64" s="22"/>
      <c r="N64" s="22"/>
      <c r="O64" s="22"/>
      <c r="P64" s="22"/>
      <c r="Q64" s="22"/>
      <c r="R64" s="23">
        <v>4</v>
      </c>
      <c r="S64" s="24">
        <v>1</v>
      </c>
      <c r="T64" s="25" t="s">
        <v>84</v>
      </c>
      <c r="U64" s="11" t="s">
        <v>112</v>
      </c>
      <c r="V64" s="26" t="str">
        <f>IF(OR(BD_ESTADISTICA_INF_B[[#This Row],[Jugador]]="eudald",BD_ESTADISTICA_INF_B[[#This Row],[Jugador]]="jules",BD_ESTADISTICA_INF_B[[#This Row],[Jugador]]="JAN"),"PORTERO","JUGADOR")</f>
        <v>JUGADOR</v>
      </c>
      <c r="W64" s="26">
        <f>IF(BD_ESTADISTICA_INF_B[[#This Row],[POSICION]]="jugador",BD_ESTADISTICA_INF_B[[#This Row],[Goles]],0)</f>
        <v>0</v>
      </c>
      <c r="X64" s="26">
        <f>IF(BD_ESTADISTICA_INF_B[[#This Row],[POSICION]]="portero",BD_ESTADISTICA_INF_B[[#This Row],[Lanzam.]]-BD_ESTADISTICA_INF_B[[#This Row],[Paradas]],0)</f>
        <v>0</v>
      </c>
      <c r="Y64" s="26">
        <f>IF(BD_ESTADISTICA_INF_B[[#This Row],[POSICION]]="jugador",BD_ESTADISTICA_INF_B[[#This Row],[Lanzam.]],0)</f>
        <v>0</v>
      </c>
      <c r="Z64" s="26">
        <f>IF(BD_ESTADISTICA_INF_B[[#This Row],[POSICION]]="portero",BD_ESTADISTICA_INF_B[[#This Row],[Lanzam.]],0)</f>
        <v>0</v>
      </c>
    </row>
    <row r="65" spans="1:26" hidden="1">
      <c r="A65" s="21" t="s">
        <v>21</v>
      </c>
      <c r="B65" s="21"/>
      <c r="C65" s="22">
        <v>5</v>
      </c>
      <c r="D65" s="22"/>
      <c r="E65" s="22">
        <v>6</v>
      </c>
      <c r="F65" s="8">
        <v>0.83333333333333337</v>
      </c>
      <c r="G65" s="8"/>
      <c r="H65" s="8"/>
      <c r="I65" s="22"/>
      <c r="J65" s="22"/>
      <c r="K65" s="22"/>
      <c r="L65" s="22"/>
      <c r="M65" s="22"/>
      <c r="N65" s="22"/>
      <c r="O65" s="22">
        <v>1</v>
      </c>
      <c r="P65" s="22"/>
      <c r="Q65" s="22"/>
      <c r="R65" s="23">
        <v>4</v>
      </c>
      <c r="S65" s="24">
        <v>1</v>
      </c>
      <c r="T65" s="25" t="s">
        <v>84</v>
      </c>
      <c r="U65" s="11" t="s">
        <v>112</v>
      </c>
      <c r="V65" s="26" t="str">
        <f>IF(OR(BD_ESTADISTICA_INF_B[[#This Row],[Jugador]]="eudald",BD_ESTADISTICA_INF_B[[#This Row],[Jugador]]="jules",BD_ESTADISTICA_INF_B[[#This Row],[Jugador]]="JAN"),"PORTERO","JUGADOR")</f>
        <v>JUGADOR</v>
      </c>
      <c r="W65" s="26">
        <f>IF(BD_ESTADISTICA_INF_B[[#This Row],[POSICION]]="jugador",BD_ESTADISTICA_INF_B[[#This Row],[Goles]],0)</f>
        <v>5</v>
      </c>
      <c r="X65" s="26">
        <f>IF(BD_ESTADISTICA_INF_B[[#This Row],[POSICION]]="portero",BD_ESTADISTICA_INF_B[[#This Row],[Lanzam.]]-BD_ESTADISTICA_INF_B[[#This Row],[Paradas]],0)</f>
        <v>0</v>
      </c>
      <c r="Y65" s="26">
        <f>IF(BD_ESTADISTICA_INF_B[[#This Row],[POSICION]]="jugador",BD_ESTADISTICA_INF_B[[#This Row],[Lanzam.]],0)</f>
        <v>6</v>
      </c>
      <c r="Z65" s="26">
        <f>IF(BD_ESTADISTICA_INF_B[[#This Row],[POSICION]]="portero",BD_ESTADISTICA_INF_B[[#This Row],[Lanzam.]],0)</f>
        <v>0</v>
      </c>
    </row>
    <row r="66" spans="1:26" hidden="1">
      <c r="A66" s="21" t="s">
        <v>40</v>
      </c>
      <c r="B66" s="21"/>
      <c r="C66" s="22">
        <v>8</v>
      </c>
      <c r="D66" s="22"/>
      <c r="E66" s="22">
        <v>8</v>
      </c>
      <c r="F66" s="8">
        <v>1</v>
      </c>
      <c r="G66" s="8"/>
      <c r="H66" s="8"/>
      <c r="I66" s="22">
        <v>1</v>
      </c>
      <c r="J66" s="22"/>
      <c r="K66" s="22">
        <v>1</v>
      </c>
      <c r="L66" s="22"/>
      <c r="M66" s="22"/>
      <c r="N66" s="22"/>
      <c r="O66" s="22">
        <v>3</v>
      </c>
      <c r="P66" s="22"/>
      <c r="Q66" s="22"/>
      <c r="R66" s="23">
        <v>4</v>
      </c>
      <c r="S66" s="24">
        <v>1</v>
      </c>
      <c r="T66" s="25" t="s">
        <v>84</v>
      </c>
      <c r="U66" s="11" t="s">
        <v>112</v>
      </c>
      <c r="V66" s="26" t="str">
        <f>IF(OR(BD_ESTADISTICA_INF_B[[#This Row],[Jugador]]="eudald",BD_ESTADISTICA_INF_B[[#This Row],[Jugador]]="jules",BD_ESTADISTICA_INF_B[[#This Row],[Jugador]]="JAN"),"PORTERO","JUGADOR")</f>
        <v>JUGADOR</v>
      </c>
      <c r="W66" s="26">
        <f>IF(BD_ESTADISTICA_INF_B[[#This Row],[POSICION]]="jugador",BD_ESTADISTICA_INF_B[[#This Row],[Goles]],0)</f>
        <v>8</v>
      </c>
      <c r="X66" s="26">
        <f>IF(BD_ESTADISTICA_INF_B[[#This Row],[POSICION]]="portero",BD_ESTADISTICA_INF_B[[#This Row],[Lanzam.]]-BD_ESTADISTICA_INF_B[[#This Row],[Paradas]],0)</f>
        <v>0</v>
      </c>
      <c r="Y66" s="26">
        <f>IF(BD_ESTADISTICA_INF_B[[#This Row],[POSICION]]="jugador",BD_ESTADISTICA_INF_B[[#This Row],[Lanzam.]],0)</f>
        <v>8</v>
      </c>
      <c r="Z66" s="26">
        <f>IF(BD_ESTADISTICA_INF_B[[#This Row],[POSICION]]="portero",BD_ESTADISTICA_INF_B[[#This Row],[Lanzam.]],0)</f>
        <v>0</v>
      </c>
    </row>
    <row r="67" spans="1:26" hidden="1">
      <c r="A67" s="21" t="s">
        <v>41</v>
      </c>
      <c r="B67" s="21"/>
      <c r="C67" s="22">
        <v>4</v>
      </c>
      <c r="D67" s="22"/>
      <c r="E67" s="22">
        <v>4</v>
      </c>
      <c r="F67" s="8">
        <v>1</v>
      </c>
      <c r="G67" s="8"/>
      <c r="H67" s="8"/>
      <c r="I67" s="22"/>
      <c r="J67" s="22"/>
      <c r="K67" s="22"/>
      <c r="L67" s="22"/>
      <c r="M67" s="22"/>
      <c r="N67" s="22"/>
      <c r="O67" s="22">
        <v>4</v>
      </c>
      <c r="P67" s="22"/>
      <c r="Q67" s="22"/>
      <c r="R67" s="23">
        <v>4</v>
      </c>
      <c r="S67" s="24">
        <v>1</v>
      </c>
      <c r="T67" s="25" t="s">
        <v>84</v>
      </c>
      <c r="U67" s="11" t="s">
        <v>112</v>
      </c>
      <c r="V67" s="26" t="str">
        <f>IF(OR(BD_ESTADISTICA_INF_B[[#This Row],[Jugador]]="eudald",BD_ESTADISTICA_INF_B[[#This Row],[Jugador]]="jules",BD_ESTADISTICA_INF_B[[#This Row],[Jugador]]="JAN"),"PORTERO","JUGADOR")</f>
        <v>JUGADOR</v>
      </c>
      <c r="W67" s="26">
        <f>IF(BD_ESTADISTICA_INF_B[[#This Row],[POSICION]]="jugador",BD_ESTADISTICA_INF_B[[#This Row],[Goles]],0)</f>
        <v>4</v>
      </c>
      <c r="X67" s="26">
        <f>IF(BD_ESTADISTICA_INF_B[[#This Row],[POSICION]]="portero",BD_ESTADISTICA_INF_B[[#This Row],[Lanzam.]]-BD_ESTADISTICA_INF_B[[#This Row],[Paradas]],0)</f>
        <v>0</v>
      </c>
      <c r="Y67" s="26">
        <f>IF(BD_ESTADISTICA_INF_B[[#This Row],[POSICION]]="jugador",BD_ESTADISTICA_INF_B[[#This Row],[Lanzam.]],0)</f>
        <v>4</v>
      </c>
      <c r="Z67" s="26">
        <f>IF(BD_ESTADISTICA_INF_B[[#This Row],[POSICION]]="portero",BD_ESTADISTICA_INF_B[[#This Row],[Lanzam.]],0)</f>
        <v>0</v>
      </c>
    </row>
    <row r="68" spans="1:26" hidden="1">
      <c r="A68" s="34" t="s">
        <v>23</v>
      </c>
      <c r="B68" s="34"/>
      <c r="C68" s="22"/>
      <c r="D68" s="22"/>
      <c r="E68" s="22"/>
      <c r="F68" s="8" t="s">
        <v>99</v>
      </c>
      <c r="G68" s="8"/>
      <c r="H68" s="8"/>
      <c r="I68" s="22"/>
      <c r="J68" s="22"/>
      <c r="K68" s="22"/>
      <c r="L68" s="22"/>
      <c r="M68" s="22"/>
      <c r="N68" s="22"/>
      <c r="O68" s="22"/>
      <c r="P68" s="22"/>
      <c r="Q68" s="22"/>
      <c r="R68" s="23">
        <v>4</v>
      </c>
      <c r="S68" s="24">
        <v>1</v>
      </c>
      <c r="T68" s="25" t="s">
        <v>84</v>
      </c>
      <c r="U68" s="11" t="s">
        <v>112</v>
      </c>
      <c r="V68" s="26" t="str">
        <f>IF(OR(BD_ESTADISTICA_INF_B[[#This Row],[Jugador]]="eudald",BD_ESTADISTICA_INF_B[[#This Row],[Jugador]]="jules",BD_ESTADISTICA_INF_B[[#This Row],[Jugador]]="JAN"),"PORTERO","JUGADOR")</f>
        <v>JUGADOR</v>
      </c>
      <c r="W68" s="26">
        <f>IF(BD_ESTADISTICA_INF_B[[#This Row],[POSICION]]="jugador",BD_ESTADISTICA_INF_B[[#This Row],[Goles]],0)</f>
        <v>0</v>
      </c>
      <c r="X68" s="26">
        <f>IF(BD_ESTADISTICA_INF_B[[#This Row],[POSICION]]="portero",BD_ESTADISTICA_INF_B[[#This Row],[Lanzam.]]-BD_ESTADISTICA_INF_B[[#This Row],[Paradas]],0)</f>
        <v>0</v>
      </c>
      <c r="Y68" s="26">
        <f>IF(BD_ESTADISTICA_INF_B[[#This Row],[POSICION]]="jugador",BD_ESTADISTICA_INF_B[[#This Row],[Lanzam.]],0)</f>
        <v>0</v>
      </c>
      <c r="Z68" s="26">
        <f>IF(BD_ESTADISTICA_INF_B[[#This Row],[POSICION]]="portero",BD_ESTADISTICA_INF_B[[#This Row],[Lanzam.]],0)</f>
        <v>0</v>
      </c>
    </row>
    <row r="69" spans="1:26" hidden="1">
      <c r="A69" s="21" t="s">
        <v>24</v>
      </c>
      <c r="B69" s="21"/>
      <c r="C69" s="22">
        <v>1</v>
      </c>
      <c r="D69" s="22"/>
      <c r="E69" s="22">
        <v>1</v>
      </c>
      <c r="F69" s="8">
        <v>1</v>
      </c>
      <c r="G69" s="8"/>
      <c r="H69" s="8"/>
      <c r="I69" s="22">
        <v>1</v>
      </c>
      <c r="J69" s="22"/>
      <c r="K69" s="22"/>
      <c r="L69" s="22"/>
      <c r="M69" s="22"/>
      <c r="N69" s="22"/>
      <c r="O69" s="22">
        <v>1</v>
      </c>
      <c r="P69" s="22"/>
      <c r="Q69" s="22"/>
      <c r="R69" s="23">
        <v>4</v>
      </c>
      <c r="S69" s="24">
        <v>1</v>
      </c>
      <c r="T69" s="25" t="s">
        <v>84</v>
      </c>
      <c r="U69" s="11" t="s">
        <v>112</v>
      </c>
      <c r="V69" s="26" t="str">
        <f>IF(OR(BD_ESTADISTICA_INF_B[[#This Row],[Jugador]]="eudald",BD_ESTADISTICA_INF_B[[#This Row],[Jugador]]="jules",BD_ESTADISTICA_INF_B[[#This Row],[Jugador]]="JAN"),"PORTERO","JUGADOR")</f>
        <v>JUGADOR</v>
      </c>
      <c r="W69" s="26">
        <f>IF(BD_ESTADISTICA_INF_B[[#This Row],[POSICION]]="jugador",BD_ESTADISTICA_INF_B[[#This Row],[Goles]],0)</f>
        <v>1</v>
      </c>
      <c r="X69" s="26">
        <f>IF(BD_ESTADISTICA_INF_B[[#This Row],[POSICION]]="portero",BD_ESTADISTICA_INF_B[[#This Row],[Lanzam.]]-BD_ESTADISTICA_INF_B[[#This Row],[Paradas]],0)</f>
        <v>0</v>
      </c>
      <c r="Y69" s="26">
        <f>IF(BD_ESTADISTICA_INF_B[[#This Row],[POSICION]]="jugador",BD_ESTADISTICA_INF_B[[#This Row],[Lanzam.]],0)</f>
        <v>1</v>
      </c>
      <c r="Z69" s="26">
        <f>IF(BD_ESTADISTICA_INF_B[[#This Row],[POSICION]]="portero",BD_ESTADISTICA_INF_B[[#This Row],[Lanzam.]],0)</f>
        <v>0</v>
      </c>
    </row>
    <row r="70" spans="1:26" hidden="1">
      <c r="A70" s="21" t="s">
        <v>25</v>
      </c>
      <c r="B70" s="21"/>
      <c r="C70" s="22">
        <v>5</v>
      </c>
      <c r="D70" s="22"/>
      <c r="E70" s="22">
        <v>5</v>
      </c>
      <c r="F70" s="8">
        <v>1</v>
      </c>
      <c r="G70" s="8"/>
      <c r="H70" s="8"/>
      <c r="I70" s="22">
        <v>4</v>
      </c>
      <c r="J70" s="22"/>
      <c r="K70" s="22"/>
      <c r="L70" s="22"/>
      <c r="M70" s="22"/>
      <c r="N70" s="22">
        <v>1</v>
      </c>
      <c r="O70" s="22">
        <v>2</v>
      </c>
      <c r="P70" s="22"/>
      <c r="Q70" s="22"/>
      <c r="R70" s="23">
        <v>4</v>
      </c>
      <c r="S70" s="24">
        <v>1</v>
      </c>
      <c r="T70" s="25" t="s">
        <v>84</v>
      </c>
      <c r="U70" s="11" t="s">
        <v>112</v>
      </c>
      <c r="V70" s="26" t="str">
        <f>IF(OR(BD_ESTADISTICA_INF_B[[#This Row],[Jugador]]="eudald",BD_ESTADISTICA_INF_B[[#This Row],[Jugador]]="jules",BD_ESTADISTICA_INF_B[[#This Row],[Jugador]]="JAN"),"PORTERO","JUGADOR")</f>
        <v>JUGADOR</v>
      </c>
      <c r="W70" s="26">
        <f>IF(BD_ESTADISTICA_INF_B[[#This Row],[POSICION]]="jugador",BD_ESTADISTICA_INF_B[[#This Row],[Goles]],0)</f>
        <v>5</v>
      </c>
      <c r="X70" s="26">
        <f>IF(BD_ESTADISTICA_INF_B[[#This Row],[POSICION]]="portero",BD_ESTADISTICA_INF_B[[#This Row],[Lanzam.]]-BD_ESTADISTICA_INF_B[[#This Row],[Paradas]],0)</f>
        <v>0</v>
      </c>
      <c r="Y70" s="26">
        <f>IF(BD_ESTADISTICA_INF_B[[#This Row],[POSICION]]="jugador",BD_ESTADISTICA_INF_B[[#This Row],[Lanzam.]],0)</f>
        <v>5</v>
      </c>
      <c r="Z70" s="26">
        <f>IF(BD_ESTADISTICA_INF_B[[#This Row],[POSICION]]="portero",BD_ESTADISTICA_INF_B[[#This Row],[Lanzam.]],0)</f>
        <v>0</v>
      </c>
    </row>
    <row r="71" spans="1:26" hidden="1">
      <c r="A71" s="21" t="s">
        <v>26</v>
      </c>
      <c r="B71" s="21"/>
      <c r="C71" s="22">
        <v>4</v>
      </c>
      <c r="D71" s="22"/>
      <c r="E71" s="22">
        <v>4</v>
      </c>
      <c r="F71" s="8">
        <v>1</v>
      </c>
      <c r="G71" s="8"/>
      <c r="H71" s="8"/>
      <c r="I71" s="22">
        <v>2</v>
      </c>
      <c r="J71" s="22"/>
      <c r="K71" s="22"/>
      <c r="L71" s="22"/>
      <c r="M71" s="22">
        <v>1</v>
      </c>
      <c r="N71" s="22"/>
      <c r="O71" s="22">
        <v>4</v>
      </c>
      <c r="P71" s="22"/>
      <c r="Q71" s="22"/>
      <c r="R71" s="23">
        <v>4</v>
      </c>
      <c r="S71" s="24">
        <v>1</v>
      </c>
      <c r="T71" s="25" t="s">
        <v>84</v>
      </c>
      <c r="U71" s="11" t="s">
        <v>112</v>
      </c>
      <c r="V71" s="26" t="str">
        <f>IF(OR(BD_ESTADISTICA_INF_B[[#This Row],[Jugador]]="eudald",BD_ESTADISTICA_INF_B[[#This Row],[Jugador]]="jules",BD_ESTADISTICA_INF_B[[#This Row],[Jugador]]="JAN"),"PORTERO","JUGADOR")</f>
        <v>JUGADOR</v>
      </c>
      <c r="W71" s="26">
        <f>IF(BD_ESTADISTICA_INF_B[[#This Row],[POSICION]]="jugador",BD_ESTADISTICA_INF_B[[#This Row],[Goles]],0)</f>
        <v>4</v>
      </c>
      <c r="X71" s="26">
        <f>IF(BD_ESTADISTICA_INF_B[[#This Row],[POSICION]]="portero",BD_ESTADISTICA_INF_B[[#This Row],[Lanzam.]]-BD_ESTADISTICA_INF_B[[#This Row],[Paradas]],0)</f>
        <v>0</v>
      </c>
      <c r="Y71" s="26">
        <f>IF(BD_ESTADISTICA_INF_B[[#This Row],[POSICION]]="jugador",BD_ESTADISTICA_INF_B[[#This Row],[Lanzam.]],0)</f>
        <v>4</v>
      </c>
      <c r="Z71" s="26">
        <f>IF(BD_ESTADISTICA_INF_B[[#This Row],[POSICION]]="portero",BD_ESTADISTICA_INF_B[[#This Row],[Lanzam.]],0)</f>
        <v>0</v>
      </c>
    </row>
    <row r="72" spans="1:26" hidden="1">
      <c r="A72" s="21" t="s">
        <v>27</v>
      </c>
      <c r="B72" s="21"/>
      <c r="C72" s="22">
        <v>12</v>
      </c>
      <c r="D72" s="22"/>
      <c r="E72" s="22">
        <v>15</v>
      </c>
      <c r="F72" s="8">
        <v>0.8</v>
      </c>
      <c r="G72" s="8"/>
      <c r="H72" s="8"/>
      <c r="I72" s="22">
        <v>2</v>
      </c>
      <c r="J72" s="22"/>
      <c r="K72" s="22"/>
      <c r="L72" s="22"/>
      <c r="M72" s="22"/>
      <c r="N72" s="22"/>
      <c r="O72" s="22">
        <v>8</v>
      </c>
      <c r="P72" s="22"/>
      <c r="Q72" s="22"/>
      <c r="R72" s="23">
        <v>4</v>
      </c>
      <c r="S72" s="24">
        <v>1</v>
      </c>
      <c r="T72" s="25" t="s">
        <v>84</v>
      </c>
      <c r="U72" s="11" t="s">
        <v>112</v>
      </c>
      <c r="V72" s="26" t="str">
        <f>IF(OR(BD_ESTADISTICA_INF_B[[#This Row],[Jugador]]="eudald",BD_ESTADISTICA_INF_B[[#This Row],[Jugador]]="jules",BD_ESTADISTICA_INF_B[[#This Row],[Jugador]]="JAN"),"PORTERO","JUGADOR")</f>
        <v>JUGADOR</v>
      </c>
      <c r="W72" s="26">
        <f>IF(BD_ESTADISTICA_INF_B[[#This Row],[POSICION]]="jugador",BD_ESTADISTICA_INF_B[[#This Row],[Goles]],0)</f>
        <v>12</v>
      </c>
      <c r="X72" s="26">
        <f>IF(BD_ESTADISTICA_INF_B[[#This Row],[POSICION]]="portero",BD_ESTADISTICA_INF_B[[#This Row],[Lanzam.]]-BD_ESTADISTICA_INF_B[[#This Row],[Paradas]],0)</f>
        <v>0</v>
      </c>
      <c r="Y72" s="26">
        <f>IF(BD_ESTADISTICA_INF_B[[#This Row],[POSICION]]="jugador",BD_ESTADISTICA_INF_B[[#This Row],[Lanzam.]],0)</f>
        <v>15</v>
      </c>
      <c r="Z72" s="26">
        <f>IF(BD_ESTADISTICA_INF_B[[#This Row],[POSICION]]="portero",BD_ESTADISTICA_INF_B[[#This Row],[Lanzam.]],0)</f>
        <v>0</v>
      </c>
    </row>
    <row r="73" spans="1:26" hidden="1">
      <c r="A73" s="21" t="s">
        <v>28</v>
      </c>
      <c r="B73" s="21"/>
      <c r="C73" s="22">
        <v>3</v>
      </c>
      <c r="D73" s="22"/>
      <c r="E73" s="22">
        <v>4</v>
      </c>
      <c r="F73" s="8">
        <v>0.75</v>
      </c>
      <c r="G73" s="8"/>
      <c r="H73" s="8"/>
      <c r="I73" s="22">
        <v>5</v>
      </c>
      <c r="J73" s="22"/>
      <c r="K73" s="22">
        <v>1</v>
      </c>
      <c r="L73" s="22"/>
      <c r="M73" s="22"/>
      <c r="N73" s="22"/>
      <c r="O73" s="22">
        <v>2</v>
      </c>
      <c r="P73" s="22"/>
      <c r="Q73" s="22"/>
      <c r="R73" s="23">
        <v>4</v>
      </c>
      <c r="S73" s="24">
        <v>1</v>
      </c>
      <c r="T73" s="25" t="s">
        <v>84</v>
      </c>
      <c r="U73" s="11" t="s">
        <v>112</v>
      </c>
      <c r="V73" s="26" t="str">
        <f>IF(OR(BD_ESTADISTICA_INF_B[[#This Row],[Jugador]]="eudald",BD_ESTADISTICA_INF_B[[#This Row],[Jugador]]="jules",BD_ESTADISTICA_INF_B[[#This Row],[Jugador]]="JAN"),"PORTERO","JUGADOR")</f>
        <v>JUGADOR</v>
      </c>
      <c r="W73" s="26">
        <f>IF(BD_ESTADISTICA_INF_B[[#This Row],[POSICION]]="jugador",BD_ESTADISTICA_INF_B[[#This Row],[Goles]],0)</f>
        <v>3</v>
      </c>
      <c r="X73" s="26">
        <f>IF(BD_ESTADISTICA_INF_B[[#This Row],[POSICION]]="portero",BD_ESTADISTICA_INF_B[[#This Row],[Lanzam.]]-BD_ESTADISTICA_INF_B[[#This Row],[Paradas]],0)</f>
        <v>0</v>
      </c>
      <c r="Y73" s="26">
        <f>IF(BD_ESTADISTICA_INF_B[[#This Row],[POSICION]]="jugador",BD_ESTADISTICA_INF_B[[#This Row],[Lanzam.]],0)</f>
        <v>4</v>
      </c>
      <c r="Z73" s="26">
        <f>IF(BD_ESTADISTICA_INF_B[[#This Row],[POSICION]]="portero",BD_ESTADISTICA_INF_B[[#This Row],[Lanzam.]],0)</f>
        <v>0</v>
      </c>
    </row>
    <row r="74" spans="1:26" hidden="1">
      <c r="A74" s="21" t="s">
        <v>31</v>
      </c>
      <c r="B74" s="21"/>
      <c r="C74" s="22"/>
      <c r="D74" s="22">
        <v>0</v>
      </c>
      <c r="E74" s="22">
        <v>1</v>
      </c>
      <c r="F74" s="8">
        <v>0</v>
      </c>
      <c r="G74" s="8"/>
      <c r="H74" s="8"/>
      <c r="I74" s="22"/>
      <c r="J74" s="22"/>
      <c r="K74" s="22"/>
      <c r="L74" s="22"/>
      <c r="M74" s="22"/>
      <c r="N74" s="22"/>
      <c r="O74" s="22"/>
      <c r="P74" s="22"/>
      <c r="Q74" s="22"/>
      <c r="R74" s="23">
        <v>4</v>
      </c>
      <c r="S74" s="24">
        <v>1</v>
      </c>
      <c r="T74" s="25" t="s">
        <v>84</v>
      </c>
      <c r="U74" s="11" t="s">
        <v>112</v>
      </c>
      <c r="V74" s="26" t="str">
        <f>IF(OR(BD_ESTADISTICA_INF_B[[#This Row],[Jugador]]="eudald",BD_ESTADISTICA_INF_B[[#This Row],[Jugador]]="jules",BD_ESTADISTICA_INF_B[[#This Row],[Jugador]]="JAN"),"PORTERO","JUGADOR")</f>
        <v>PORTERO</v>
      </c>
      <c r="W74" s="26">
        <f>IF(BD_ESTADISTICA_INF_B[[#This Row],[POSICION]]="jugador",BD_ESTADISTICA_INF_B[[#This Row],[Goles]],0)</f>
        <v>0</v>
      </c>
      <c r="X74" s="26">
        <f>IF(BD_ESTADISTICA_INF_B[[#This Row],[POSICION]]="portero",BD_ESTADISTICA_INF_B[[#This Row],[Lanzam.]]-BD_ESTADISTICA_INF_B[[#This Row],[Paradas]],0)</f>
        <v>1</v>
      </c>
      <c r="Y74" s="26">
        <f>IF(BD_ESTADISTICA_INF_B[[#This Row],[POSICION]]="jugador",BD_ESTADISTICA_INF_B[[#This Row],[Lanzam.]],0)</f>
        <v>0</v>
      </c>
      <c r="Z74" s="26">
        <f>IF(BD_ESTADISTICA_INF_B[[#This Row],[POSICION]]="portero",BD_ESTADISTICA_INF_B[[#This Row],[Lanzam.]],0)</f>
        <v>1</v>
      </c>
    </row>
    <row r="75" spans="1:26" hidden="1">
      <c r="A75" s="21" t="s">
        <v>29</v>
      </c>
      <c r="B75" s="21"/>
      <c r="C75" s="28">
        <v>7</v>
      </c>
      <c r="D75" s="22">
        <v>7</v>
      </c>
      <c r="E75" s="22">
        <v>15</v>
      </c>
      <c r="F75" s="8">
        <v>0.46666666666666667</v>
      </c>
      <c r="G75" s="8"/>
      <c r="H75" s="8"/>
      <c r="I75" s="22"/>
      <c r="J75" s="22"/>
      <c r="K75" s="22">
        <v>1</v>
      </c>
      <c r="L75" s="22"/>
      <c r="M75" s="22"/>
      <c r="N75" s="22"/>
      <c r="O75" s="22"/>
      <c r="P75" s="22"/>
      <c r="Q75" s="22"/>
      <c r="R75" s="23">
        <v>4</v>
      </c>
      <c r="S75" s="24">
        <v>1</v>
      </c>
      <c r="T75" s="25" t="s">
        <v>84</v>
      </c>
      <c r="U75" s="11" t="s">
        <v>112</v>
      </c>
      <c r="V75" s="26" t="str">
        <f>IF(OR(BD_ESTADISTICA_INF_B[[#This Row],[Jugador]]="eudald",BD_ESTADISTICA_INF_B[[#This Row],[Jugador]]="jules",BD_ESTADISTICA_INF_B[[#This Row],[Jugador]]="JAN"),"PORTERO","JUGADOR")</f>
        <v>PORTERO</v>
      </c>
      <c r="W75" s="26">
        <f>IF(BD_ESTADISTICA_INF_B[[#This Row],[POSICION]]="jugador",BD_ESTADISTICA_INF_B[[#This Row],[Goles]],0)</f>
        <v>0</v>
      </c>
      <c r="X75" s="26">
        <f>IF(BD_ESTADISTICA_INF_B[[#This Row],[POSICION]]="portero",BD_ESTADISTICA_INF_B[[#This Row],[Lanzam.]]-BD_ESTADISTICA_INF_B[[#This Row],[Paradas]],0)</f>
        <v>8</v>
      </c>
      <c r="Y75" s="26">
        <f>IF(BD_ESTADISTICA_INF_B[[#This Row],[POSICION]]="jugador",BD_ESTADISTICA_INF_B[[#This Row],[Lanzam.]],0)</f>
        <v>0</v>
      </c>
      <c r="Z75" s="26">
        <f>IF(BD_ESTADISTICA_INF_B[[#This Row],[POSICION]]="portero",BD_ESTADISTICA_INF_B[[#This Row],[Lanzam.]],0)</f>
        <v>15</v>
      </c>
    </row>
    <row r="76" spans="1:26" hidden="1">
      <c r="A76" s="34" t="s">
        <v>30</v>
      </c>
      <c r="B76" s="34"/>
      <c r="C76" s="22"/>
      <c r="D76" s="22"/>
      <c r="E76" s="22"/>
      <c r="F76" s="8" t="s">
        <v>99</v>
      </c>
      <c r="G76" s="8"/>
      <c r="H76" s="8"/>
      <c r="I76" s="22"/>
      <c r="J76" s="22"/>
      <c r="K76" s="22"/>
      <c r="L76" s="22"/>
      <c r="M76" s="22"/>
      <c r="N76" s="22"/>
      <c r="O76" s="22"/>
      <c r="P76" s="22"/>
      <c r="Q76" s="22"/>
      <c r="R76" s="23">
        <v>4</v>
      </c>
      <c r="S76" s="24">
        <v>1</v>
      </c>
      <c r="T76" s="25" t="s">
        <v>84</v>
      </c>
      <c r="U76" s="11" t="s">
        <v>112</v>
      </c>
      <c r="V76" s="26" t="str">
        <f>IF(OR(BD_ESTADISTICA_INF_B[[#This Row],[Jugador]]="eudald",BD_ESTADISTICA_INF_B[[#This Row],[Jugador]]="jules",BD_ESTADISTICA_INF_B[[#This Row],[Jugador]]="JAN"),"PORTERO","JUGADOR")</f>
        <v>PORTERO</v>
      </c>
      <c r="W76" s="26">
        <f>IF(BD_ESTADISTICA_INF_B[[#This Row],[POSICION]]="jugador",BD_ESTADISTICA_INF_B[[#This Row],[Goles]],0)</f>
        <v>0</v>
      </c>
      <c r="X76" s="26">
        <f>IF(BD_ESTADISTICA_INF_B[[#This Row],[POSICION]]="portero",BD_ESTADISTICA_INF_B[[#This Row],[Lanzam.]]-BD_ESTADISTICA_INF_B[[#This Row],[Paradas]],0)</f>
        <v>0</v>
      </c>
      <c r="Y76" s="26">
        <f>IF(BD_ESTADISTICA_INF_B[[#This Row],[POSICION]]="jugador",BD_ESTADISTICA_INF_B[[#This Row],[Lanzam.]],0)</f>
        <v>0</v>
      </c>
      <c r="Z76" s="26">
        <f>IF(BD_ESTADISTICA_INF_B[[#This Row],[POSICION]]="portero",BD_ESTADISTICA_INF_B[[#This Row],[Lanzam.]],0)</f>
        <v>0</v>
      </c>
    </row>
    <row r="77" spans="1:26" hidden="1">
      <c r="A77" s="21" t="s">
        <v>42</v>
      </c>
      <c r="B77" s="21"/>
      <c r="C77" s="22">
        <v>3</v>
      </c>
      <c r="D77" s="22"/>
      <c r="E77" s="22">
        <v>4</v>
      </c>
      <c r="F77" s="8">
        <v>0.75</v>
      </c>
      <c r="G77" s="8"/>
      <c r="H77" s="8"/>
      <c r="I77" s="22"/>
      <c r="J77" s="22"/>
      <c r="K77" s="22">
        <v>1</v>
      </c>
      <c r="L77" s="22"/>
      <c r="M77" s="22"/>
      <c r="N77" s="22">
        <v>1</v>
      </c>
      <c r="O77" s="22">
        <v>1</v>
      </c>
      <c r="P77" s="22"/>
      <c r="Q77" s="22"/>
      <c r="R77" s="23">
        <v>4</v>
      </c>
      <c r="S77" s="24">
        <v>1</v>
      </c>
      <c r="T77" s="25" t="s">
        <v>84</v>
      </c>
      <c r="U77" s="11" t="s">
        <v>112</v>
      </c>
      <c r="V77" s="26" t="str">
        <f>IF(OR(BD_ESTADISTICA_INF_B[[#This Row],[Jugador]]="eudald",BD_ESTADISTICA_INF_B[[#This Row],[Jugador]]="jules",BD_ESTADISTICA_INF_B[[#This Row],[Jugador]]="JAN"),"PORTERO","JUGADOR")</f>
        <v>JUGADOR</v>
      </c>
      <c r="W77" s="26">
        <f>IF(BD_ESTADISTICA_INF_B[[#This Row],[POSICION]]="jugador",BD_ESTADISTICA_INF_B[[#This Row],[Goles]],0)</f>
        <v>3</v>
      </c>
      <c r="X77" s="26">
        <f>IF(BD_ESTADISTICA_INF_B[[#This Row],[POSICION]]="portero",BD_ESTADISTICA_INF_B[[#This Row],[Lanzam.]]-BD_ESTADISTICA_INF_B[[#This Row],[Paradas]],0)</f>
        <v>0</v>
      </c>
      <c r="Y77" s="26">
        <f>IF(BD_ESTADISTICA_INF_B[[#This Row],[POSICION]]="jugador",BD_ESTADISTICA_INF_B[[#This Row],[Lanzam.]],0)</f>
        <v>4</v>
      </c>
      <c r="Z77" s="26">
        <f>IF(BD_ESTADISTICA_INF_B[[#This Row],[POSICION]]="portero",BD_ESTADISTICA_INF_B[[#This Row],[Lanzam.]],0)</f>
        <v>0</v>
      </c>
    </row>
    <row r="78" spans="1:26" hidden="1">
      <c r="A78" s="21" t="s">
        <v>22</v>
      </c>
      <c r="B78" s="21"/>
      <c r="C78" s="22">
        <v>0</v>
      </c>
      <c r="D78" s="22"/>
      <c r="E78" s="22">
        <v>2</v>
      </c>
      <c r="F78" s="8">
        <v>0</v>
      </c>
      <c r="G78" s="8"/>
      <c r="H78" s="8"/>
      <c r="I78" s="22"/>
      <c r="J78" s="22"/>
      <c r="K78" s="22"/>
      <c r="L78" s="22"/>
      <c r="M78" s="22"/>
      <c r="N78" s="22">
        <v>1</v>
      </c>
      <c r="O78" s="22"/>
      <c r="P78" s="22"/>
      <c r="Q78" s="22"/>
      <c r="R78" s="23">
        <v>4</v>
      </c>
      <c r="S78" s="24">
        <v>1</v>
      </c>
      <c r="T78" s="25" t="s">
        <v>84</v>
      </c>
      <c r="U78" s="11" t="s">
        <v>112</v>
      </c>
      <c r="V78" s="26" t="str">
        <f>IF(OR(BD_ESTADISTICA_INF_B[[#This Row],[Jugador]]="eudald",BD_ESTADISTICA_INF_B[[#This Row],[Jugador]]="jules",BD_ESTADISTICA_INF_B[[#This Row],[Jugador]]="JAN"),"PORTERO","JUGADOR")</f>
        <v>JUGADOR</v>
      </c>
      <c r="W78" s="26">
        <f>IF(BD_ESTADISTICA_INF_B[[#This Row],[POSICION]]="jugador",BD_ESTADISTICA_INF_B[[#This Row],[Goles]],0)</f>
        <v>0</v>
      </c>
      <c r="X78" s="26">
        <f>IF(BD_ESTADISTICA_INF_B[[#This Row],[POSICION]]="portero",BD_ESTADISTICA_INF_B[[#This Row],[Lanzam.]]-BD_ESTADISTICA_INF_B[[#This Row],[Paradas]],0)</f>
        <v>0</v>
      </c>
      <c r="Y78" s="26">
        <f>IF(BD_ESTADISTICA_INF_B[[#This Row],[POSICION]]="jugador",BD_ESTADISTICA_INF_B[[#This Row],[Lanzam.]],0)</f>
        <v>2</v>
      </c>
      <c r="Z78" s="26">
        <f>IF(BD_ESTADISTICA_INF_B[[#This Row],[POSICION]]="portero",BD_ESTADISTICA_INF_B[[#This Row],[Lanzam.]],0)</f>
        <v>0</v>
      </c>
    </row>
    <row r="79" spans="1:26" hidden="1">
      <c r="A79" s="21" t="s">
        <v>16</v>
      </c>
      <c r="B79" s="21"/>
      <c r="C79" s="22">
        <v>0</v>
      </c>
      <c r="D79" s="22"/>
      <c r="E79" s="22">
        <v>1</v>
      </c>
      <c r="F79" s="8">
        <f>IF(BD_ESTADISTICA_INF_B[[#This Row],[Lanzam.]]="","",IF(BD_ESTADISTICA_INF_B[[#This Row],[POSICION]]="jugador",C79/E79,D79/E79))</f>
        <v>0</v>
      </c>
      <c r="G79" s="8"/>
      <c r="H79" s="8"/>
      <c r="I79" s="22"/>
      <c r="J79" s="22"/>
      <c r="K79" s="22"/>
      <c r="L79" s="22"/>
      <c r="M79" s="22"/>
      <c r="N79" s="22"/>
      <c r="O79" s="22"/>
      <c r="P79" s="22"/>
      <c r="Q79" s="22"/>
      <c r="R79" s="23">
        <v>5</v>
      </c>
      <c r="S79" s="24">
        <v>1</v>
      </c>
      <c r="T79" s="25" t="s">
        <v>79</v>
      </c>
      <c r="U79" s="11" t="s">
        <v>111</v>
      </c>
      <c r="V79" s="26" t="str">
        <f>IF(OR(BD_ESTADISTICA_INF_B[[#This Row],[Jugador]]="eudald",BD_ESTADISTICA_INF_B[[#This Row],[Jugador]]="jules",BD_ESTADISTICA_INF_B[[#This Row],[Jugador]]="JAN"),"PORTERO","JUGADOR")</f>
        <v>JUGADOR</v>
      </c>
      <c r="W79" s="26">
        <f>IF(BD_ESTADISTICA_INF_B[[#This Row],[POSICION]]="jugador",BD_ESTADISTICA_INF_B[[#This Row],[Goles]],0)</f>
        <v>0</v>
      </c>
      <c r="X79" s="26">
        <f>IF(BD_ESTADISTICA_INF_B[[#This Row],[POSICION]]="portero",BD_ESTADISTICA_INF_B[[#This Row],[Lanzam.]]-BD_ESTADISTICA_INF_B[[#This Row],[Paradas]],0)</f>
        <v>0</v>
      </c>
      <c r="Y79" s="26">
        <f>IF(BD_ESTADISTICA_INF_B[[#This Row],[POSICION]]="jugador",BD_ESTADISTICA_INF_B[[#This Row],[Lanzam.]],0)</f>
        <v>1</v>
      </c>
      <c r="Z79" s="26">
        <f>IF(BD_ESTADISTICA_INF_B[[#This Row],[POSICION]]="portero",BD_ESTADISTICA_INF_B[[#This Row],[Lanzam.]],0)</f>
        <v>0</v>
      </c>
    </row>
    <row r="80" spans="1:26" hidden="1">
      <c r="A80" s="21" t="s">
        <v>17</v>
      </c>
      <c r="B80" s="21"/>
      <c r="C80" s="22">
        <v>2</v>
      </c>
      <c r="D80" s="22"/>
      <c r="E80" s="22">
        <v>4</v>
      </c>
      <c r="F80" s="8">
        <f>IF(BD_ESTADISTICA_INF_B[[#This Row],[Lanzam.]]="","",IF(BD_ESTADISTICA_INF_B[[#This Row],[POSICION]]="jugador",C80/E80,D80/E80))</f>
        <v>0.5</v>
      </c>
      <c r="G80" s="8"/>
      <c r="H80" s="8"/>
      <c r="I80" s="22"/>
      <c r="J80" s="22">
        <v>1</v>
      </c>
      <c r="K80" s="22"/>
      <c r="L80" s="22"/>
      <c r="M80" s="22">
        <v>1</v>
      </c>
      <c r="N80" s="22"/>
      <c r="O80" s="22"/>
      <c r="P80" s="22"/>
      <c r="Q80" s="22"/>
      <c r="R80" s="23">
        <v>5</v>
      </c>
      <c r="S80" s="24">
        <v>1</v>
      </c>
      <c r="T80" s="25" t="s">
        <v>79</v>
      </c>
      <c r="U80" s="11" t="s">
        <v>111</v>
      </c>
      <c r="V80" s="26" t="str">
        <f>IF(OR(BD_ESTADISTICA_INF_B[[#This Row],[Jugador]]="eudald",BD_ESTADISTICA_INF_B[[#This Row],[Jugador]]="jules",BD_ESTADISTICA_INF_B[[#This Row],[Jugador]]="JAN"),"PORTERO","JUGADOR")</f>
        <v>JUGADOR</v>
      </c>
      <c r="W80" s="26">
        <f>IF(BD_ESTADISTICA_INF_B[[#This Row],[POSICION]]="jugador",BD_ESTADISTICA_INF_B[[#This Row],[Goles]],0)</f>
        <v>2</v>
      </c>
      <c r="X80" s="26">
        <f>IF(BD_ESTADISTICA_INF_B[[#This Row],[POSICION]]="portero",BD_ESTADISTICA_INF_B[[#This Row],[Lanzam.]]-BD_ESTADISTICA_INF_B[[#This Row],[Paradas]],0)</f>
        <v>0</v>
      </c>
      <c r="Y80" s="26">
        <f>IF(BD_ESTADISTICA_INF_B[[#This Row],[POSICION]]="jugador",BD_ESTADISTICA_INF_B[[#This Row],[Lanzam.]],0)</f>
        <v>4</v>
      </c>
      <c r="Z80" s="26">
        <f>IF(BD_ESTADISTICA_INF_B[[#This Row],[POSICION]]="portero",BD_ESTADISTICA_INF_B[[#This Row],[Lanzam.]],0)</f>
        <v>0</v>
      </c>
    </row>
    <row r="81" spans="1:26" hidden="1">
      <c r="A81" s="21" t="s">
        <v>18</v>
      </c>
      <c r="B81" s="21"/>
      <c r="C81" s="22">
        <v>1</v>
      </c>
      <c r="D81" s="22"/>
      <c r="E81" s="22">
        <v>1</v>
      </c>
      <c r="F81" s="8">
        <f>IF(BD_ESTADISTICA_INF_B[[#This Row],[Lanzam.]]="","",IF(BD_ESTADISTICA_INF_B[[#This Row],[POSICION]]="jugador",C81/E81,D81/E81))</f>
        <v>1</v>
      </c>
      <c r="G81" s="8"/>
      <c r="H81" s="8"/>
      <c r="I81" s="22">
        <v>1</v>
      </c>
      <c r="J81" s="22"/>
      <c r="K81" s="22"/>
      <c r="L81" s="22"/>
      <c r="M81" s="22"/>
      <c r="N81" s="22"/>
      <c r="O81" s="22"/>
      <c r="P81" s="22"/>
      <c r="Q81" s="22"/>
      <c r="R81" s="23">
        <v>5</v>
      </c>
      <c r="S81" s="24">
        <v>1</v>
      </c>
      <c r="T81" s="25" t="s">
        <v>79</v>
      </c>
      <c r="U81" s="11" t="s">
        <v>111</v>
      </c>
      <c r="V81" s="26" t="str">
        <f>IF(OR(BD_ESTADISTICA_INF_B[[#This Row],[Jugador]]="eudald",BD_ESTADISTICA_INF_B[[#This Row],[Jugador]]="jules",BD_ESTADISTICA_INF_B[[#This Row],[Jugador]]="JAN"),"PORTERO","JUGADOR")</f>
        <v>JUGADOR</v>
      </c>
      <c r="W81" s="26">
        <f>IF(BD_ESTADISTICA_INF_B[[#This Row],[POSICION]]="jugador",BD_ESTADISTICA_INF_B[[#This Row],[Goles]],0)</f>
        <v>1</v>
      </c>
      <c r="X81" s="26">
        <f>IF(BD_ESTADISTICA_INF_B[[#This Row],[POSICION]]="portero",BD_ESTADISTICA_INF_B[[#This Row],[Lanzam.]]-BD_ESTADISTICA_INF_B[[#This Row],[Paradas]],0)</f>
        <v>0</v>
      </c>
      <c r="Y81" s="26">
        <f>IF(BD_ESTADISTICA_INF_B[[#This Row],[POSICION]]="jugador",BD_ESTADISTICA_INF_B[[#This Row],[Lanzam.]],0)</f>
        <v>1</v>
      </c>
      <c r="Z81" s="26">
        <f>IF(BD_ESTADISTICA_INF_B[[#This Row],[POSICION]]="portero",BD_ESTADISTICA_INF_B[[#This Row],[Lanzam.]],0)</f>
        <v>0</v>
      </c>
    </row>
    <row r="82" spans="1:26" hidden="1">
      <c r="A82" s="21" t="s">
        <v>19</v>
      </c>
      <c r="B82" s="21"/>
      <c r="C82" s="22">
        <v>1</v>
      </c>
      <c r="D82" s="22"/>
      <c r="E82" s="22">
        <v>5</v>
      </c>
      <c r="F82" s="8">
        <f>IF(BD_ESTADISTICA_INF_B[[#This Row],[Lanzam.]]="","",IF(BD_ESTADISTICA_INF_B[[#This Row],[POSICION]]="jugador",C82/E82,D82/E82))</f>
        <v>0.2</v>
      </c>
      <c r="G82" s="8"/>
      <c r="H82" s="8"/>
      <c r="I82" s="22">
        <v>9</v>
      </c>
      <c r="J82" s="22"/>
      <c r="K82" s="22"/>
      <c r="L82" s="22"/>
      <c r="M82" s="22"/>
      <c r="N82" s="22">
        <v>1</v>
      </c>
      <c r="O82" s="22">
        <v>3</v>
      </c>
      <c r="P82" s="22">
        <v>1</v>
      </c>
      <c r="Q82" s="22">
        <v>1</v>
      </c>
      <c r="R82" s="23">
        <v>5</v>
      </c>
      <c r="S82" s="24">
        <v>1</v>
      </c>
      <c r="T82" s="25" t="s">
        <v>79</v>
      </c>
      <c r="U82" s="11" t="s">
        <v>111</v>
      </c>
      <c r="V82" s="26" t="str">
        <f>IF(OR(BD_ESTADISTICA_INF_B[[#This Row],[Jugador]]="eudald",BD_ESTADISTICA_INF_B[[#This Row],[Jugador]]="jules",BD_ESTADISTICA_INF_B[[#This Row],[Jugador]]="JAN"),"PORTERO","JUGADOR")</f>
        <v>JUGADOR</v>
      </c>
      <c r="W82" s="26">
        <f>IF(BD_ESTADISTICA_INF_B[[#This Row],[POSICION]]="jugador",BD_ESTADISTICA_INF_B[[#This Row],[Goles]],0)</f>
        <v>1</v>
      </c>
      <c r="X82" s="26">
        <f>IF(BD_ESTADISTICA_INF_B[[#This Row],[POSICION]]="portero",BD_ESTADISTICA_INF_B[[#This Row],[Lanzam.]]-BD_ESTADISTICA_INF_B[[#This Row],[Paradas]],0)</f>
        <v>0</v>
      </c>
      <c r="Y82" s="26">
        <f>IF(BD_ESTADISTICA_INF_B[[#This Row],[POSICION]]="jugador",BD_ESTADISTICA_INF_B[[#This Row],[Lanzam.]],0)</f>
        <v>5</v>
      </c>
      <c r="Z82" s="26">
        <f>IF(BD_ESTADISTICA_INF_B[[#This Row],[POSICION]]="portero",BD_ESTADISTICA_INF_B[[#This Row],[Lanzam.]],0)</f>
        <v>0</v>
      </c>
    </row>
    <row r="83" spans="1:26" hidden="1">
      <c r="A83" s="34" t="s">
        <v>20</v>
      </c>
      <c r="B83" s="34"/>
      <c r="C83" s="22"/>
      <c r="D83" s="22"/>
      <c r="E83" s="22"/>
      <c r="F83" s="8" t="str">
        <f>IF(BD_ESTADISTICA_INF_B[[#This Row],[Lanzam.]]="","",IF(BD_ESTADISTICA_INF_B[[#This Row],[POSICION]]="jugador",C83/E83,D83/E83))</f>
        <v/>
      </c>
      <c r="G83" s="8"/>
      <c r="H83" s="8"/>
      <c r="I83" s="22"/>
      <c r="J83" s="22"/>
      <c r="K83" s="22"/>
      <c r="L83" s="22"/>
      <c r="M83" s="22"/>
      <c r="N83" s="22"/>
      <c r="O83" s="22"/>
      <c r="P83" s="22"/>
      <c r="Q83" s="22"/>
      <c r="R83" s="23">
        <v>5</v>
      </c>
      <c r="S83" s="24">
        <v>1</v>
      </c>
      <c r="T83" s="25" t="s">
        <v>79</v>
      </c>
      <c r="U83" s="11" t="s">
        <v>111</v>
      </c>
      <c r="V83" s="26" t="str">
        <f>IF(OR(BD_ESTADISTICA_INF_B[[#This Row],[Jugador]]="eudald",BD_ESTADISTICA_INF_B[[#This Row],[Jugador]]="jules",BD_ESTADISTICA_INF_B[[#This Row],[Jugador]]="JAN"),"PORTERO","JUGADOR")</f>
        <v>JUGADOR</v>
      </c>
      <c r="W83" s="26">
        <f>IF(BD_ESTADISTICA_INF_B[[#This Row],[POSICION]]="jugador",BD_ESTADISTICA_INF_B[[#This Row],[Goles]],0)</f>
        <v>0</v>
      </c>
      <c r="X83" s="26">
        <f>IF(BD_ESTADISTICA_INF_B[[#This Row],[POSICION]]="portero",BD_ESTADISTICA_INF_B[[#This Row],[Lanzam.]]-BD_ESTADISTICA_INF_B[[#This Row],[Paradas]],0)</f>
        <v>0</v>
      </c>
      <c r="Y83" s="26">
        <f>IF(BD_ESTADISTICA_INF_B[[#This Row],[POSICION]]="jugador",BD_ESTADISTICA_INF_B[[#This Row],[Lanzam.]],0)</f>
        <v>0</v>
      </c>
      <c r="Z83" s="26">
        <f>IF(BD_ESTADISTICA_INF_B[[#This Row],[POSICION]]="portero",BD_ESTADISTICA_INF_B[[#This Row],[Lanzam.]],0)</f>
        <v>0</v>
      </c>
    </row>
    <row r="84" spans="1:26" hidden="1">
      <c r="A84" s="21" t="s">
        <v>21</v>
      </c>
      <c r="B84" s="21"/>
      <c r="C84" s="22">
        <v>4</v>
      </c>
      <c r="D84" s="22"/>
      <c r="E84" s="22">
        <v>4</v>
      </c>
      <c r="F84" s="8">
        <f>IF(BD_ESTADISTICA_INF_B[[#This Row],[Lanzam.]]="","",IF(BD_ESTADISTICA_INF_B[[#This Row],[POSICION]]="jugador",C84/E84,D84/E84))</f>
        <v>1</v>
      </c>
      <c r="G84" s="8"/>
      <c r="H84" s="8"/>
      <c r="I84" s="22">
        <v>1</v>
      </c>
      <c r="J84" s="22"/>
      <c r="K84" s="22">
        <v>1</v>
      </c>
      <c r="L84" s="22"/>
      <c r="M84" s="22">
        <v>1</v>
      </c>
      <c r="N84" s="22"/>
      <c r="O84" s="22"/>
      <c r="P84" s="22"/>
      <c r="Q84" s="22"/>
      <c r="R84" s="23">
        <v>5</v>
      </c>
      <c r="S84" s="24">
        <v>1</v>
      </c>
      <c r="T84" s="25" t="s">
        <v>79</v>
      </c>
      <c r="U84" s="11" t="s">
        <v>111</v>
      </c>
      <c r="V84" s="26" t="str">
        <f>IF(OR(BD_ESTADISTICA_INF_B[[#This Row],[Jugador]]="eudald",BD_ESTADISTICA_INF_B[[#This Row],[Jugador]]="jules",BD_ESTADISTICA_INF_B[[#This Row],[Jugador]]="JAN"),"PORTERO","JUGADOR")</f>
        <v>JUGADOR</v>
      </c>
      <c r="W84" s="26">
        <f>IF(BD_ESTADISTICA_INF_B[[#This Row],[POSICION]]="jugador",BD_ESTADISTICA_INF_B[[#This Row],[Goles]],0)</f>
        <v>4</v>
      </c>
      <c r="X84" s="26">
        <f>IF(BD_ESTADISTICA_INF_B[[#This Row],[POSICION]]="portero",BD_ESTADISTICA_INF_B[[#This Row],[Lanzam.]]-BD_ESTADISTICA_INF_B[[#This Row],[Paradas]],0)</f>
        <v>0</v>
      </c>
      <c r="Y84" s="26">
        <f>IF(BD_ESTADISTICA_INF_B[[#This Row],[POSICION]]="jugador",BD_ESTADISTICA_INF_B[[#This Row],[Lanzam.]],0)</f>
        <v>4</v>
      </c>
      <c r="Z84" s="26">
        <f>IF(BD_ESTADISTICA_INF_B[[#This Row],[POSICION]]="portero",BD_ESTADISTICA_INF_B[[#This Row],[Lanzam.]],0)</f>
        <v>0</v>
      </c>
    </row>
    <row r="85" spans="1:26" hidden="1">
      <c r="A85" s="21" t="s">
        <v>40</v>
      </c>
      <c r="B85" s="21"/>
      <c r="C85" s="22">
        <v>2</v>
      </c>
      <c r="D85" s="22"/>
      <c r="E85" s="22">
        <v>2</v>
      </c>
      <c r="F85" s="8">
        <f>IF(BD_ESTADISTICA_INF_B[[#This Row],[Lanzam.]]="","",IF(BD_ESTADISTICA_INF_B[[#This Row],[POSICION]]="jugador",C85/E85,D85/E85))</f>
        <v>1</v>
      </c>
      <c r="G85" s="8"/>
      <c r="H85" s="8"/>
      <c r="I85" s="22"/>
      <c r="J85" s="22">
        <v>2</v>
      </c>
      <c r="K85" s="22"/>
      <c r="L85" s="22"/>
      <c r="M85" s="22"/>
      <c r="N85" s="22"/>
      <c r="O85" s="22"/>
      <c r="P85" s="22"/>
      <c r="Q85" s="22"/>
      <c r="R85" s="23">
        <v>5</v>
      </c>
      <c r="S85" s="24">
        <v>1</v>
      </c>
      <c r="T85" s="25" t="s">
        <v>79</v>
      </c>
      <c r="U85" s="11" t="s">
        <v>111</v>
      </c>
      <c r="V85" s="26" t="str">
        <f>IF(OR(BD_ESTADISTICA_INF_B[[#This Row],[Jugador]]="eudald",BD_ESTADISTICA_INF_B[[#This Row],[Jugador]]="jules",BD_ESTADISTICA_INF_B[[#This Row],[Jugador]]="JAN"),"PORTERO","JUGADOR")</f>
        <v>JUGADOR</v>
      </c>
      <c r="W85" s="26">
        <f>IF(BD_ESTADISTICA_INF_B[[#This Row],[POSICION]]="jugador",BD_ESTADISTICA_INF_B[[#This Row],[Goles]],0)</f>
        <v>2</v>
      </c>
      <c r="X85" s="26">
        <f>IF(BD_ESTADISTICA_INF_B[[#This Row],[POSICION]]="portero",BD_ESTADISTICA_INF_B[[#This Row],[Lanzam.]]-BD_ESTADISTICA_INF_B[[#This Row],[Paradas]],0)</f>
        <v>0</v>
      </c>
      <c r="Y85" s="26">
        <f>IF(BD_ESTADISTICA_INF_B[[#This Row],[POSICION]]="jugador",BD_ESTADISTICA_INF_B[[#This Row],[Lanzam.]],0)</f>
        <v>2</v>
      </c>
      <c r="Z85" s="26">
        <f>IF(BD_ESTADISTICA_INF_B[[#This Row],[POSICION]]="portero",BD_ESTADISTICA_INF_B[[#This Row],[Lanzam.]],0)</f>
        <v>0</v>
      </c>
    </row>
    <row r="86" spans="1:26" hidden="1">
      <c r="A86" s="21" t="s">
        <v>41</v>
      </c>
      <c r="B86" s="21"/>
      <c r="C86" s="22">
        <v>1</v>
      </c>
      <c r="D86" s="22"/>
      <c r="E86" s="22">
        <v>1</v>
      </c>
      <c r="F86" s="8">
        <f>IF(BD_ESTADISTICA_INF_B[[#This Row],[Lanzam.]]="","",IF(BD_ESTADISTICA_INF_B[[#This Row],[POSICION]]="jugador",C86/E86,D86/E86))</f>
        <v>1</v>
      </c>
      <c r="G86" s="8"/>
      <c r="H86" s="8"/>
      <c r="I86" s="22"/>
      <c r="J86" s="22">
        <v>1</v>
      </c>
      <c r="K86" s="22">
        <v>1</v>
      </c>
      <c r="L86" s="22"/>
      <c r="M86" s="22"/>
      <c r="N86" s="22"/>
      <c r="O86" s="22">
        <v>2</v>
      </c>
      <c r="P86" s="22"/>
      <c r="Q86" s="22"/>
      <c r="R86" s="23">
        <v>5</v>
      </c>
      <c r="S86" s="24">
        <v>1</v>
      </c>
      <c r="T86" s="25" t="s">
        <v>79</v>
      </c>
      <c r="U86" s="11" t="s">
        <v>111</v>
      </c>
      <c r="V86" s="26" t="str">
        <f>IF(OR(BD_ESTADISTICA_INF_B[[#This Row],[Jugador]]="eudald",BD_ESTADISTICA_INF_B[[#This Row],[Jugador]]="jules",BD_ESTADISTICA_INF_B[[#This Row],[Jugador]]="JAN"),"PORTERO","JUGADOR")</f>
        <v>JUGADOR</v>
      </c>
      <c r="W86" s="26">
        <f>IF(BD_ESTADISTICA_INF_B[[#This Row],[POSICION]]="jugador",BD_ESTADISTICA_INF_B[[#This Row],[Goles]],0)</f>
        <v>1</v>
      </c>
      <c r="X86" s="26">
        <f>IF(BD_ESTADISTICA_INF_B[[#This Row],[POSICION]]="portero",BD_ESTADISTICA_INF_B[[#This Row],[Lanzam.]]-BD_ESTADISTICA_INF_B[[#This Row],[Paradas]],0)</f>
        <v>0</v>
      </c>
      <c r="Y86" s="26">
        <f>IF(BD_ESTADISTICA_INF_B[[#This Row],[POSICION]]="jugador",BD_ESTADISTICA_INF_B[[#This Row],[Lanzam.]],0)</f>
        <v>1</v>
      </c>
      <c r="Z86" s="26">
        <f>IF(BD_ESTADISTICA_INF_B[[#This Row],[POSICION]]="portero",BD_ESTADISTICA_INF_B[[#This Row],[Lanzam.]],0)</f>
        <v>0</v>
      </c>
    </row>
    <row r="87" spans="1:26" hidden="1">
      <c r="A87" s="21" t="s">
        <v>23</v>
      </c>
      <c r="B87" s="21"/>
      <c r="C87" s="22">
        <v>9</v>
      </c>
      <c r="D87" s="22"/>
      <c r="E87" s="22">
        <v>10</v>
      </c>
      <c r="F87" s="8">
        <f>IF(BD_ESTADISTICA_INF_B[[#This Row],[Lanzam.]]="","",IF(BD_ESTADISTICA_INF_B[[#This Row],[POSICION]]="jugador",C87/E87,D87/E87))</f>
        <v>0.9</v>
      </c>
      <c r="G87" s="8"/>
      <c r="H87" s="8"/>
      <c r="I87" s="22">
        <v>1</v>
      </c>
      <c r="J87" s="22"/>
      <c r="K87" s="22"/>
      <c r="L87" s="22"/>
      <c r="M87" s="22"/>
      <c r="N87" s="22"/>
      <c r="O87" s="22">
        <v>2</v>
      </c>
      <c r="P87" s="22">
        <v>1</v>
      </c>
      <c r="Q87" s="22">
        <v>2</v>
      </c>
      <c r="R87" s="23">
        <v>5</v>
      </c>
      <c r="S87" s="24">
        <v>1</v>
      </c>
      <c r="T87" s="25" t="s">
        <v>79</v>
      </c>
      <c r="U87" s="11" t="s">
        <v>111</v>
      </c>
      <c r="V87" s="26" t="str">
        <f>IF(OR(BD_ESTADISTICA_INF_B[[#This Row],[Jugador]]="eudald",BD_ESTADISTICA_INF_B[[#This Row],[Jugador]]="jules",BD_ESTADISTICA_INF_B[[#This Row],[Jugador]]="JAN"),"PORTERO","JUGADOR")</f>
        <v>JUGADOR</v>
      </c>
      <c r="W87" s="26">
        <f>IF(BD_ESTADISTICA_INF_B[[#This Row],[POSICION]]="jugador",BD_ESTADISTICA_INF_B[[#This Row],[Goles]],0)</f>
        <v>9</v>
      </c>
      <c r="X87" s="26">
        <f>IF(BD_ESTADISTICA_INF_B[[#This Row],[POSICION]]="portero",BD_ESTADISTICA_INF_B[[#This Row],[Lanzam.]]-BD_ESTADISTICA_INF_B[[#This Row],[Paradas]],0)</f>
        <v>0</v>
      </c>
      <c r="Y87" s="26">
        <f>IF(BD_ESTADISTICA_INF_B[[#This Row],[POSICION]]="jugador",BD_ESTADISTICA_INF_B[[#This Row],[Lanzam.]],0)</f>
        <v>10</v>
      </c>
      <c r="Z87" s="26">
        <f>IF(BD_ESTADISTICA_INF_B[[#This Row],[POSICION]]="portero",BD_ESTADISTICA_INF_B[[#This Row],[Lanzam.]],0)</f>
        <v>0</v>
      </c>
    </row>
    <row r="88" spans="1:26" hidden="1">
      <c r="A88" s="21" t="s">
        <v>24</v>
      </c>
      <c r="B88" s="21"/>
      <c r="C88" s="22">
        <v>0</v>
      </c>
      <c r="D88" s="22"/>
      <c r="E88" s="22">
        <v>1</v>
      </c>
      <c r="F88" s="8">
        <f>IF(BD_ESTADISTICA_INF_B[[#This Row],[Lanzam.]]="","",IF(BD_ESTADISTICA_INF_B[[#This Row],[POSICION]]="jugador",C88/E88,D88/E88))</f>
        <v>0</v>
      </c>
      <c r="G88" s="8"/>
      <c r="H88" s="8"/>
      <c r="I88" s="22"/>
      <c r="J88" s="22">
        <v>2</v>
      </c>
      <c r="K88" s="22"/>
      <c r="L88" s="22"/>
      <c r="M88" s="22"/>
      <c r="N88" s="22"/>
      <c r="O88" s="22"/>
      <c r="P88" s="22"/>
      <c r="Q88" s="22"/>
      <c r="R88" s="23">
        <v>5</v>
      </c>
      <c r="S88" s="24">
        <v>1</v>
      </c>
      <c r="T88" s="25" t="s">
        <v>79</v>
      </c>
      <c r="U88" s="11" t="s">
        <v>111</v>
      </c>
      <c r="V88" s="26" t="str">
        <f>IF(OR(BD_ESTADISTICA_INF_B[[#This Row],[Jugador]]="eudald",BD_ESTADISTICA_INF_B[[#This Row],[Jugador]]="jules",BD_ESTADISTICA_INF_B[[#This Row],[Jugador]]="JAN"),"PORTERO","JUGADOR")</f>
        <v>JUGADOR</v>
      </c>
      <c r="W88" s="26">
        <f>IF(BD_ESTADISTICA_INF_B[[#This Row],[POSICION]]="jugador",BD_ESTADISTICA_INF_B[[#This Row],[Goles]],0)</f>
        <v>0</v>
      </c>
      <c r="X88" s="26">
        <f>IF(BD_ESTADISTICA_INF_B[[#This Row],[POSICION]]="portero",BD_ESTADISTICA_INF_B[[#This Row],[Lanzam.]]-BD_ESTADISTICA_INF_B[[#This Row],[Paradas]],0)</f>
        <v>0</v>
      </c>
      <c r="Y88" s="26">
        <f>IF(BD_ESTADISTICA_INF_B[[#This Row],[POSICION]]="jugador",BD_ESTADISTICA_INF_B[[#This Row],[Lanzam.]],0)</f>
        <v>1</v>
      </c>
      <c r="Z88" s="26">
        <f>IF(BD_ESTADISTICA_INF_B[[#This Row],[POSICION]]="portero",BD_ESTADISTICA_INF_B[[#This Row],[Lanzam.]],0)</f>
        <v>0</v>
      </c>
    </row>
    <row r="89" spans="1:26" hidden="1">
      <c r="A89" s="21" t="s">
        <v>25</v>
      </c>
      <c r="B89" s="21"/>
      <c r="C89" s="22">
        <v>4</v>
      </c>
      <c r="D89" s="22"/>
      <c r="E89" s="22">
        <v>4</v>
      </c>
      <c r="F89" s="8">
        <f>IF(BD_ESTADISTICA_INF_B[[#This Row],[Lanzam.]]="","",IF(BD_ESTADISTICA_INF_B[[#This Row],[POSICION]]="jugador",C89/E89,D89/E89))</f>
        <v>1</v>
      </c>
      <c r="G89" s="8"/>
      <c r="H89" s="8"/>
      <c r="I89" s="22">
        <v>1</v>
      </c>
      <c r="J89" s="22">
        <v>1</v>
      </c>
      <c r="K89" s="22">
        <v>1</v>
      </c>
      <c r="L89" s="22"/>
      <c r="M89" s="22"/>
      <c r="N89" s="22"/>
      <c r="O89" s="22"/>
      <c r="P89" s="22"/>
      <c r="Q89" s="22">
        <v>1</v>
      </c>
      <c r="R89" s="23">
        <v>5</v>
      </c>
      <c r="S89" s="24">
        <v>1</v>
      </c>
      <c r="T89" s="25" t="s">
        <v>79</v>
      </c>
      <c r="U89" s="11" t="s">
        <v>111</v>
      </c>
      <c r="V89" s="26" t="str">
        <f>IF(OR(BD_ESTADISTICA_INF_B[[#This Row],[Jugador]]="eudald",BD_ESTADISTICA_INF_B[[#This Row],[Jugador]]="jules",BD_ESTADISTICA_INF_B[[#This Row],[Jugador]]="JAN"),"PORTERO","JUGADOR")</f>
        <v>JUGADOR</v>
      </c>
      <c r="W89" s="26">
        <f>IF(BD_ESTADISTICA_INF_B[[#This Row],[POSICION]]="jugador",BD_ESTADISTICA_INF_B[[#This Row],[Goles]],0)</f>
        <v>4</v>
      </c>
      <c r="X89" s="26">
        <f>IF(BD_ESTADISTICA_INF_B[[#This Row],[POSICION]]="portero",BD_ESTADISTICA_INF_B[[#This Row],[Lanzam.]]-BD_ESTADISTICA_INF_B[[#This Row],[Paradas]],0)</f>
        <v>0</v>
      </c>
      <c r="Y89" s="26">
        <f>IF(BD_ESTADISTICA_INF_B[[#This Row],[POSICION]]="jugador",BD_ESTADISTICA_INF_B[[#This Row],[Lanzam.]],0)</f>
        <v>4</v>
      </c>
      <c r="Z89" s="26">
        <f>IF(BD_ESTADISTICA_INF_B[[#This Row],[POSICION]]="portero",BD_ESTADISTICA_INF_B[[#This Row],[Lanzam.]],0)</f>
        <v>0</v>
      </c>
    </row>
    <row r="90" spans="1:26" hidden="1">
      <c r="A90" s="21" t="s">
        <v>26</v>
      </c>
      <c r="B90" s="21"/>
      <c r="C90" s="22">
        <v>0</v>
      </c>
      <c r="D90" s="22"/>
      <c r="E90" s="22">
        <v>2</v>
      </c>
      <c r="F90" s="8">
        <f>IF(BD_ESTADISTICA_INF_B[[#This Row],[Lanzam.]]="","",IF(BD_ESTADISTICA_INF_B[[#This Row],[POSICION]]="jugador",C90/E90,D90/E90))</f>
        <v>0</v>
      </c>
      <c r="G90" s="8"/>
      <c r="H90" s="8"/>
      <c r="I90" s="22">
        <v>3</v>
      </c>
      <c r="J90" s="22"/>
      <c r="K90" s="22">
        <v>2</v>
      </c>
      <c r="L90" s="22"/>
      <c r="M90" s="22"/>
      <c r="N90" s="22"/>
      <c r="O90" s="22"/>
      <c r="P90" s="22"/>
      <c r="Q90" s="22"/>
      <c r="R90" s="23">
        <v>5</v>
      </c>
      <c r="S90" s="24">
        <v>1</v>
      </c>
      <c r="T90" s="25" t="s">
        <v>79</v>
      </c>
      <c r="U90" s="11" t="s">
        <v>111</v>
      </c>
      <c r="V90" s="26" t="str">
        <f>IF(OR(BD_ESTADISTICA_INF_B[[#This Row],[Jugador]]="eudald",BD_ESTADISTICA_INF_B[[#This Row],[Jugador]]="jules",BD_ESTADISTICA_INF_B[[#This Row],[Jugador]]="JAN"),"PORTERO","JUGADOR")</f>
        <v>JUGADOR</v>
      </c>
      <c r="W90" s="26">
        <f>IF(BD_ESTADISTICA_INF_B[[#This Row],[POSICION]]="jugador",BD_ESTADISTICA_INF_B[[#This Row],[Goles]],0)</f>
        <v>0</v>
      </c>
      <c r="X90" s="26">
        <f>IF(BD_ESTADISTICA_INF_B[[#This Row],[POSICION]]="portero",BD_ESTADISTICA_INF_B[[#This Row],[Lanzam.]]-BD_ESTADISTICA_INF_B[[#This Row],[Paradas]],0)</f>
        <v>0</v>
      </c>
      <c r="Y90" s="26">
        <f>IF(BD_ESTADISTICA_INF_B[[#This Row],[POSICION]]="jugador",BD_ESTADISTICA_INF_B[[#This Row],[Lanzam.]],0)</f>
        <v>2</v>
      </c>
      <c r="Z90" s="26">
        <f>IF(BD_ESTADISTICA_INF_B[[#This Row],[POSICION]]="portero",BD_ESTADISTICA_INF_B[[#This Row],[Lanzam.]],0)</f>
        <v>0</v>
      </c>
    </row>
    <row r="91" spans="1:26" hidden="1">
      <c r="A91" s="21" t="s">
        <v>27</v>
      </c>
      <c r="B91" s="21"/>
      <c r="C91" s="22">
        <v>12</v>
      </c>
      <c r="D91" s="22"/>
      <c r="E91" s="22">
        <v>13</v>
      </c>
      <c r="F91" s="8">
        <f>IF(BD_ESTADISTICA_INF_B[[#This Row],[Lanzam.]]="","",IF(BD_ESTADISTICA_INF_B[[#This Row],[POSICION]]="jugador",C91/E91,D91/E91))</f>
        <v>0.92307692307692313</v>
      </c>
      <c r="G91" s="8"/>
      <c r="H91" s="8"/>
      <c r="I91" s="22">
        <v>1</v>
      </c>
      <c r="J91" s="22">
        <v>1</v>
      </c>
      <c r="K91" s="22"/>
      <c r="L91" s="22"/>
      <c r="M91" s="22"/>
      <c r="N91" s="22"/>
      <c r="O91" s="22">
        <v>4</v>
      </c>
      <c r="P91" s="22"/>
      <c r="Q91" s="22"/>
      <c r="R91" s="23">
        <v>5</v>
      </c>
      <c r="S91" s="24">
        <v>1</v>
      </c>
      <c r="T91" s="25" t="s">
        <v>79</v>
      </c>
      <c r="U91" s="11" t="s">
        <v>111</v>
      </c>
      <c r="V91" s="26" t="str">
        <f>IF(OR(BD_ESTADISTICA_INF_B[[#This Row],[Jugador]]="eudald",BD_ESTADISTICA_INF_B[[#This Row],[Jugador]]="jules",BD_ESTADISTICA_INF_B[[#This Row],[Jugador]]="JAN"),"PORTERO","JUGADOR")</f>
        <v>JUGADOR</v>
      </c>
      <c r="W91" s="26">
        <f>IF(BD_ESTADISTICA_INF_B[[#This Row],[POSICION]]="jugador",BD_ESTADISTICA_INF_B[[#This Row],[Goles]],0)</f>
        <v>12</v>
      </c>
      <c r="X91" s="26">
        <f>IF(BD_ESTADISTICA_INF_B[[#This Row],[POSICION]]="portero",BD_ESTADISTICA_INF_B[[#This Row],[Lanzam.]]-BD_ESTADISTICA_INF_B[[#This Row],[Paradas]],0)</f>
        <v>0</v>
      </c>
      <c r="Y91" s="26">
        <f>IF(BD_ESTADISTICA_INF_B[[#This Row],[POSICION]]="jugador",BD_ESTADISTICA_INF_B[[#This Row],[Lanzam.]],0)</f>
        <v>13</v>
      </c>
      <c r="Z91" s="26">
        <f>IF(BD_ESTADISTICA_INF_B[[#This Row],[POSICION]]="portero",BD_ESTADISTICA_INF_B[[#This Row],[Lanzam.]],0)</f>
        <v>0</v>
      </c>
    </row>
    <row r="92" spans="1:26" hidden="1">
      <c r="A92" s="21" t="s">
        <v>28</v>
      </c>
      <c r="B92" s="21"/>
      <c r="C92" s="22">
        <v>2</v>
      </c>
      <c r="D92" s="22"/>
      <c r="E92" s="22">
        <v>2</v>
      </c>
      <c r="F92" s="8">
        <f>IF(BD_ESTADISTICA_INF_B[[#This Row],[Lanzam.]]="","",IF(BD_ESTADISTICA_INF_B[[#This Row],[POSICION]]="jugador",C92/E92,D92/E92))</f>
        <v>1</v>
      </c>
      <c r="G92" s="8"/>
      <c r="H92" s="8"/>
      <c r="I92" s="22"/>
      <c r="J92" s="22"/>
      <c r="K92" s="22">
        <v>1</v>
      </c>
      <c r="L92" s="22"/>
      <c r="M92" s="22"/>
      <c r="N92" s="22"/>
      <c r="O92" s="22"/>
      <c r="P92" s="22"/>
      <c r="Q92" s="22"/>
      <c r="R92" s="23">
        <v>5</v>
      </c>
      <c r="S92" s="24">
        <v>1</v>
      </c>
      <c r="T92" s="25" t="s">
        <v>79</v>
      </c>
      <c r="U92" s="11" t="s">
        <v>111</v>
      </c>
      <c r="V92" s="26" t="str">
        <f>IF(OR(BD_ESTADISTICA_INF_B[[#This Row],[Jugador]]="eudald",BD_ESTADISTICA_INF_B[[#This Row],[Jugador]]="jules",BD_ESTADISTICA_INF_B[[#This Row],[Jugador]]="JAN"),"PORTERO","JUGADOR")</f>
        <v>JUGADOR</v>
      </c>
      <c r="W92" s="26">
        <f>IF(BD_ESTADISTICA_INF_B[[#This Row],[POSICION]]="jugador",BD_ESTADISTICA_INF_B[[#This Row],[Goles]],0)</f>
        <v>2</v>
      </c>
      <c r="X92" s="26">
        <f>IF(BD_ESTADISTICA_INF_B[[#This Row],[POSICION]]="portero",BD_ESTADISTICA_INF_B[[#This Row],[Lanzam.]]-BD_ESTADISTICA_INF_B[[#This Row],[Paradas]],0)</f>
        <v>0</v>
      </c>
      <c r="Y92" s="26">
        <f>IF(BD_ESTADISTICA_INF_B[[#This Row],[POSICION]]="jugador",BD_ESTADISTICA_INF_B[[#This Row],[Lanzam.]],0)</f>
        <v>2</v>
      </c>
      <c r="Z92" s="26">
        <f>IF(BD_ESTADISTICA_INF_B[[#This Row],[POSICION]]="portero",BD_ESTADISTICA_INF_B[[#This Row],[Lanzam.]],0)</f>
        <v>0</v>
      </c>
    </row>
    <row r="93" spans="1:26" hidden="1">
      <c r="A93" s="34" t="s">
        <v>31</v>
      </c>
      <c r="B93" s="34"/>
      <c r="C93" s="22"/>
      <c r="D93" s="22"/>
      <c r="E93" s="22"/>
      <c r="F93" s="8" t="str">
        <f>IF(BD_ESTADISTICA_INF_B[[#This Row],[Lanzam.]]="","",IF(BD_ESTADISTICA_INF_B[[#This Row],[POSICION]]="jugador",C93/E93,D93/E93))</f>
        <v/>
      </c>
      <c r="G93" s="8"/>
      <c r="H93" s="8"/>
      <c r="I93" s="22"/>
      <c r="J93" s="22"/>
      <c r="K93" s="22"/>
      <c r="L93" s="22"/>
      <c r="M93" s="22"/>
      <c r="N93" s="22"/>
      <c r="O93" s="22"/>
      <c r="P93" s="22"/>
      <c r="Q93" s="22"/>
      <c r="R93" s="23">
        <v>5</v>
      </c>
      <c r="S93" s="24">
        <v>1</v>
      </c>
      <c r="T93" s="25" t="s">
        <v>79</v>
      </c>
      <c r="U93" s="11" t="s">
        <v>111</v>
      </c>
      <c r="V93" s="26" t="str">
        <f>IF(OR(BD_ESTADISTICA_INF_B[[#This Row],[Jugador]]="eudald",BD_ESTADISTICA_INF_B[[#This Row],[Jugador]]="jules",BD_ESTADISTICA_INF_B[[#This Row],[Jugador]]="JAN"),"PORTERO","JUGADOR")</f>
        <v>PORTERO</v>
      </c>
      <c r="W93" s="26">
        <f>IF(BD_ESTADISTICA_INF_B[[#This Row],[POSICION]]="jugador",BD_ESTADISTICA_INF_B[[#This Row],[Goles]],0)</f>
        <v>0</v>
      </c>
      <c r="X93" s="26">
        <f>IF(BD_ESTADISTICA_INF_B[[#This Row],[POSICION]]="portero",BD_ESTADISTICA_INF_B[[#This Row],[Lanzam.]]-BD_ESTADISTICA_INF_B[[#This Row],[Paradas]],0)</f>
        <v>0</v>
      </c>
      <c r="Y93" s="26">
        <f>IF(BD_ESTADISTICA_INF_B[[#This Row],[POSICION]]="jugador",BD_ESTADISTICA_INF_B[[#This Row],[Lanzam.]],0)</f>
        <v>0</v>
      </c>
      <c r="Z93" s="26">
        <f>IF(BD_ESTADISTICA_INF_B[[#This Row],[POSICION]]="portero",BD_ESTADISTICA_INF_B[[#This Row],[Lanzam.]],0)</f>
        <v>0</v>
      </c>
    </row>
    <row r="94" spans="1:26" hidden="1">
      <c r="A94" s="21" t="s">
        <v>29</v>
      </c>
      <c r="B94" s="21"/>
      <c r="C94" s="28">
        <v>9</v>
      </c>
      <c r="D94" s="22">
        <v>9</v>
      </c>
      <c r="E94" s="22">
        <v>34</v>
      </c>
      <c r="F94" s="8">
        <f>IF(BD_ESTADISTICA_INF_B[[#This Row],[Lanzam.]]="","",IF(BD_ESTADISTICA_INF_B[[#This Row],[POSICION]]="jugador",C94/E94,D94/E94))</f>
        <v>0.26470588235294118</v>
      </c>
      <c r="G94" s="8"/>
      <c r="H94" s="8"/>
      <c r="I94" s="22"/>
      <c r="J94" s="22"/>
      <c r="K94" s="22"/>
      <c r="L94" s="22"/>
      <c r="M94" s="22"/>
      <c r="N94" s="22"/>
      <c r="O94" s="22"/>
      <c r="P94" s="22"/>
      <c r="Q94" s="22"/>
      <c r="R94" s="23">
        <v>5</v>
      </c>
      <c r="S94" s="24">
        <v>1</v>
      </c>
      <c r="T94" s="25" t="s">
        <v>79</v>
      </c>
      <c r="U94" s="11" t="s">
        <v>111</v>
      </c>
      <c r="V94" s="26" t="str">
        <f>IF(OR(BD_ESTADISTICA_INF_B[[#This Row],[Jugador]]="eudald",BD_ESTADISTICA_INF_B[[#This Row],[Jugador]]="jules",BD_ESTADISTICA_INF_B[[#This Row],[Jugador]]="JAN"),"PORTERO","JUGADOR")</f>
        <v>PORTERO</v>
      </c>
      <c r="W94" s="26">
        <f>IF(BD_ESTADISTICA_INF_B[[#This Row],[POSICION]]="jugador",BD_ESTADISTICA_INF_B[[#This Row],[Goles]],0)</f>
        <v>0</v>
      </c>
      <c r="X94" s="26">
        <f>IF(BD_ESTADISTICA_INF_B[[#This Row],[POSICION]]="portero",BD_ESTADISTICA_INF_B[[#This Row],[Lanzam.]]-BD_ESTADISTICA_INF_B[[#This Row],[Paradas]],0)</f>
        <v>25</v>
      </c>
      <c r="Y94" s="26">
        <f>IF(BD_ESTADISTICA_INF_B[[#This Row],[POSICION]]="jugador",BD_ESTADISTICA_INF_B[[#This Row],[Lanzam.]],0)</f>
        <v>0</v>
      </c>
      <c r="Z94" s="26">
        <f>IF(BD_ESTADISTICA_INF_B[[#This Row],[POSICION]]="portero",BD_ESTADISTICA_INF_B[[#This Row],[Lanzam.]],0)</f>
        <v>34</v>
      </c>
    </row>
    <row r="95" spans="1:26" hidden="1">
      <c r="A95" s="34" t="s">
        <v>30</v>
      </c>
      <c r="B95" s="34"/>
      <c r="C95" s="22"/>
      <c r="D95" s="22"/>
      <c r="E95" s="22"/>
      <c r="F95" s="8" t="str">
        <f>IF(BD_ESTADISTICA_INF_B[[#This Row],[Lanzam.]]="","",IF(BD_ESTADISTICA_INF_B[[#This Row],[POSICION]]="jugador",C95/E95,D95/E95))</f>
        <v/>
      </c>
      <c r="G95" s="8"/>
      <c r="H95" s="8"/>
      <c r="I95" s="22"/>
      <c r="J95" s="22"/>
      <c r="K95" s="22"/>
      <c r="L95" s="22"/>
      <c r="M95" s="22"/>
      <c r="N95" s="22"/>
      <c r="O95" s="22"/>
      <c r="P95" s="22"/>
      <c r="Q95" s="22"/>
      <c r="R95" s="23">
        <v>5</v>
      </c>
      <c r="S95" s="24">
        <v>1</v>
      </c>
      <c r="T95" s="25" t="s">
        <v>79</v>
      </c>
      <c r="U95" s="11" t="s">
        <v>111</v>
      </c>
      <c r="V95" s="26" t="str">
        <f>IF(OR(BD_ESTADISTICA_INF_B[[#This Row],[Jugador]]="eudald",BD_ESTADISTICA_INF_B[[#This Row],[Jugador]]="jules",BD_ESTADISTICA_INF_B[[#This Row],[Jugador]]="JAN"),"PORTERO","JUGADOR")</f>
        <v>PORTERO</v>
      </c>
      <c r="W95" s="26">
        <f>IF(BD_ESTADISTICA_INF_B[[#This Row],[POSICION]]="jugador",BD_ESTADISTICA_INF_B[[#This Row],[Goles]],0)</f>
        <v>0</v>
      </c>
      <c r="X95" s="26">
        <f>IF(BD_ESTADISTICA_INF_B[[#This Row],[POSICION]]="portero",BD_ESTADISTICA_INF_B[[#This Row],[Lanzam.]]-BD_ESTADISTICA_INF_B[[#This Row],[Paradas]],0)</f>
        <v>0</v>
      </c>
      <c r="Y95" s="26">
        <f>IF(BD_ESTADISTICA_INF_B[[#This Row],[POSICION]]="jugador",BD_ESTADISTICA_INF_B[[#This Row],[Lanzam.]],0)</f>
        <v>0</v>
      </c>
      <c r="Z95" s="26">
        <f>IF(BD_ESTADISTICA_INF_B[[#This Row],[POSICION]]="portero",BD_ESTADISTICA_INF_B[[#This Row],[Lanzam.]],0)</f>
        <v>0</v>
      </c>
    </row>
    <row r="96" spans="1:26" hidden="1">
      <c r="A96" s="21" t="s">
        <v>42</v>
      </c>
      <c r="B96" s="21"/>
      <c r="C96" s="22">
        <v>0</v>
      </c>
      <c r="D96" s="22"/>
      <c r="E96" s="22">
        <v>2</v>
      </c>
      <c r="F96" s="8">
        <f>IF(BD_ESTADISTICA_INF_B[[#This Row],[Lanzam.]]="","",IF(BD_ESTADISTICA_INF_B[[#This Row],[POSICION]]="jugador",C96/E96,D96/E96))</f>
        <v>0</v>
      </c>
      <c r="G96" s="8"/>
      <c r="H96" s="8"/>
      <c r="I96" s="22"/>
      <c r="J96" s="22"/>
      <c r="K96" s="22">
        <v>1</v>
      </c>
      <c r="L96" s="22"/>
      <c r="M96" s="22"/>
      <c r="N96" s="22"/>
      <c r="O96" s="22"/>
      <c r="P96" s="22"/>
      <c r="Q96" s="22"/>
      <c r="R96" s="23">
        <v>5</v>
      </c>
      <c r="S96" s="24">
        <v>1</v>
      </c>
      <c r="T96" s="25" t="s">
        <v>79</v>
      </c>
      <c r="U96" s="11" t="s">
        <v>111</v>
      </c>
      <c r="V96" s="26" t="str">
        <f>IF(OR(BD_ESTADISTICA_INF_B[[#This Row],[Jugador]]="eudald",BD_ESTADISTICA_INF_B[[#This Row],[Jugador]]="jules",BD_ESTADISTICA_INF_B[[#This Row],[Jugador]]="JAN"),"PORTERO","JUGADOR")</f>
        <v>JUGADOR</v>
      </c>
      <c r="W96" s="26">
        <f>IF(BD_ESTADISTICA_INF_B[[#This Row],[POSICION]]="jugador",BD_ESTADISTICA_INF_B[[#This Row],[Goles]],0)</f>
        <v>0</v>
      </c>
      <c r="X96" s="26">
        <f>IF(BD_ESTADISTICA_INF_B[[#This Row],[POSICION]]="portero",BD_ESTADISTICA_INF_B[[#This Row],[Lanzam.]]-BD_ESTADISTICA_INF_B[[#This Row],[Paradas]],0)</f>
        <v>0</v>
      </c>
      <c r="Y96" s="26">
        <f>IF(BD_ESTADISTICA_INF_B[[#This Row],[POSICION]]="jugador",BD_ESTADISTICA_INF_B[[#This Row],[Lanzam.]],0)</f>
        <v>2</v>
      </c>
      <c r="Z96" s="26">
        <f>IF(BD_ESTADISTICA_INF_B[[#This Row],[POSICION]]="portero",BD_ESTADISTICA_INF_B[[#This Row],[Lanzam.]],0)</f>
        <v>0</v>
      </c>
    </row>
    <row r="97" spans="1:26" hidden="1">
      <c r="A97" s="34" t="s">
        <v>22</v>
      </c>
      <c r="B97" s="34"/>
      <c r="C97" s="22"/>
      <c r="D97" s="22"/>
      <c r="E97" s="22"/>
      <c r="F97" s="8" t="str">
        <f>IF(BD_ESTADISTICA_INF_B[[#This Row],[Lanzam.]]="","",IF(BD_ESTADISTICA_INF_B[[#This Row],[POSICION]]="jugador",C97/E97,D97/E97))</f>
        <v/>
      </c>
      <c r="G97" s="8"/>
      <c r="H97" s="8"/>
      <c r="I97" s="22"/>
      <c r="J97" s="22"/>
      <c r="K97" s="22"/>
      <c r="L97" s="22"/>
      <c r="M97" s="22"/>
      <c r="N97" s="22"/>
      <c r="O97" s="22"/>
      <c r="P97" s="22"/>
      <c r="Q97" s="22"/>
      <c r="R97" s="23">
        <v>5</v>
      </c>
      <c r="S97" s="24">
        <v>1</v>
      </c>
      <c r="T97" s="25" t="s">
        <v>79</v>
      </c>
      <c r="U97" s="11" t="s">
        <v>111</v>
      </c>
      <c r="V97" s="26" t="str">
        <f>IF(OR(BD_ESTADISTICA_INF_B[[#This Row],[Jugador]]="eudald",BD_ESTADISTICA_INF_B[[#This Row],[Jugador]]="jules",BD_ESTADISTICA_INF_B[[#This Row],[Jugador]]="JAN"),"PORTERO","JUGADOR")</f>
        <v>JUGADOR</v>
      </c>
      <c r="W97" s="26">
        <f>IF(BD_ESTADISTICA_INF_B[[#This Row],[POSICION]]="jugador",BD_ESTADISTICA_INF_B[[#This Row],[Goles]],0)</f>
        <v>0</v>
      </c>
      <c r="X97" s="26">
        <f>IF(BD_ESTADISTICA_INF_B[[#This Row],[POSICION]]="portero",BD_ESTADISTICA_INF_B[[#This Row],[Lanzam.]]-BD_ESTADISTICA_INF_B[[#This Row],[Paradas]],0)</f>
        <v>0</v>
      </c>
      <c r="Y97" s="26">
        <f>IF(BD_ESTADISTICA_INF_B[[#This Row],[POSICION]]="jugador",BD_ESTADISTICA_INF_B[[#This Row],[Lanzam.]],0)</f>
        <v>0</v>
      </c>
      <c r="Z97" s="26">
        <f>IF(BD_ESTADISTICA_INF_B[[#This Row],[POSICION]]="portero",BD_ESTADISTICA_INF_B[[#This Row],[Lanzam.]],0)</f>
        <v>0</v>
      </c>
    </row>
    <row r="98" spans="1:26" hidden="1">
      <c r="A98" s="21" t="s">
        <v>16</v>
      </c>
      <c r="B98" s="21"/>
      <c r="C98" s="22">
        <v>3</v>
      </c>
      <c r="D98" s="22"/>
      <c r="E98" s="22">
        <v>4</v>
      </c>
      <c r="F98" s="8">
        <f>IF(BD_ESTADISTICA_INF_B[[#This Row],[Lanzam.]]="","",IF(BD_ESTADISTICA_INF_B[[#This Row],[POSICION]]="jugador",C98/E98,D98/E98))</f>
        <v>0.75</v>
      </c>
      <c r="G98" s="8"/>
      <c r="H98" s="8"/>
      <c r="I98" s="22">
        <v>4</v>
      </c>
      <c r="J98" s="22"/>
      <c r="K98" s="22"/>
      <c r="L98" s="22"/>
      <c r="M98" s="22"/>
      <c r="N98" s="22"/>
      <c r="O98" s="22">
        <v>1</v>
      </c>
      <c r="P98" s="22"/>
      <c r="Q98" s="22"/>
      <c r="R98" s="23">
        <v>6</v>
      </c>
      <c r="S98" s="24">
        <v>1</v>
      </c>
      <c r="T98" s="25" t="s">
        <v>84</v>
      </c>
      <c r="U98" s="11" t="s">
        <v>104</v>
      </c>
      <c r="V98" s="26" t="str">
        <f>IF(OR(BD_ESTADISTICA_INF_B[[#This Row],[Jugador]]="eudald",BD_ESTADISTICA_INF_B[[#This Row],[Jugador]]="jules",BD_ESTADISTICA_INF_B[[#This Row],[Jugador]]="JAN"),"PORTERO","JUGADOR")</f>
        <v>JUGADOR</v>
      </c>
      <c r="W98" s="26">
        <f>IF(BD_ESTADISTICA_INF_B[[#This Row],[POSICION]]="jugador",BD_ESTADISTICA_INF_B[[#This Row],[Goles]],0)</f>
        <v>3</v>
      </c>
      <c r="X98" s="26">
        <f>IF(BD_ESTADISTICA_INF_B[[#This Row],[POSICION]]="portero",BD_ESTADISTICA_INF_B[[#This Row],[Lanzam.]]-BD_ESTADISTICA_INF_B[[#This Row],[Paradas]],0)</f>
        <v>0</v>
      </c>
      <c r="Y98" s="26">
        <f>IF(BD_ESTADISTICA_INF_B[[#This Row],[POSICION]]="jugador",BD_ESTADISTICA_INF_B[[#This Row],[Lanzam.]],0)</f>
        <v>4</v>
      </c>
      <c r="Z98" s="26">
        <f>IF(BD_ESTADISTICA_INF_B[[#This Row],[POSICION]]="portero",BD_ESTADISTICA_INF_B[[#This Row],[Lanzam.]],0)</f>
        <v>0</v>
      </c>
    </row>
    <row r="99" spans="1:26" hidden="1">
      <c r="A99" s="21" t="s">
        <v>17</v>
      </c>
      <c r="B99" s="21"/>
      <c r="C99" s="22">
        <v>1</v>
      </c>
      <c r="D99" s="22"/>
      <c r="E99" s="22">
        <v>2</v>
      </c>
      <c r="F99" s="8">
        <f>IF(BD_ESTADISTICA_INF_B[[#This Row],[Lanzam.]]="","",IF(BD_ESTADISTICA_INF_B[[#This Row],[POSICION]]="jugador",C99/E99,D99/E99))</f>
        <v>0.5</v>
      </c>
      <c r="G99" s="8"/>
      <c r="H99" s="8"/>
      <c r="I99" s="22">
        <v>1</v>
      </c>
      <c r="J99" s="22"/>
      <c r="K99" s="22"/>
      <c r="L99" s="22"/>
      <c r="M99" s="22"/>
      <c r="N99" s="22"/>
      <c r="O99" s="22">
        <v>2</v>
      </c>
      <c r="P99" s="22"/>
      <c r="Q99" s="22"/>
      <c r="R99" s="23">
        <v>6</v>
      </c>
      <c r="S99" s="24">
        <v>1</v>
      </c>
      <c r="T99" s="25" t="s">
        <v>84</v>
      </c>
      <c r="U99" s="11" t="s">
        <v>104</v>
      </c>
      <c r="V99" s="26" t="str">
        <f>IF(OR(BD_ESTADISTICA_INF_B[[#This Row],[Jugador]]="eudald",BD_ESTADISTICA_INF_B[[#This Row],[Jugador]]="jules",BD_ESTADISTICA_INF_B[[#This Row],[Jugador]]="JAN"),"PORTERO","JUGADOR")</f>
        <v>JUGADOR</v>
      </c>
      <c r="W99" s="26">
        <f>IF(BD_ESTADISTICA_INF_B[[#This Row],[POSICION]]="jugador",BD_ESTADISTICA_INF_B[[#This Row],[Goles]],0)</f>
        <v>1</v>
      </c>
      <c r="X99" s="26">
        <f>IF(BD_ESTADISTICA_INF_B[[#This Row],[POSICION]]="portero",BD_ESTADISTICA_INF_B[[#This Row],[Lanzam.]]-BD_ESTADISTICA_INF_B[[#This Row],[Paradas]],0)</f>
        <v>0</v>
      </c>
      <c r="Y99" s="26">
        <f>IF(BD_ESTADISTICA_INF_B[[#This Row],[POSICION]]="jugador",BD_ESTADISTICA_INF_B[[#This Row],[Lanzam.]],0)</f>
        <v>2</v>
      </c>
      <c r="Z99" s="26">
        <f>IF(BD_ESTADISTICA_INF_B[[#This Row],[POSICION]]="portero",BD_ESTADISTICA_INF_B[[#This Row],[Lanzam.]],0)</f>
        <v>0</v>
      </c>
    </row>
    <row r="100" spans="1:26" hidden="1">
      <c r="A100" s="21" t="s">
        <v>18</v>
      </c>
      <c r="B100" s="21"/>
      <c r="C100" s="22">
        <v>2</v>
      </c>
      <c r="D100" s="22"/>
      <c r="E100" s="22">
        <v>2</v>
      </c>
      <c r="F100" s="8">
        <f>IF(BD_ESTADISTICA_INF_B[[#This Row],[Lanzam.]]="","",IF(BD_ESTADISTICA_INF_B[[#This Row],[POSICION]]="jugador",C100/E100,D100/E100))</f>
        <v>1</v>
      </c>
      <c r="G100" s="8"/>
      <c r="H100" s="8"/>
      <c r="I100" s="22">
        <v>15</v>
      </c>
      <c r="J100" s="22"/>
      <c r="K100" s="22">
        <v>2</v>
      </c>
      <c r="L100" s="22"/>
      <c r="M100" s="22"/>
      <c r="N100" s="22"/>
      <c r="O100" s="22">
        <v>1</v>
      </c>
      <c r="P100" s="22"/>
      <c r="Q100" s="22"/>
      <c r="R100" s="23">
        <v>6</v>
      </c>
      <c r="S100" s="24">
        <v>1</v>
      </c>
      <c r="T100" s="25" t="s">
        <v>84</v>
      </c>
      <c r="U100" s="11" t="s">
        <v>104</v>
      </c>
      <c r="V100" s="26" t="str">
        <f>IF(OR(BD_ESTADISTICA_INF_B[[#This Row],[Jugador]]="eudald",BD_ESTADISTICA_INF_B[[#This Row],[Jugador]]="jules",BD_ESTADISTICA_INF_B[[#This Row],[Jugador]]="JAN"),"PORTERO","JUGADOR")</f>
        <v>JUGADOR</v>
      </c>
      <c r="W100" s="26">
        <f>IF(BD_ESTADISTICA_INF_B[[#This Row],[POSICION]]="jugador",BD_ESTADISTICA_INF_B[[#This Row],[Goles]],0)</f>
        <v>2</v>
      </c>
      <c r="X100" s="26">
        <f>IF(BD_ESTADISTICA_INF_B[[#This Row],[POSICION]]="portero",BD_ESTADISTICA_INF_B[[#This Row],[Lanzam.]]-BD_ESTADISTICA_INF_B[[#This Row],[Paradas]],0)</f>
        <v>0</v>
      </c>
      <c r="Y100" s="26">
        <f>IF(BD_ESTADISTICA_INF_B[[#This Row],[POSICION]]="jugador",BD_ESTADISTICA_INF_B[[#This Row],[Lanzam.]],0)</f>
        <v>2</v>
      </c>
      <c r="Z100" s="26">
        <f>IF(BD_ESTADISTICA_INF_B[[#This Row],[POSICION]]="portero",BD_ESTADISTICA_INF_B[[#This Row],[Lanzam.]],0)</f>
        <v>0</v>
      </c>
    </row>
    <row r="101" spans="1:26" hidden="1">
      <c r="A101" s="21" t="s">
        <v>19</v>
      </c>
      <c r="B101" s="21"/>
      <c r="C101" s="22">
        <v>1</v>
      </c>
      <c r="D101" s="22"/>
      <c r="E101" s="22">
        <v>1</v>
      </c>
      <c r="F101" s="8">
        <f>IF(BD_ESTADISTICA_INF_B[[#This Row],[Lanzam.]]="","",IF(BD_ESTADISTICA_INF_B[[#This Row],[POSICION]]="jugador",C101/E101,D101/E101))</f>
        <v>1</v>
      </c>
      <c r="G101" s="8"/>
      <c r="H101" s="8"/>
      <c r="I101" s="22">
        <v>4</v>
      </c>
      <c r="J101" s="22">
        <v>1</v>
      </c>
      <c r="K101" s="22"/>
      <c r="L101" s="22"/>
      <c r="M101" s="22"/>
      <c r="N101" s="22"/>
      <c r="O101" s="22"/>
      <c r="P101" s="22"/>
      <c r="Q101" s="22">
        <v>1</v>
      </c>
      <c r="R101" s="23">
        <v>6</v>
      </c>
      <c r="S101" s="24">
        <v>1</v>
      </c>
      <c r="T101" s="25" t="s">
        <v>84</v>
      </c>
      <c r="U101" s="11" t="s">
        <v>104</v>
      </c>
      <c r="V101" s="26" t="str">
        <f>IF(OR(BD_ESTADISTICA_INF_B[[#This Row],[Jugador]]="eudald",BD_ESTADISTICA_INF_B[[#This Row],[Jugador]]="jules",BD_ESTADISTICA_INF_B[[#This Row],[Jugador]]="JAN"),"PORTERO","JUGADOR")</f>
        <v>JUGADOR</v>
      </c>
      <c r="W101" s="26">
        <f>IF(BD_ESTADISTICA_INF_B[[#This Row],[POSICION]]="jugador",BD_ESTADISTICA_INF_B[[#This Row],[Goles]],0)</f>
        <v>1</v>
      </c>
      <c r="X101" s="26">
        <f>IF(BD_ESTADISTICA_INF_B[[#This Row],[POSICION]]="portero",BD_ESTADISTICA_INF_B[[#This Row],[Lanzam.]]-BD_ESTADISTICA_INF_B[[#This Row],[Paradas]],0)</f>
        <v>0</v>
      </c>
      <c r="Y101" s="26">
        <f>IF(BD_ESTADISTICA_INF_B[[#This Row],[POSICION]]="jugador",BD_ESTADISTICA_INF_B[[#This Row],[Lanzam.]],0)</f>
        <v>1</v>
      </c>
      <c r="Z101" s="26">
        <f>IF(BD_ESTADISTICA_INF_B[[#This Row],[POSICION]]="portero",BD_ESTADISTICA_INF_B[[#This Row],[Lanzam.]],0)</f>
        <v>0</v>
      </c>
    </row>
    <row r="102" spans="1:26" hidden="1">
      <c r="A102" s="34" t="s">
        <v>20</v>
      </c>
      <c r="B102" s="34"/>
      <c r="C102" s="22"/>
      <c r="D102" s="22"/>
      <c r="E102" s="22"/>
      <c r="F102" s="8" t="str">
        <f>IF(BD_ESTADISTICA_INF_B[[#This Row],[Lanzam.]]="","",IF(BD_ESTADISTICA_INF_B[[#This Row],[POSICION]]="jugador",C102/E102,D102/E102))</f>
        <v/>
      </c>
      <c r="G102" s="8"/>
      <c r="H102" s="8"/>
      <c r="I102" s="22"/>
      <c r="J102" s="22"/>
      <c r="K102" s="22"/>
      <c r="L102" s="22"/>
      <c r="M102" s="22"/>
      <c r="N102" s="22"/>
      <c r="O102" s="22"/>
      <c r="P102" s="22"/>
      <c r="Q102" s="22"/>
      <c r="R102" s="23">
        <v>6</v>
      </c>
      <c r="S102" s="24">
        <v>1</v>
      </c>
      <c r="T102" s="25" t="s">
        <v>84</v>
      </c>
      <c r="U102" s="11" t="s">
        <v>104</v>
      </c>
      <c r="V102" s="26" t="str">
        <f>IF(OR(BD_ESTADISTICA_INF_B[[#This Row],[Jugador]]="eudald",BD_ESTADISTICA_INF_B[[#This Row],[Jugador]]="jules",BD_ESTADISTICA_INF_B[[#This Row],[Jugador]]="JAN"),"PORTERO","JUGADOR")</f>
        <v>JUGADOR</v>
      </c>
      <c r="W102" s="26">
        <f>IF(BD_ESTADISTICA_INF_B[[#This Row],[POSICION]]="jugador",BD_ESTADISTICA_INF_B[[#This Row],[Goles]],0)</f>
        <v>0</v>
      </c>
      <c r="X102" s="26">
        <f>IF(BD_ESTADISTICA_INF_B[[#This Row],[POSICION]]="portero",BD_ESTADISTICA_INF_B[[#This Row],[Lanzam.]]-BD_ESTADISTICA_INF_B[[#This Row],[Paradas]],0)</f>
        <v>0</v>
      </c>
      <c r="Y102" s="26">
        <f>IF(BD_ESTADISTICA_INF_B[[#This Row],[POSICION]]="jugador",BD_ESTADISTICA_INF_B[[#This Row],[Lanzam.]],0)</f>
        <v>0</v>
      </c>
      <c r="Z102" s="26">
        <f>IF(BD_ESTADISTICA_INF_B[[#This Row],[POSICION]]="portero",BD_ESTADISTICA_INF_B[[#This Row],[Lanzam.]],0)</f>
        <v>0</v>
      </c>
    </row>
    <row r="103" spans="1:26" hidden="1">
      <c r="A103" s="21" t="s">
        <v>21</v>
      </c>
      <c r="B103" s="21"/>
      <c r="C103" s="22">
        <v>4</v>
      </c>
      <c r="D103" s="22"/>
      <c r="E103" s="22">
        <v>5</v>
      </c>
      <c r="F103" s="8">
        <f>IF(BD_ESTADISTICA_INF_B[[#This Row],[Lanzam.]]="","",IF(BD_ESTADISTICA_INF_B[[#This Row],[POSICION]]="jugador",C103/E103,D103/E103))</f>
        <v>0.8</v>
      </c>
      <c r="G103" s="8"/>
      <c r="H103" s="8"/>
      <c r="I103" s="22"/>
      <c r="J103" s="22"/>
      <c r="K103" s="22"/>
      <c r="L103" s="22"/>
      <c r="M103" s="22">
        <v>1</v>
      </c>
      <c r="N103" s="22"/>
      <c r="O103" s="22"/>
      <c r="P103" s="22"/>
      <c r="Q103" s="22">
        <v>1</v>
      </c>
      <c r="R103" s="23">
        <v>6</v>
      </c>
      <c r="S103" s="24">
        <v>1</v>
      </c>
      <c r="T103" s="25" t="s">
        <v>84</v>
      </c>
      <c r="U103" s="11" t="s">
        <v>104</v>
      </c>
      <c r="V103" s="26" t="str">
        <f>IF(OR(BD_ESTADISTICA_INF_B[[#This Row],[Jugador]]="eudald",BD_ESTADISTICA_INF_B[[#This Row],[Jugador]]="jules",BD_ESTADISTICA_INF_B[[#This Row],[Jugador]]="JAN"),"PORTERO","JUGADOR")</f>
        <v>JUGADOR</v>
      </c>
      <c r="W103" s="26">
        <f>IF(BD_ESTADISTICA_INF_B[[#This Row],[POSICION]]="jugador",BD_ESTADISTICA_INF_B[[#This Row],[Goles]],0)</f>
        <v>4</v>
      </c>
      <c r="X103" s="26">
        <f>IF(BD_ESTADISTICA_INF_B[[#This Row],[POSICION]]="portero",BD_ESTADISTICA_INF_B[[#This Row],[Lanzam.]]-BD_ESTADISTICA_INF_B[[#This Row],[Paradas]],0)</f>
        <v>0</v>
      </c>
      <c r="Y103" s="26">
        <f>IF(BD_ESTADISTICA_INF_B[[#This Row],[POSICION]]="jugador",BD_ESTADISTICA_INF_B[[#This Row],[Lanzam.]],0)</f>
        <v>5</v>
      </c>
      <c r="Z103" s="26">
        <f>IF(BD_ESTADISTICA_INF_B[[#This Row],[POSICION]]="portero",BD_ESTADISTICA_INF_B[[#This Row],[Lanzam.]],0)</f>
        <v>0</v>
      </c>
    </row>
    <row r="104" spans="1:26" hidden="1">
      <c r="A104" s="21" t="s">
        <v>40</v>
      </c>
      <c r="B104" s="21"/>
      <c r="C104" s="22">
        <v>3</v>
      </c>
      <c r="D104" s="22"/>
      <c r="E104" s="22">
        <v>3</v>
      </c>
      <c r="F104" s="8">
        <f>IF(BD_ESTADISTICA_INF_B[[#This Row],[Lanzam.]]="","",IF(BD_ESTADISTICA_INF_B[[#This Row],[POSICION]]="jugador",C104/E104,D104/E104))</f>
        <v>1</v>
      </c>
      <c r="G104" s="8"/>
      <c r="H104" s="8"/>
      <c r="I104" s="22">
        <v>3</v>
      </c>
      <c r="J104" s="22"/>
      <c r="K104" s="22"/>
      <c r="L104" s="22"/>
      <c r="M104" s="22"/>
      <c r="N104" s="22">
        <v>1</v>
      </c>
      <c r="O104" s="22">
        <v>2</v>
      </c>
      <c r="P104" s="22"/>
      <c r="Q104" s="22"/>
      <c r="R104" s="23">
        <v>6</v>
      </c>
      <c r="S104" s="24">
        <v>1</v>
      </c>
      <c r="T104" s="25" t="s">
        <v>84</v>
      </c>
      <c r="U104" s="11" t="s">
        <v>104</v>
      </c>
      <c r="V104" s="26" t="str">
        <f>IF(OR(BD_ESTADISTICA_INF_B[[#This Row],[Jugador]]="eudald",BD_ESTADISTICA_INF_B[[#This Row],[Jugador]]="jules",BD_ESTADISTICA_INF_B[[#This Row],[Jugador]]="JAN"),"PORTERO","JUGADOR")</f>
        <v>JUGADOR</v>
      </c>
      <c r="W104" s="26">
        <f>IF(BD_ESTADISTICA_INF_B[[#This Row],[POSICION]]="jugador",BD_ESTADISTICA_INF_B[[#This Row],[Goles]],0)</f>
        <v>3</v>
      </c>
      <c r="X104" s="26">
        <f>IF(BD_ESTADISTICA_INF_B[[#This Row],[POSICION]]="portero",BD_ESTADISTICA_INF_B[[#This Row],[Lanzam.]]-BD_ESTADISTICA_INF_B[[#This Row],[Paradas]],0)</f>
        <v>0</v>
      </c>
      <c r="Y104" s="26">
        <f>IF(BD_ESTADISTICA_INF_B[[#This Row],[POSICION]]="jugador",BD_ESTADISTICA_INF_B[[#This Row],[Lanzam.]],0)</f>
        <v>3</v>
      </c>
      <c r="Z104" s="26">
        <f>IF(BD_ESTADISTICA_INF_B[[#This Row],[POSICION]]="portero",BD_ESTADISTICA_INF_B[[#This Row],[Lanzam.]],0)</f>
        <v>0</v>
      </c>
    </row>
    <row r="105" spans="1:26" hidden="1">
      <c r="A105" s="21" t="s">
        <v>41</v>
      </c>
      <c r="B105" s="21"/>
      <c r="C105" s="22">
        <v>5</v>
      </c>
      <c r="D105" s="22"/>
      <c r="E105" s="22">
        <v>5</v>
      </c>
      <c r="F105" s="8">
        <f>IF(BD_ESTADISTICA_INF_B[[#This Row],[Lanzam.]]="","",IF(BD_ESTADISTICA_INF_B[[#This Row],[POSICION]]="jugador",C105/E105,D105/E105))</f>
        <v>1</v>
      </c>
      <c r="G105" s="8"/>
      <c r="H105" s="8"/>
      <c r="I105" s="22"/>
      <c r="J105" s="22"/>
      <c r="K105" s="22"/>
      <c r="L105" s="22"/>
      <c r="M105" s="22"/>
      <c r="N105" s="22"/>
      <c r="O105" s="22">
        <v>1</v>
      </c>
      <c r="P105" s="22"/>
      <c r="Q105" s="22"/>
      <c r="R105" s="23">
        <v>6</v>
      </c>
      <c r="S105" s="24">
        <v>1</v>
      </c>
      <c r="T105" s="25" t="s">
        <v>84</v>
      </c>
      <c r="U105" s="11" t="s">
        <v>104</v>
      </c>
      <c r="V105" s="26" t="str">
        <f>IF(OR(BD_ESTADISTICA_INF_B[[#This Row],[Jugador]]="eudald",BD_ESTADISTICA_INF_B[[#This Row],[Jugador]]="jules",BD_ESTADISTICA_INF_B[[#This Row],[Jugador]]="JAN"),"PORTERO","JUGADOR")</f>
        <v>JUGADOR</v>
      </c>
      <c r="W105" s="26">
        <f>IF(BD_ESTADISTICA_INF_B[[#This Row],[POSICION]]="jugador",BD_ESTADISTICA_INF_B[[#This Row],[Goles]],0)</f>
        <v>5</v>
      </c>
      <c r="X105" s="26">
        <f>IF(BD_ESTADISTICA_INF_B[[#This Row],[POSICION]]="portero",BD_ESTADISTICA_INF_B[[#This Row],[Lanzam.]]-BD_ESTADISTICA_INF_B[[#This Row],[Paradas]],0)</f>
        <v>0</v>
      </c>
      <c r="Y105" s="26">
        <f>IF(BD_ESTADISTICA_INF_B[[#This Row],[POSICION]]="jugador",BD_ESTADISTICA_INF_B[[#This Row],[Lanzam.]],0)</f>
        <v>5</v>
      </c>
      <c r="Z105" s="26">
        <f>IF(BD_ESTADISTICA_INF_B[[#This Row],[POSICION]]="portero",BD_ESTADISTICA_INF_B[[#This Row],[Lanzam.]],0)</f>
        <v>0</v>
      </c>
    </row>
    <row r="106" spans="1:26" hidden="1">
      <c r="A106" s="21" t="s">
        <v>23</v>
      </c>
      <c r="B106" s="21"/>
      <c r="C106" s="22">
        <v>2</v>
      </c>
      <c r="D106" s="22"/>
      <c r="E106" s="22">
        <v>3</v>
      </c>
      <c r="F106" s="8">
        <f>IF(BD_ESTADISTICA_INF_B[[#This Row],[Lanzam.]]="","",IF(BD_ESTADISTICA_INF_B[[#This Row],[POSICION]]="jugador",C106/E106,D106/E106))</f>
        <v>0.66666666666666663</v>
      </c>
      <c r="G106" s="8"/>
      <c r="H106" s="8"/>
      <c r="I106" s="22">
        <v>1</v>
      </c>
      <c r="J106" s="22"/>
      <c r="K106" s="22"/>
      <c r="L106" s="22"/>
      <c r="M106" s="22"/>
      <c r="N106" s="22"/>
      <c r="O106" s="22">
        <v>1</v>
      </c>
      <c r="P106" s="22">
        <v>1</v>
      </c>
      <c r="Q106" s="22">
        <v>2</v>
      </c>
      <c r="R106" s="23">
        <v>6</v>
      </c>
      <c r="S106" s="24">
        <v>1</v>
      </c>
      <c r="T106" s="25" t="s">
        <v>84</v>
      </c>
      <c r="U106" s="11" t="s">
        <v>104</v>
      </c>
      <c r="V106" s="26" t="str">
        <f>IF(OR(BD_ESTADISTICA_INF_B[[#This Row],[Jugador]]="eudald",BD_ESTADISTICA_INF_B[[#This Row],[Jugador]]="jules",BD_ESTADISTICA_INF_B[[#This Row],[Jugador]]="JAN"),"PORTERO","JUGADOR")</f>
        <v>JUGADOR</v>
      </c>
      <c r="W106" s="26">
        <f>IF(BD_ESTADISTICA_INF_B[[#This Row],[POSICION]]="jugador",BD_ESTADISTICA_INF_B[[#This Row],[Goles]],0)</f>
        <v>2</v>
      </c>
      <c r="X106" s="26">
        <f>IF(BD_ESTADISTICA_INF_B[[#This Row],[POSICION]]="portero",BD_ESTADISTICA_INF_B[[#This Row],[Lanzam.]]-BD_ESTADISTICA_INF_B[[#This Row],[Paradas]],0)</f>
        <v>0</v>
      </c>
      <c r="Y106" s="26">
        <f>IF(BD_ESTADISTICA_INF_B[[#This Row],[POSICION]]="jugador",BD_ESTADISTICA_INF_B[[#This Row],[Lanzam.]],0)</f>
        <v>3</v>
      </c>
      <c r="Z106" s="26">
        <f>IF(BD_ESTADISTICA_INF_B[[#This Row],[POSICION]]="portero",BD_ESTADISTICA_INF_B[[#This Row],[Lanzam.]],0)</f>
        <v>0</v>
      </c>
    </row>
    <row r="107" spans="1:26" hidden="1">
      <c r="A107" s="21" t="s">
        <v>24</v>
      </c>
      <c r="B107" s="21"/>
      <c r="C107" s="22">
        <v>2</v>
      </c>
      <c r="D107" s="22"/>
      <c r="E107" s="22">
        <v>2</v>
      </c>
      <c r="F107" s="8">
        <f>IF(BD_ESTADISTICA_INF_B[[#This Row],[Lanzam.]]="","",IF(BD_ESTADISTICA_INF_B[[#This Row],[POSICION]]="jugador",C107/E107,D107/E107))</f>
        <v>1</v>
      </c>
      <c r="G107" s="8"/>
      <c r="H107" s="8"/>
      <c r="I107" s="22"/>
      <c r="J107" s="22"/>
      <c r="K107" s="22">
        <v>1</v>
      </c>
      <c r="L107" s="22"/>
      <c r="M107" s="22"/>
      <c r="N107" s="22"/>
      <c r="O107" s="22">
        <v>1</v>
      </c>
      <c r="P107" s="22"/>
      <c r="Q107" s="22"/>
      <c r="R107" s="23">
        <v>6</v>
      </c>
      <c r="S107" s="24">
        <v>1</v>
      </c>
      <c r="T107" s="25" t="s">
        <v>84</v>
      </c>
      <c r="U107" s="11" t="s">
        <v>104</v>
      </c>
      <c r="V107" s="26" t="str">
        <f>IF(OR(BD_ESTADISTICA_INF_B[[#This Row],[Jugador]]="eudald",BD_ESTADISTICA_INF_B[[#This Row],[Jugador]]="jules",BD_ESTADISTICA_INF_B[[#This Row],[Jugador]]="JAN"),"PORTERO","JUGADOR")</f>
        <v>JUGADOR</v>
      </c>
      <c r="W107" s="26">
        <f>IF(BD_ESTADISTICA_INF_B[[#This Row],[POSICION]]="jugador",BD_ESTADISTICA_INF_B[[#This Row],[Goles]],0)</f>
        <v>2</v>
      </c>
      <c r="X107" s="26">
        <f>IF(BD_ESTADISTICA_INF_B[[#This Row],[POSICION]]="portero",BD_ESTADISTICA_INF_B[[#This Row],[Lanzam.]]-BD_ESTADISTICA_INF_B[[#This Row],[Paradas]],0)</f>
        <v>0</v>
      </c>
      <c r="Y107" s="26">
        <f>IF(BD_ESTADISTICA_INF_B[[#This Row],[POSICION]]="jugador",BD_ESTADISTICA_INF_B[[#This Row],[Lanzam.]],0)</f>
        <v>2</v>
      </c>
      <c r="Z107" s="26">
        <f>IF(BD_ESTADISTICA_INF_B[[#This Row],[POSICION]]="portero",BD_ESTADISTICA_INF_B[[#This Row],[Lanzam.]],0)</f>
        <v>0</v>
      </c>
    </row>
    <row r="108" spans="1:26" hidden="1">
      <c r="A108" s="21" t="s">
        <v>25</v>
      </c>
      <c r="B108" s="21"/>
      <c r="C108" s="22">
        <v>4</v>
      </c>
      <c r="D108" s="22"/>
      <c r="E108" s="22">
        <v>4</v>
      </c>
      <c r="F108" s="8">
        <f>IF(BD_ESTADISTICA_INF_B[[#This Row],[Lanzam.]]="","",IF(BD_ESTADISTICA_INF_B[[#This Row],[POSICION]]="jugador",C108/E108,D108/E108))</f>
        <v>1</v>
      </c>
      <c r="G108" s="8"/>
      <c r="H108" s="8"/>
      <c r="I108" s="22">
        <v>2</v>
      </c>
      <c r="J108" s="22"/>
      <c r="K108" s="22">
        <v>1</v>
      </c>
      <c r="L108" s="22"/>
      <c r="M108" s="22"/>
      <c r="N108" s="22"/>
      <c r="O108" s="22"/>
      <c r="P108" s="22"/>
      <c r="Q108" s="22"/>
      <c r="R108" s="23">
        <v>6</v>
      </c>
      <c r="S108" s="24">
        <v>1</v>
      </c>
      <c r="T108" s="25" t="s">
        <v>84</v>
      </c>
      <c r="U108" s="11" t="s">
        <v>104</v>
      </c>
      <c r="V108" s="26" t="str">
        <f>IF(OR(BD_ESTADISTICA_INF_B[[#This Row],[Jugador]]="eudald",BD_ESTADISTICA_INF_B[[#This Row],[Jugador]]="jules",BD_ESTADISTICA_INF_B[[#This Row],[Jugador]]="JAN"),"PORTERO","JUGADOR")</f>
        <v>JUGADOR</v>
      </c>
      <c r="W108" s="26">
        <f>IF(BD_ESTADISTICA_INF_B[[#This Row],[POSICION]]="jugador",BD_ESTADISTICA_INF_B[[#This Row],[Goles]],0)</f>
        <v>4</v>
      </c>
      <c r="X108" s="26">
        <f>IF(BD_ESTADISTICA_INF_B[[#This Row],[POSICION]]="portero",BD_ESTADISTICA_INF_B[[#This Row],[Lanzam.]]-BD_ESTADISTICA_INF_B[[#This Row],[Paradas]],0)</f>
        <v>0</v>
      </c>
      <c r="Y108" s="26">
        <f>IF(BD_ESTADISTICA_INF_B[[#This Row],[POSICION]]="jugador",BD_ESTADISTICA_INF_B[[#This Row],[Lanzam.]],0)</f>
        <v>4</v>
      </c>
      <c r="Z108" s="26">
        <f>IF(BD_ESTADISTICA_INF_B[[#This Row],[POSICION]]="portero",BD_ESTADISTICA_INF_B[[#This Row],[Lanzam.]],0)</f>
        <v>0</v>
      </c>
    </row>
    <row r="109" spans="1:26" hidden="1">
      <c r="A109" s="21" t="s">
        <v>26</v>
      </c>
      <c r="B109" s="21"/>
      <c r="C109" s="22">
        <v>5</v>
      </c>
      <c r="D109" s="22"/>
      <c r="E109" s="22">
        <v>6</v>
      </c>
      <c r="F109" s="8">
        <f>IF(BD_ESTADISTICA_INF_B[[#This Row],[Lanzam.]]="","",IF(BD_ESTADISTICA_INF_B[[#This Row],[POSICION]]="jugador",C109/E109,D109/E109))</f>
        <v>0.83333333333333337</v>
      </c>
      <c r="G109" s="8"/>
      <c r="H109" s="8"/>
      <c r="I109" s="22">
        <v>1</v>
      </c>
      <c r="J109" s="22"/>
      <c r="K109" s="22"/>
      <c r="L109" s="22"/>
      <c r="M109" s="22"/>
      <c r="N109" s="22"/>
      <c r="O109" s="22">
        <v>2</v>
      </c>
      <c r="P109" s="22"/>
      <c r="Q109" s="22"/>
      <c r="R109" s="23">
        <v>6</v>
      </c>
      <c r="S109" s="24">
        <v>1</v>
      </c>
      <c r="T109" s="25" t="s">
        <v>84</v>
      </c>
      <c r="U109" s="11" t="s">
        <v>104</v>
      </c>
      <c r="V109" s="26" t="str">
        <f>IF(OR(BD_ESTADISTICA_INF_B[[#This Row],[Jugador]]="eudald",BD_ESTADISTICA_INF_B[[#This Row],[Jugador]]="jules",BD_ESTADISTICA_INF_B[[#This Row],[Jugador]]="JAN"),"PORTERO","JUGADOR")</f>
        <v>JUGADOR</v>
      </c>
      <c r="W109" s="26">
        <f>IF(BD_ESTADISTICA_INF_B[[#This Row],[POSICION]]="jugador",BD_ESTADISTICA_INF_B[[#This Row],[Goles]],0)</f>
        <v>5</v>
      </c>
      <c r="X109" s="26">
        <f>IF(BD_ESTADISTICA_INF_B[[#This Row],[POSICION]]="portero",BD_ESTADISTICA_INF_B[[#This Row],[Lanzam.]]-BD_ESTADISTICA_INF_B[[#This Row],[Paradas]],0)</f>
        <v>0</v>
      </c>
      <c r="Y109" s="26">
        <f>IF(BD_ESTADISTICA_INF_B[[#This Row],[POSICION]]="jugador",BD_ESTADISTICA_INF_B[[#This Row],[Lanzam.]],0)</f>
        <v>6</v>
      </c>
      <c r="Z109" s="26">
        <f>IF(BD_ESTADISTICA_INF_B[[#This Row],[POSICION]]="portero",BD_ESTADISTICA_INF_B[[#This Row],[Lanzam.]],0)</f>
        <v>0</v>
      </c>
    </row>
    <row r="110" spans="1:26" hidden="1">
      <c r="A110" s="21" t="s">
        <v>27</v>
      </c>
      <c r="B110" s="21"/>
      <c r="C110" s="22">
        <v>13</v>
      </c>
      <c r="D110" s="22"/>
      <c r="E110" s="22">
        <v>16</v>
      </c>
      <c r="F110" s="8">
        <f>IF(BD_ESTADISTICA_INF_B[[#This Row],[Lanzam.]]="","",IF(BD_ESTADISTICA_INF_B[[#This Row],[POSICION]]="jugador",C110/E110,D110/E110))</f>
        <v>0.8125</v>
      </c>
      <c r="G110" s="8"/>
      <c r="H110" s="8"/>
      <c r="I110" s="22"/>
      <c r="J110" s="22"/>
      <c r="K110" s="22">
        <v>1</v>
      </c>
      <c r="L110" s="22"/>
      <c r="M110" s="22"/>
      <c r="N110" s="22"/>
      <c r="O110" s="22">
        <v>8</v>
      </c>
      <c r="P110" s="22"/>
      <c r="Q110" s="22"/>
      <c r="R110" s="23">
        <v>6</v>
      </c>
      <c r="S110" s="24">
        <v>1</v>
      </c>
      <c r="T110" s="25" t="s">
        <v>84</v>
      </c>
      <c r="U110" s="11" t="s">
        <v>104</v>
      </c>
      <c r="V110" s="26" t="str">
        <f>IF(OR(BD_ESTADISTICA_INF_B[[#This Row],[Jugador]]="eudald",BD_ESTADISTICA_INF_B[[#This Row],[Jugador]]="jules",BD_ESTADISTICA_INF_B[[#This Row],[Jugador]]="JAN"),"PORTERO","JUGADOR")</f>
        <v>JUGADOR</v>
      </c>
      <c r="W110" s="26">
        <f>IF(BD_ESTADISTICA_INF_B[[#This Row],[POSICION]]="jugador",BD_ESTADISTICA_INF_B[[#This Row],[Goles]],0)</f>
        <v>13</v>
      </c>
      <c r="X110" s="26">
        <f>IF(BD_ESTADISTICA_INF_B[[#This Row],[POSICION]]="portero",BD_ESTADISTICA_INF_B[[#This Row],[Lanzam.]]-BD_ESTADISTICA_INF_B[[#This Row],[Paradas]],0)</f>
        <v>0</v>
      </c>
      <c r="Y110" s="26">
        <f>IF(BD_ESTADISTICA_INF_B[[#This Row],[POSICION]]="jugador",BD_ESTADISTICA_INF_B[[#This Row],[Lanzam.]],0)</f>
        <v>16</v>
      </c>
      <c r="Z110" s="26">
        <f>IF(BD_ESTADISTICA_INF_B[[#This Row],[POSICION]]="portero",BD_ESTADISTICA_INF_B[[#This Row],[Lanzam.]],0)</f>
        <v>0</v>
      </c>
    </row>
    <row r="111" spans="1:26" hidden="1">
      <c r="A111" s="21" t="s">
        <v>28</v>
      </c>
      <c r="B111" s="21"/>
      <c r="C111" s="22">
        <v>0</v>
      </c>
      <c r="D111" s="22"/>
      <c r="E111" s="22">
        <v>1</v>
      </c>
      <c r="F111" s="8">
        <f>IF(BD_ESTADISTICA_INF_B[[#This Row],[Lanzam.]]="","",IF(BD_ESTADISTICA_INF_B[[#This Row],[POSICION]]="jugador",C111/E111,D111/E111))</f>
        <v>0</v>
      </c>
      <c r="G111" s="8"/>
      <c r="H111" s="8"/>
      <c r="I111" s="22">
        <v>2</v>
      </c>
      <c r="J111" s="22"/>
      <c r="K111" s="22"/>
      <c r="L111" s="22"/>
      <c r="M111" s="22"/>
      <c r="N111" s="22"/>
      <c r="O111" s="22"/>
      <c r="P111" s="22"/>
      <c r="Q111" s="22"/>
      <c r="R111" s="23">
        <v>6</v>
      </c>
      <c r="S111" s="24">
        <v>1</v>
      </c>
      <c r="T111" s="25" t="s">
        <v>84</v>
      </c>
      <c r="U111" s="11" t="s">
        <v>104</v>
      </c>
      <c r="V111" s="26" t="str">
        <f>IF(OR(BD_ESTADISTICA_INF_B[[#This Row],[Jugador]]="eudald",BD_ESTADISTICA_INF_B[[#This Row],[Jugador]]="jules",BD_ESTADISTICA_INF_B[[#This Row],[Jugador]]="JAN"),"PORTERO","JUGADOR")</f>
        <v>JUGADOR</v>
      </c>
      <c r="W111" s="26">
        <f>IF(BD_ESTADISTICA_INF_B[[#This Row],[POSICION]]="jugador",BD_ESTADISTICA_INF_B[[#This Row],[Goles]],0)</f>
        <v>0</v>
      </c>
      <c r="X111" s="26">
        <f>IF(BD_ESTADISTICA_INF_B[[#This Row],[POSICION]]="portero",BD_ESTADISTICA_INF_B[[#This Row],[Lanzam.]]-BD_ESTADISTICA_INF_B[[#This Row],[Paradas]],0)</f>
        <v>0</v>
      </c>
      <c r="Y111" s="26">
        <f>IF(BD_ESTADISTICA_INF_B[[#This Row],[POSICION]]="jugador",BD_ESTADISTICA_INF_B[[#This Row],[Lanzam.]],0)</f>
        <v>1</v>
      </c>
      <c r="Z111" s="26">
        <f>IF(BD_ESTADISTICA_INF_B[[#This Row],[POSICION]]="portero",BD_ESTADISTICA_INF_B[[#This Row],[Lanzam.]],0)</f>
        <v>0</v>
      </c>
    </row>
    <row r="112" spans="1:26" hidden="1">
      <c r="A112" s="21" t="s">
        <v>31</v>
      </c>
      <c r="B112" s="21"/>
      <c r="C112" s="29">
        <v>7</v>
      </c>
      <c r="D112" s="22">
        <v>7</v>
      </c>
      <c r="E112" s="22">
        <v>12</v>
      </c>
      <c r="F112" s="8">
        <f>IF(BD_ESTADISTICA_INF_B[[#This Row],[Lanzam.]]="","",IF(BD_ESTADISTICA_INF_B[[#This Row],[POSICION]]="jugador",C112/E112,D112/E112))</f>
        <v>0.58333333333333337</v>
      </c>
      <c r="G112" s="8"/>
      <c r="H112" s="8"/>
      <c r="I112" s="22"/>
      <c r="J112" s="22"/>
      <c r="K112" s="22"/>
      <c r="L112" s="22"/>
      <c r="M112" s="22"/>
      <c r="N112" s="22"/>
      <c r="O112" s="22"/>
      <c r="P112" s="22"/>
      <c r="Q112" s="22"/>
      <c r="R112" s="23">
        <v>6</v>
      </c>
      <c r="S112" s="24">
        <v>1</v>
      </c>
      <c r="T112" s="25" t="s">
        <v>84</v>
      </c>
      <c r="U112" s="11" t="s">
        <v>104</v>
      </c>
      <c r="V112" s="26" t="str">
        <f>IF(OR(BD_ESTADISTICA_INF_B[[#This Row],[Jugador]]="eudald",BD_ESTADISTICA_INF_B[[#This Row],[Jugador]]="jules",BD_ESTADISTICA_INF_B[[#This Row],[Jugador]]="JAN"),"PORTERO","JUGADOR")</f>
        <v>PORTERO</v>
      </c>
      <c r="W112" s="26">
        <f>IF(BD_ESTADISTICA_INF_B[[#This Row],[POSICION]]="jugador",BD_ESTADISTICA_INF_B[[#This Row],[Goles]],0)</f>
        <v>0</v>
      </c>
      <c r="X112" s="26">
        <f>IF(BD_ESTADISTICA_INF_B[[#This Row],[POSICION]]="portero",BD_ESTADISTICA_INF_B[[#This Row],[Lanzam.]]-BD_ESTADISTICA_INF_B[[#This Row],[Paradas]],0)</f>
        <v>5</v>
      </c>
      <c r="Y112" s="26">
        <f>IF(BD_ESTADISTICA_INF_B[[#This Row],[POSICION]]="jugador",BD_ESTADISTICA_INF_B[[#This Row],[Lanzam.]],0)</f>
        <v>0</v>
      </c>
      <c r="Z112" s="26">
        <f>IF(BD_ESTADISTICA_INF_B[[#This Row],[POSICION]]="portero",BD_ESTADISTICA_INF_B[[#This Row],[Lanzam.]],0)</f>
        <v>12</v>
      </c>
    </row>
    <row r="113" spans="1:26" hidden="1">
      <c r="A113" s="34" t="s">
        <v>29</v>
      </c>
      <c r="B113" s="34"/>
      <c r="C113" s="22"/>
      <c r="D113" s="22"/>
      <c r="E113" s="22"/>
      <c r="F113" s="8" t="str">
        <f>IF(BD_ESTADISTICA_INF_B[[#This Row],[Lanzam.]]="","",IF(BD_ESTADISTICA_INF_B[[#This Row],[POSICION]]="jugador",C113/E113,D113/E113))</f>
        <v/>
      </c>
      <c r="G113" s="8"/>
      <c r="H113" s="8"/>
      <c r="I113" s="22"/>
      <c r="J113" s="22"/>
      <c r="K113" s="22"/>
      <c r="L113" s="22"/>
      <c r="M113" s="22"/>
      <c r="N113" s="22"/>
      <c r="O113" s="22"/>
      <c r="P113" s="22"/>
      <c r="Q113" s="22"/>
      <c r="R113" s="23">
        <v>6</v>
      </c>
      <c r="S113" s="24">
        <v>1</v>
      </c>
      <c r="T113" s="25" t="s">
        <v>84</v>
      </c>
      <c r="U113" s="11" t="s">
        <v>104</v>
      </c>
      <c r="V113" s="26" t="str">
        <f>IF(OR(BD_ESTADISTICA_INF_B[[#This Row],[Jugador]]="eudald",BD_ESTADISTICA_INF_B[[#This Row],[Jugador]]="jules",BD_ESTADISTICA_INF_B[[#This Row],[Jugador]]="JAN"),"PORTERO","JUGADOR")</f>
        <v>PORTERO</v>
      </c>
      <c r="W113" s="26">
        <f>IF(BD_ESTADISTICA_INF_B[[#This Row],[POSICION]]="jugador",BD_ESTADISTICA_INF_B[[#This Row],[Goles]],0)</f>
        <v>0</v>
      </c>
      <c r="X113" s="26">
        <f>IF(BD_ESTADISTICA_INF_B[[#This Row],[POSICION]]="portero",BD_ESTADISTICA_INF_B[[#This Row],[Lanzam.]]-BD_ESTADISTICA_INF_B[[#This Row],[Paradas]],0)</f>
        <v>0</v>
      </c>
      <c r="Y113" s="26">
        <f>IF(BD_ESTADISTICA_INF_B[[#This Row],[POSICION]]="jugador",BD_ESTADISTICA_INF_B[[#This Row],[Lanzam.]],0)</f>
        <v>0</v>
      </c>
      <c r="Z113" s="26">
        <f>IF(BD_ESTADISTICA_INF_B[[#This Row],[POSICION]]="portero",BD_ESTADISTICA_INF_B[[#This Row],[Lanzam.]],0)</f>
        <v>0</v>
      </c>
    </row>
    <row r="114" spans="1:26" hidden="1">
      <c r="A114" s="21" t="s">
        <v>30</v>
      </c>
      <c r="B114" s="21"/>
      <c r="C114" s="29">
        <v>4</v>
      </c>
      <c r="D114" s="22">
        <v>4</v>
      </c>
      <c r="E114" s="22">
        <v>11</v>
      </c>
      <c r="F114" s="8">
        <f>IF(BD_ESTADISTICA_INF_B[[#This Row],[Lanzam.]]="","",IF(BD_ESTADISTICA_INF_B[[#This Row],[POSICION]]="jugador",C114/E114,D114/E114))</f>
        <v>0.36363636363636365</v>
      </c>
      <c r="G114" s="8"/>
      <c r="H114" s="8"/>
      <c r="I114" s="22"/>
      <c r="J114" s="22"/>
      <c r="K114" s="22"/>
      <c r="L114" s="22"/>
      <c r="M114" s="22"/>
      <c r="N114" s="22"/>
      <c r="O114" s="22"/>
      <c r="P114" s="22"/>
      <c r="Q114" s="22"/>
      <c r="R114" s="23">
        <v>6</v>
      </c>
      <c r="S114" s="24">
        <v>1</v>
      </c>
      <c r="T114" s="25" t="s">
        <v>84</v>
      </c>
      <c r="U114" s="11" t="s">
        <v>104</v>
      </c>
      <c r="V114" s="26" t="str">
        <f>IF(OR(BD_ESTADISTICA_INF_B[[#This Row],[Jugador]]="eudald",BD_ESTADISTICA_INF_B[[#This Row],[Jugador]]="jules",BD_ESTADISTICA_INF_B[[#This Row],[Jugador]]="JAN"),"PORTERO","JUGADOR")</f>
        <v>PORTERO</v>
      </c>
      <c r="W114" s="26">
        <f>IF(BD_ESTADISTICA_INF_B[[#This Row],[POSICION]]="jugador",BD_ESTADISTICA_INF_B[[#This Row],[Goles]],0)</f>
        <v>0</v>
      </c>
      <c r="X114" s="26">
        <f>IF(BD_ESTADISTICA_INF_B[[#This Row],[POSICION]]="portero",BD_ESTADISTICA_INF_B[[#This Row],[Lanzam.]]-BD_ESTADISTICA_INF_B[[#This Row],[Paradas]],0)</f>
        <v>7</v>
      </c>
      <c r="Y114" s="26">
        <f>IF(BD_ESTADISTICA_INF_B[[#This Row],[POSICION]]="jugador",BD_ESTADISTICA_INF_B[[#This Row],[Lanzam.]],0)</f>
        <v>0</v>
      </c>
      <c r="Z114" s="26">
        <f>IF(BD_ESTADISTICA_INF_B[[#This Row],[POSICION]]="portero",BD_ESTADISTICA_INF_B[[#This Row],[Lanzam.]],0)</f>
        <v>11</v>
      </c>
    </row>
    <row r="115" spans="1:26" hidden="1">
      <c r="A115" s="34" t="s">
        <v>42</v>
      </c>
      <c r="B115" s="34"/>
      <c r="C115" s="22"/>
      <c r="D115" s="22"/>
      <c r="E115" s="22"/>
      <c r="F115" s="8" t="str">
        <f>IF(BD_ESTADISTICA_INF_B[[#This Row],[Lanzam.]]="","",IF(BD_ESTADISTICA_INF_B[[#This Row],[POSICION]]="jugador",C115/E115,D115/E115))</f>
        <v/>
      </c>
      <c r="G115" s="8"/>
      <c r="H115" s="8"/>
      <c r="I115" s="22"/>
      <c r="J115" s="22"/>
      <c r="K115" s="22"/>
      <c r="L115" s="22"/>
      <c r="M115" s="22"/>
      <c r="N115" s="22"/>
      <c r="O115" s="22"/>
      <c r="P115" s="22"/>
      <c r="Q115" s="22"/>
      <c r="R115" s="23">
        <v>6</v>
      </c>
      <c r="S115" s="24">
        <v>1</v>
      </c>
      <c r="T115" s="25" t="s">
        <v>84</v>
      </c>
      <c r="U115" s="11" t="s">
        <v>104</v>
      </c>
      <c r="V115" s="26" t="str">
        <f>IF(OR(BD_ESTADISTICA_INF_B[[#This Row],[Jugador]]="eudald",BD_ESTADISTICA_INF_B[[#This Row],[Jugador]]="jules",BD_ESTADISTICA_INF_B[[#This Row],[Jugador]]="JAN"),"PORTERO","JUGADOR")</f>
        <v>JUGADOR</v>
      </c>
      <c r="W115" s="26">
        <f>IF(BD_ESTADISTICA_INF_B[[#This Row],[POSICION]]="jugador",BD_ESTADISTICA_INF_B[[#This Row],[Goles]],0)</f>
        <v>0</v>
      </c>
      <c r="X115" s="26">
        <f>IF(BD_ESTADISTICA_INF_B[[#This Row],[POSICION]]="portero",BD_ESTADISTICA_INF_B[[#This Row],[Lanzam.]]-BD_ESTADISTICA_INF_B[[#This Row],[Paradas]],0)</f>
        <v>0</v>
      </c>
      <c r="Y115" s="26">
        <f>IF(BD_ESTADISTICA_INF_B[[#This Row],[POSICION]]="jugador",BD_ESTADISTICA_INF_B[[#This Row],[Lanzam.]],0)</f>
        <v>0</v>
      </c>
      <c r="Z115" s="26">
        <f>IF(BD_ESTADISTICA_INF_B[[#This Row],[POSICION]]="portero",BD_ESTADISTICA_INF_B[[#This Row],[Lanzam.]],0)</f>
        <v>0</v>
      </c>
    </row>
    <row r="116" spans="1:26" hidden="1">
      <c r="A116" s="21" t="s">
        <v>22</v>
      </c>
      <c r="B116" s="21"/>
      <c r="C116" s="22"/>
      <c r="D116" s="22"/>
      <c r="E116" s="22"/>
      <c r="F116" s="8" t="str">
        <f>IF(BD_ESTADISTICA_INF_B[[#This Row],[Lanzam.]]="","",IF(BD_ESTADISTICA_INF_B[[#This Row],[POSICION]]="jugador",C116/E116,D116/E116))</f>
        <v/>
      </c>
      <c r="G116" s="8"/>
      <c r="H116" s="8"/>
      <c r="I116" s="22"/>
      <c r="J116" s="22"/>
      <c r="K116" s="22"/>
      <c r="L116" s="22"/>
      <c r="M116" s="22"/>
      <c r="N116" s="22"/>
      <c r="O116" s="22"/>
      <c r="P116" s="22"/>
      <c r="Q116" s="22"/>
      <c r="R116" s="23">
        <v>6</v>
      </c>
      <c r="S116" s="24">
        <v>1</v>
      </c>
      <c r="T116" s="25" t="s">
        <v>84</v>
      </c>
      <c r="U116" s="11" t="s">
        <v>104</v>
      </c>
      <c r="V116" s="26" t="str">
        <f>IF(OR(BD_ESTADISTICA_INF_B[[#This Row],[Jugador]]="eudald",BD_ESTADISTICA_INF_B[[#This Row],[Jugador]]="jules",BD_ESTADISTICA_INF_B[[#This Row],[Jugador]]="JAN"),"PORTERO","JUGADOR")</f>
        <v>JUGADOR</v>
      </c>
      <c r="W116" s="26">
        <f>IF(BD_ESTADISTICA_INF_B[[#This Row],[POSICION]]="jugador",BD_ESTADISTICA_INF_B[[#This Row],[Goles]],0)</f>
        <v>0</v>
      </c>
      <c r="X116" s="26">
        <f>IF(BD_ESTADISTICA_INF_B[[#This Row],[POSICION]]="portero",BD_ESTADISTICA_INF_B[[#This Row],[Lanzam.]]-BD_ESTADISTICA_INF_B[[#This Row],[Paradas]],0)</f>
        <v>0</v>
      </c>
      <c r="Y116" s="26">
        <f>IF(BD_ESTADISTICA_INF_B[[#This Row],[POSICION]]="jugador",BD_ESTADISTICA_INF_B[[#This Row],[Lanzam.]],0)</f>
        <v>0</v>
      </c>
      <c r="Z116" s="26">
        <f>IF(BD_ESTADISTICA_INF_B[[#This Row],[POSICION]]="portero",BD_ESTADISTICA_INF_B[[#This Row],[Lanzam.]],0)</f>
        <v>0</v>
      </c>
    </row>
    <row r="117" spans="1:26" hidden="1">
      <c r="A117" s="21" t="s">
        <v>16</v>
      </c>
      <c r="B117" s="21"/>
      <c r="C117" s="22">
        <v>1</v>
      </c>
      <c r="D117" s="22"/>
      <c r="E117" s="22">
        <v>2</v>
      </c>
      <c r="F117" s="8">
        <f>IF(BD_ESTADISTICA_INF_B[[#This Row],[Lanzam.]]="","",IF(BD_ESTADISTICA_INF_B[[#This Row],[POSICION]]="jugador",C117/E117,D117/E117))</f>
        <v>0.5</v>
      </c>
      <c r="G117" s="8"/>
      <c r="H117" s="8"/>
      <c r="I117" s="22">
        <v>3</v>
      </c>
      <c r="J117" s="22">
        <v>1</v>
      </c>
      <c r="K117" s="22">
        <v>1</v>
      </c>
      <c r="L117" s="22"/>
      <c r="M117" s="22"/>
      <c r="N117" s="22"/>
      <c r="O117" s="22"/>
      <c r="P117" s="22"/>
      <c r="Q117" s="22"/>
      <c r="R117" s="23">
        <v>7</v>
      </c>
      <c r="S117" s="24">
        <v>1</v>
      </c>
      <c r="T117" s="25" t="s">
        <v>79</v>
      </c>
      <c r="U117" s="11" t="s">
        <v>105</v>
      </c>
      <c r="V117" s="26" t="str">
        <f>IF(OR(BD_ESTADISTICA_INF_B[[#This Row],[Jugador]]="eudald",BD_ESTADISTICA_INF_B[[#This Row],[Jugador]]="jules",BD_ESTADISTICA_INF_B[[#This Row],[Jugador]]="JAN"),"PORTERO","JUGADOR")</f>
        <v>JUGADOR</v>
      </c>
      <c r="W117" s="26">
        <f>IF(BD_ESTADISTICA_INF_B[[#This Row],[POSICION]]="jugador",BD_ESTADISTICA_INF_B[[#This Row],[Goles]],0)</f>
        <v>1</v>
      </c>
      <c r="X117" s="26">
        <f>IF(BD_ESTADISTICA_INF_B[[#This Row],[POSICION]]="portero",BD_ESTADISTICA_INF_B[[#This Row],[Lanzam.]]-BD_ESTADISTICA_INF_B[[#This Row],[Paradas]],0)</f>
        <v>0</v>
      </c>
      <c r="Y117" s="26">
        <f>IF(BD_ESTADISTICA_INF_B[[#This Row],[POSICION]]="jugador",BD_ESTADISTICA_INF_B[[#This Row],[Lanzam.]],0)</f>
        <v>2</v>
      </c>
      <c r="Z117" s="26">
        <f>IF(BD_ESTADISTICA_INF_B[[#This Row],[POSICION]]="portero",BD_ESTADISTICA_INF_B[[#This Row],[Lanzam.]],0)</f>
        <v>0</v>
      </c>
    </row>
    <row r="118" spans="1:26" hidden="1">
      <c r="A118" s="21" t="s">
        <v>17</v>
      </c>
      <c r="B118" s="21"/>
      <c r="C118" s="22"/>
      <c r="D118" s="22"/>
      <c r="E118" s="22"/>
      <c r="F118" s="8" t="str">
        <f>IF(BD_ESTADISTICA_INF_B[[#This Row],[Lanzam.]]="","",IF(BD_ESTADISTICA_INF_B[[#This Row],[POSICION]]="jugador",C118/E118,D118/E118))</f>
        <v/>
      </c>
      <c r="G118" s="8"/>
      <c r="H118" s="8"/>
      <c r="I118" s="22"/>
      <c r="J118" s="22"/>
      <c r="K118" s="22"/>
      <c r="L118" s="22"/>
      <c r="M118" s="22"/>
      <c r="N118" s="22"/>
      <c r="O118" s="22">
        <v>1</v>
      </c>
      <c r="P118" s="22"/>
      <c r="Q118" s="22"/>
      <c r="R118" s="23">
        <v>7</v>
      </c>
      <c r="S118" s="24">
        <v>1</v>
      </c>
      <c r="T118" s="25" t="s">
        <v>79</v>
      </c>
      <c r="U118" s="11" t="s">
        <v>105</v>
      </c>
      <c r="V118" s="26" t="str">
        <f>IF(OR(BD_ESTADISTICA_INF_B[[#This Row],[Jugador]]="eudald",BD_ESTADISTICA_INF_B[[#This Row],[Jugador]]="jules",BD_ESTADISTICA_INF_B[[#This Row],[Jugador]]="JAN"),"PORTERO","JUGADOR")</f>
        <v>JUGADOR</v>
      </c>
      <c r="W118" s="26">
        <f>IF(BD_ESTADISTICA_INF_B[[#This Row],[POSICION]]="jugador",BD_ESTADISTICA_INF_B[[#This Row],[Goles]],0)</f>
        <v>0</v>
      </c>
      <c r="X118" s="26">
        <f>IF(BD_ESTADISTICA_INF_B[[#This Row],[POSICION]]="portero",BD_ESTADISTICA_INF_B[[#This Row],[Lanzam.]]-BD_ESTADISTICA_INF_B[[#This Row],[Paradas]],0)</f>
        <v>0</v>
      </c>
      <c r="Y118" s="26">
        <f>IF(BD_ESTADISTICA_INF_B[[#This Row],[POSICION]]="jugador",BD_ESTADISTICA_INF_B[[#This Row],[Lanzam.]],0)</f>
        <v>0</v>
      </c>
      <c r="Z118" s="26">
        <f>IF(BD_ESTADISTICA_INF_B[[#This Row],[POSICION]]="portero",BD_ESTADISTICA_INF_B[[#This Row],[Lanzam.]],0)</f>
        <v>0</v>
      </c>
    </row>
    <row r="119" spans="1:26" hidden="1">
      <c r="A119" s="21" t="s">
        <v>18</v>
      </c>
      <c r="B119" s="21"/>
      <c r="C119" s="22">
        <v>1</v>
      </c>
      <c r="D119" s="22"/>
      <c r="E119" s="22">
        <v>1</v>
      </c>
      <c r="F119" s="8">
        <f>IF(BD_ESTADISTICA_INF_B[[#This Row],[Lanzam.]]="","",IF(BD_ESTADISTICA_INF_B[[#This Row],[POSICION]]="jugador",C119/E119,D119/E119))</f>
        <v>1</v>
      </c>
      <c r="G119" s="8"/>
      <c r="H119" s="8"/>
      <c r="I119" s="22">
        <v>2</v>
      </c>
      <c r="J119" s="22">
        <v>1</v>
      </c>
      <c r="K119" s="22"/>
      <c r="L119" s="22"/>
      <c r="M119" s="22"/>
      <c r="N119" s="22"/>
      <c r="O119" s="22"/>
      <c r="P119" s="22"/>
      <c r="Q119" s="22"/>
      <c r="R119" s="23">
        <v>7</v>
      </c>
      <c r="S119" s="24">
        <v>1</v>
      </c>
      <c r="T119" s="25" t="s">
        <v>79</v>
      </c>
      <c r="U119" s="11" t="s">
        <v>105</v>
      </c>
      <c r="V119" s="26" t="str">
        <f>IF(OR(BD_ESTADISTICA_INF_B[[#This Row],[Jugador]]="eudald",BD_ESTADISTICA_INF_B[[#This Row],[Jugador]]="jules",BD_ESTADISTICA_INF_B[[#This Row],[Jugador]]="JAN"),"PORTERO","JUGADOR")</f>
        <v>JUGADOR</v>
      </c>
      <c r="W119" s="26">
        <f>IF(BD_ESTADISTICA_INF_B[[#This Row],[POSICION]]="jugador",BD_ESTADISTICA_INF_B[[#This Row],[Goles]],0)</f>
        <v>1</v>
      </c>
      <c r="X119" s="26">
        <f>IF(BD_ESTADISTICA_INF_B[[#This Row],[POSICION]]="portero",BD_ESTADISTICA_INF_B[[#This Row],[Lanzam.]]-BD_ESTADISTICA_INF_B[[#This Row],[Paradas]],0)</f>
        <v>0</v>
      </c>
      <c r="Y119" s="26">
        <f>IF(BD_ESTADISTICA_INF_B[[#This Row],[POSICION]]="jugador",BD_ESTADISTICA_INF_B[[#This Row],[Lanzam.]],0)</f>
        <v>1</v>
      </c>
      <c r="Z119" s="26">
        <f>IF(BD_ESTADISTICA_INF_B[[#This Row],[POSICION]]="portero",BD_ESTADISTICA_INF_B[[#This Row],[Lanzam.]],0)</f>
        <v>0</v>
      </c>
    </row>
    <row r="120" spans="1:26" hidden="1">
      <c r="A120" s="21" t="s">
        <v>19</v>
      </c>
      <c r="B120" s="21"/>
      <c r="C120" s="22">
        <v>2</v>
      </c>
      <c r="D120" s="22"/>
      <c r="E120" s="22">
        <v>2</v>
      </c>
      <c r="F120" s="8">
        <f>IF(BD_ESTADISTICA_INF_B[[#This Row],[Lanzam.]]="","",IF(BD_ESTADISTICA_INF_B[[#This Row],[POSICION]]="jugador",C120/E120,D120/E120))</f>
        <v>1</v>
      </c>
      <c r="G120" s="8"/>
      <c r="H120" s="8"/>
      <c r="I120" s="22">
        <v>2</v>
      </c>
      <c r="J120" s="22"/>
      <c r="K120" s="22"/>
      <c r="L120" s="22"/>
      <c r="M120" s="22"/>
      <c r="N120" s="22"/>
      <c r="O120" s="22">
        <v>3</v>
      </c>
      <c r="P120" s="22"/>
      <c r="Q120" s="22"/>
      <c r="R120" s="23">
        <v>7</v>
      </c>
      <c r="S120" s="24">
        <v>1</v>
      </c>
      <c r="T120" s="25" t="s">
        <v>79</v>
      </c>
      <c r="U120" s="11" t="s">
        <v>105</v>
      </c>
      <c r="V120" s="26" t="str">
        <f>IF(OR(BD_ESTADISTICA_INF_B[[#This Row],[Jugador]]="eudald",BD_ESTADISTICA_INF_B[[#This Row],[Jugador]]="jules",BD_ESTADISTICA_INF_B[[#This Row],[Jugador]]="JAN"),"PORTERO","JUGADOR")</f>
        <v>JUGADOR</v>
      </c>
      <c r="W120" s="26">
        <f>IF(BD_ESTADISTICA_INF_B[[#This Row],[POSICION]]="jugador",BD_ESTADISTICA_INF_B[[#This Row],[Goles]],0)</f>
        <v>2</v>
      </c>
      <c r="X120" s="26">
        <f>IF(BD_ESTADISTICA_INF_B[[#This Row],[POSICION]]="portero",BD_ESTADISTICA_INF_B[[#This Row],[Lanzam.]]-BD_ESTADISTICA_INF_B[[#This Row],[Paradas]],0)</f>
        <v>0</v>
      </c>
      <c r="Y120" s="26">
        <f>IF(BD_ESTADISTICA_INF_B[[#This Row],[POSICION]]="jugador",BD_ESTADISTICA_INF_B[[#This Row],[Lanzam.]],0)</f>
        <v>2</v>
      </c>
      <c r="Z120" s="26">
        <f>IF(BD_ESTADISTICA_INF_B[[#This Row],[POSICION]]="portero",BD_ESTADISTICA_INF_B[[#This Row],[Lanzam.]],0)</f>
        <v>0</v>
      </c>
    </row>
    <row r="121" spans="1:26" hidden="1">
      <c r="A121" s="34" t="s">
        <v>20</v>
      </c>
      <c r="B121" s="34"/>
      <c r="C121" s="22"/>
      <c r="D121" s="22"/>
      <c r="E121" s="22"/>
      <c r="F121" s="8" t="str">
        <f>IF(BD_ESTADISTICA_INF_B[[#This Row],[Lanzam.]]="","",IF(BD_ESTADISTICA_INF_B[[#This Row],[POSICION]]="jugador",C121/E121,D121/E121))</f>
        <v/>
      </c>
      <c r="G121" s="8"/>
      <c r="H121" s="8"/>
      <c r="I121" s="22"/>
      <c r="J121" s="22"/>
      <c r="K121" s="22"/>
      <c r="L121" s="22"/>
      <c r="M121" s="22"/>
      <c r="N121" s="22"/>
      <c r="O121" s="22"/>
      <c r="P121" s="22"/>
      <c r="Q121" s="22"/>
      <c r="R121" s="23">
        <v>7</v>
      </c>
      <c r="S121" s="24">
        <v>1</v>
      </c>
      <c r="T121" s="25" t="s">
        <v>79</v>
      </c>
      <c r="U121" s="11" t="s">
        <v>105</v>
      </c>
      <c r="V121" s="26" t="str">
        <f>IF(OR(BD_ESTADISTICA_INF_B[[#This Row],[Jugador]]="eudald",BD_ESTADISTICA_INF_B[[#This Row],[Jugador]]="jules",BD_ESTADISTICA_INF_B[[#This Row],[Jugador]]="JAN"),"PORTERO","JUGADOR")</f>
        <v>JUGADOR</v>
      </c>
      <c r="W121" s="26">
        <f>IF(BD_ESTADISTICA_INF_B[[#This Row],[POSICION]]="jugador",BD_ESTADISTICA_INF_B[[#This Row],[Goles]],0)</f>
        <v>0</v>
      </c>
      <c r="X121" s="26">
        <f>IF(BD_ESTADISTICA_INF_B[[#This Row],[POSICION]]="portero",BD_ESTADISTICA_INF_B[[#This Row],[Lanzam.]]-BD_ESTADISTICA_INF_B[[#This Row],[Paradas]],0)</f>
        <v>0</v>
      </c>
      <c r="Y121" s="26">
        <f>IF(BD_ESTADISTICA_INF_B[[#This Row],[POSICION]]="jugador",BD_ESTADISTICA_INF_B[[#This Row],[Lanzam.]],0)</f>
        <v>0</v>
      </c>
      <c r="Z121" s="26">
        <f>IF(BD_ESTADISTICA_INF_B[[#This Row],[POSICION]]="portero",BD_ESTADISTICA_INF_B[[#This Row],[Lanzam.]],0)</f>
        <v>0</v>
      </c>
    </row>
    <row r="122" spans="1:26" hidden="1">
      <c r="A122" s="21" t="s">
        <v>21</v>
      </c>
      <c r="B122" s="21"/>
      <c r="C122" s="22">
        <v>8</v>
      </c>
      <c r="D122" s="22"/>
      <c r="E122" s="22">
        <v>8</v>
      </c>
      <c r="F122" s="8">
        <f>IF(BD_ESTADISTICA_INF_B[[#This Row],[Lanzam.]]="","",IF(BD_ESTADISTICA_INF_B[[#This Row],[POSICION]]="jugador",C122/E122,D122/E122))</f>
        <v>1</v>
      </c>
      <c r="G122" s="8"/>
      <c r="H122" s="8"/>
      <c r="I122" s="22"/>
      <c r="J122" s="22"/>
      <c r="K122" s="22"/>
      <c r="L122" s="22"/>
      <c r="M122" s="22"/>
      <c r="N122" s="22"/>
      <c r="O122" s="22">
        <v>1</v>
      </c>
      <c r="P122" s="22"/>
      <c r="Q122" s="22"/>
      <c r="R122" s="23">
        <v>7</v>
      </c>
      <c r="S122" s="24">
        <v>1</v>
      </c>
      <c r="T122" s="25" t="s">
        <v>79</v>
      </c>
      <c r="U122" s="11" t="s">
        <v>105</v>
      </c>
      <c r="V122" s="26" t="str">
        <f>IF(OR(BD_ESTADISTICA_INF_B[[#This Row],[Jugador]]="eudald",BD_ESTADISTICA_INF_B[[#This Row],[Jugador]]="jules",BD_ESTADISTICA_INF_B[[#This Row],[Jugador]]="JAN"),"PORTERO","JUGADOR")</f>
        <v>JUGADOR</v>
      </c>
      <c r="W122" s="26">
        <f>IF(BD_ESTADISTICA_INF_B[[#This Row],[POSICION]]="jugador",BD_ESTADISTICA_INF_B[[#This Row],[Goles]],0)</f>
        <v>8</v>
      </c>
      <c r="X122" s="26">
        <f>IF(BD_ESTADISTICA_INF_B[[#This Row],[POSICION]]="portero",BD_ESTADISTICA_INF_B[[#This Row],[Lanzam.]]-BD_ESTADISTICA_INF_B[[#This Row],[Paradas]],0)</f>
        <v>0</v>
      </c>
      <c r="Y122" s="26">
        <f>IF(BD_ESTADISTICA_INF_B[[#This Row],[POSICION]]="jugador",BD_ESTADISTICA_INF_B[[#This Row],[Lanzam.]],0)</f>
        <v>8</v>
      </c>
      <c r="Z122" s="26">
        <f>IF(BD_ESTADISTICA_INF_B[[#This Row],[POSICION]]="portero",BD_ESTADISTICA_INF_B[[#This Row],[Lanzam.]],0)</f>
        <v>0</v>
      </c>
    </row>
    <row r="123" spans="1:26" hidden="1">
      <c r="A123" s="21" t="s">
        <v>40</v>
      </c>
      <c r="B123" s="21"/>
      <c r="C123" s="22">
        <v>4</v>
      </c>
      <c r="D123" s="22"/>
      <c r="E123" s="22">
        <v>4</v>
      </c>
      <c r="F123" s="8">
        <f>IF(BD_ESTADISTICA_INF_B[[#This Row],[Lanzam.]]="","",IF(BD_ESTADISTICA_INF_B[[#This Row],[POSICION]]="jugador",C123/E123,D123/E123))</f>
        <v>1</v>
      </c>
      <c r="G123" s="8"/>
      <c r="H123" s="8"/>
      <c r="I123" s="22">
        <v>3</v>
      </c>
      <c r="J123" s="22"/>
      <c r="K123" s="22"/>
      <c r="L123" s="22"/>
      <c r="M123" s="22"/>
      <c r="N123" s="22"/>
      <c r="O123" s="22">
        <v>4</v>
      </c>
      <c r="P123" s="22">
        <v>1</v>
      </c>
      <c r="Q123" s="22">
        <v>1</v>
      </c>
      <c r="R123" s="23">
        <v>7</v>
      </c>
      <c r="S123" s="24">
        <v>1</v>
      </c>
      <c r="T123" s="25" t="s">
        <v>79</v>
      </c>
      <c r="U123" s="11" t="s">
        <v>105</v>
      </c>
      <c r="V123" s="26" t="str">
        <f>IF(OR(BD_ESTADISTICA_INF_B[[#This Row],[Jugador]]="eudald",BD_ESTADISTICA_INF_B[[#This Row],[Jugador]]="jules",BD_ESTADISTICA_INF_B[[#This Row],[Jugador]]="JAN"),"PORTERO","JUGADOR")</f>
        <v>JUGADOR</v>
      </c>
      <c r="W123" s="26">
        <f>IF(BD_ESTADISTICA_INF_B[[#This Row],[POSICION]]="jugador",BD_ESTADISTICA_INF_B[[#This Row],[Goles]],0)</f>
        <v>4</v>
      </c>
      <c r="X123" s="26">
        <f>IF(BD_ESTADISTICA_INF_B[[#This Row],[POSICION]]="portero",BD_ESTADISTICA_INF_B[[#This Row],[Lanzam.]]-BD_ESTADISTICA_INF_B[[#This Row],[Paradas]],0)</f>
        <v>0</v>
      </c>
      <c r="Y123" s="26">
        <f>IF(BD_ESTADISTICA_INF_B[[#This Row],[POSICION]]="jugador",BD_ESTADISTICA_INF_B[[#This Row],[Lanzam.]],0)</f>
        <v>4</v>
      </c>
      <c r="Z123" s="26">
        <f>IF(BD_ESTADISTICA_INF_B[[#This Row],[POSICION]]="portero",BD_ESTADISTICA_INF_B[[#This Row],[Lanzam.]],0)</f>
        <v>0</v>
      </c>
    </row>
    <row r="124" spans="1:26" hidden="1">
      <c r="A124" s="21" t="s">
        <v>41</v>
      </c>
      <c r="B124" s="21"/>
      <c r="C124" s="22">
        <v>2</v>
      </c>
      <c r="D124" s="22"/>
      <c r="E124" s="22">
        <v>4</v>
      </c>
      <c r="F124" s="8">
        <f>IF(BD_ESTADISTICA_INF_B[[#This Row],[Lanzam.]]="","",IF(BD_ESTADISTICA_INF_B[[#This Row],[POSICION]]="jugador",C124/E124,D124/E124))</f>
        <v>0.5</v>
      </c>
      <c r="G124" s="8"/>
      <c r="H124" s="8"/>
      <c r="I124" s="22">
        <v>1</v>
      </c>
      <c r="J124" s="22"/>
      <c r="K124" s="22"/>
      <c r="L124" s="22"/>
      <c r="M124" s="22"/>
      <c r="N124" s="22"/>
      <c r="O124" s="22">
        <v>4</v>
      </c>
      <c r="P124" s="22"/>
      <c r="Q124" s="22"/>
      <c r="R124" s="23">
        <v>7</v>
      </c>
      <c r="S124" s="24">
        <v>1</v>
      </c>
      <c r="T124" s="25" t="s">
        <v>79</v>
      </c>
      <c r="U124" s="11" t="s">
        <v>105</v>
      </c>
      <c r="V124" s="26" t="str">
        <f>IF(OR(BD_ESTADISTICA_INF_B[[#This Row],[Jugador]]="eudald",BD_ESTADISTICA_INF_B[[#This Row],[Jugador]]="jules",BD_ESTADISTICA_INF_B[[#This Row],[Jugador]]="JAN"),"PORTERO","JUGADOR")</f>
        <v>JUGADOR</v>
      </c>
      <c r="W124" s="26">
        <f>IF(BD_ESTADISTICA_INF_B[[#This Row],[POSICION]]="jugador",BD_ESTADISTICA_INF_B[[#This Row],[Goles]],0)</f>
        <v>2</v>
      </c>
      <c r="X124" s="26">
        <f>IF(BD_ESTADISTICA_INF_B[[#This Row],[POSICION]]="portero",BD_ESTADISTICA_INF_B[[#This Row],[Lanzam.]]-BD_ESTADISTICA_INF_B[[#This Row],[Paradas]],0)</f>
        <v>0</v>
      </c>
      <c r="Y124" s="26">
        <f>IF(BD_ESTADISTICA_INF_B[[#This Row],[POSICION]]="jugador",BD_ESTADISTICA_INF_B[[#This Row],[Lanzam.]],0)</f>
        <v>4</v>
      </c>
      <c r="Z124" s="26">
        <f>IF(BD_ESTADISTICA_INF_B[[#This Row],[POSICION]]="portero",BD_ESTADISTICA_INF_B[[#This Row],[Lanzam.]],0)</f>
        <v>0</v>
      </c>
    </row>
    <row r="125" spans="1:26" hidden="1">
      <c r="A125" s="21" t="s">
        <v>23</v>
      </c>
      <c r="B125" s="21"/>
      <c r="C125" s="22">
        <v>6</v>
      </c>
      <c r="D125" s="22"/>
      <c r="E125" s="22">
        <v>7</v>
      </c>
      <c r="F125" s="8">
        <f>IF(BD_ESTADISTICA_INF_B[[#This Row],[Lanzam.]]="","",IF(BD_ESTADISTICA_INF_B[[#This Row],[POSICION]]="jugador",C125/E125,D125/E125))</f>
        <v>0.8571428571428571</v>
      </c>
      <c r="G125" s="8"/>
      <c r="H125" s="8"/>
      <c r="I125" s="22">
        <v>4</v>
      </c>
      <c r="J125" s="22"/>
      <c r="K125" s="22"/>
      <c r="L125" s="22"/>
      <c r="M125" s="22"/>
      <c r="N125" s="22"/>
      <c r="O125" s="22">
        <v>2</v>
      </c>
      <c r="P125" s="22"/>
      <c r="Q125" s="22"/>
      <c r="R125" s="23">
        <v>7</v>
      </c>
      <c r="S125" s="24">
        <v>1</v>
      </c>
      <c r="T125" s="25" t="s">
        <v>79</v>
      </c>
      <c r="U125" s="11" t="s">
        <v>105</v>
      </c>
      <c r="V125" s="26" t="str">
        <f>IF(OR(BD_ESTADISTICA_INF_B[[#This Row],[Jugador]]="eudald",BD_ESTADISTICA_INF_B[[#This Row],[Jugador]]="jules",BD_ESTADISTICA_INF_B[[#This Row],[Jugador]]="JAN"),"PORTERO","JUGADOR")</f>
        <v>JUGADOR</v>
      </c>
      <c r="W125" s="26">
        <f>IF(BD_ESTADISTICA_INF_B[[#This Row],[POSICION]]="jugador",BD_ESTADISTICA_INF_B[[#This Row],[Goles]],0)</f>
        <v>6</v>
      </c>
      <c r="X125" s="26">
        <f>IF(BD_ESTADISTICA_INF_B[[#This Row],[POSICION]]="portero",BD_ESTADISTICA_INF_B[[#This Row],[Lanzam.]]-BD_ESTADISTICA_INF_B[[#This Row],[Paradas]],0)</f>
        <v>0</v>
      </c>
      <c r="Y125" s="26">
        <f>IF(BD_ESTADISTICA_INF_B[[#This Row],[POSICION]]="jugador",BD_ESTADISTICA_INF_B[[#This Row],[Lanzam.]],0)</f>
        <v>7</v>
      </c>
      <c r="Z125" s="26">
        <f>IF(BD_ESTADISTICA_INF_B[[#This Row],[POSICION]]="portero",BD_ESTADISTICA_INF_B[[#This Row],[Lanzam.]],0)</f>
        <v>0</v>
      </c>
    </row>
    <row r="126" spans="1:26" hidden="1">
      <c r="A126" s="21" t="s">
        <v>24</v>
      </c>
      <c r="B126" s="21"/>
      <c r="C126" s="22"/>
      <c r="D126" s="22"/>
      <c r="E126" s="22"/>
      <c r="F126" s="8" t="str">
        <f>IF(BD_ESTADISTICA_INF_B[[#This Row],[Lanzam.]]="","",IF(BD_ESTADISTICA_INF_B[[#This Row],[POSICION]]="jugador",C126/E126,D126/E126))</f>
        <v/>
      </c>
      <c r="G126" s="8"/>
      <c r="H126" s="8"/>
      <c r="I126" s="22"/>
      <c r="J126" s="22"/>
      <c r="K126" s="22"/>
      <c r="L126" s="22"/>
      <c r="M126" s="22"/>
      <c r="N126" s="22"/>
      <c r="O126" s="22"/>
      <c r="P126" s="22"/>
      <c r="Q126" s="22"/>
      <c r="R126" s="23">
        <v>7</v>
      </c>
      <c r="S126" s="24">
        <v>1</v>
      </c>
      <c r="T126" s="25" t="s">
        <v>79</v>
      </c>
      <c r="U126" s="11" t="s">
        <v>105</v>
      </c>
      <c r="V126" s="26" t="str">
        <f>IF(OR(BD_ESTADISTICA_INF_B[[#This Row],[Jugador]]="eudald",BD_ESTADISTICA_INF_B[[#This Row],[Jugador]]="jules",BD_ESTADISTICA_INF_B[[#This Row],[Jugador]]="JAN"),"PORTERO","JUGADOR")</f>
        <v>JUGADOR</v>
      </c>
      <c r="W126" s="26">
        <f>IF(BD_ESTADISTICA_INF_B[[#This Row],[POSICION]]="jugador",BD_ESTADISTICA_INF_B[[#This Row],[Goles]],0)</f>
        <v>0</v>
      </c>
      <c r="X126" s="26">
        <f>IF(BD_ESTADISTICA_INF_B[[#This Row],[POSICION]]="portero",BD_ESTADISTICA_INF_B[[#This Row],[Lanzam.]]-BD_ESTADISTICA_INF_B[[#This Row],[Paradas]],0)</f>
        <v>0</v>
      </c>
      <c r="Y126" s="26">
        <f>IF(BD_ESTADISTICA_INF_B[[#This Row],[POSICION]]="jugador",BD_ESTADISTICA_INF_B[[#This Row],[Lanzam.]],0)</f>
        <v>0</v>
      </c>
      <c r="Z126" s="26">
        <f>IF(BD_ESTADISTICA_INF_B[[#This Row],[POSICION]]="portero",BD_ESTADISTICA_INF_B[[#This Row],[Lanzam.]],0)</f>
        <v>0</v>
      </c>
    </row>
    <row r="127" spans="1:26" hidden="1">
      <c r="A127" s="21" t="s">
        <v>25</v>
      </c>
      <c r="B127" s="21"/>
      <c r="C127" s="22">
        <v>8</v>
      </c>
      <c r="D127" s="22"/>
      <c r="E127" s="22">
        <v>10</v>
      </c>
      <c r="F127" s="8">
        <f>IF(BD_ESTADISTICA_INF_B[[#This Row],[Lanzam.]]="","",IF(BD_ESTADISTICA_INF_B[[#This Row],[POSICION]]="jugador",C127/E127,D127/E127))</f>
        <v>0.8</v>
      </c>
      <c r="G127" s="8"/>
      <c r="H127" s="8"/>
      <c r="I127" s="22">
        <v>3</v>
      </c>
      <c r="J127" s="22">
        <v>1</v>
      </c>
      <c r="K127" s="22"/>
      <c r="L127" s="22"/>
      <c r="M127" s="22"/>
      <c r="N127" s="22"/>
      <c r="O127" s="22">
        <v>1</v>
      </c>
      <c r="P127" s="22">
        <v>1</v>
      </c>
      <c r="Q127" s="22">
        <v>1</v>
      </c>
      <c r="R127" s="23">
        <v>7</v>
      </c>
      <c r="S127" s="24">
        <v>1</v>
      </c>
      <c r="T127" s="25" t="s">
        <v>79</v>
      </c>
      <c r="U127" s="11" t="s">
        <v>105</v>
      </c>
      <c r="V127" s="26" t="str">
        <f>IF(OR(BD_ESTADISTICA_INF_B[[#This Row],[Jugador]]="eudald",BD_ESTADISTICA_INF_B[[#This Row],[Jugador]]="jules",BD_ESTADISTICA_INF_B[[#This Row],[Jugador]]="JAN"),"PORTERO","JUGADOR")</f>
        <v>JUGADOR</v>
      </c>
      <c r="W127" s="26">
        <f>IF(BD_ESTADISTICA_INF_B[[#This Row],[POSICION]]="jugador",BD_ESTADISTICA_INF_B[[#This Row],[Goles]],0)</f>
        <v>8</v>
      </c>
      <c r="X127" s="26">
        <f>IF(BD_ESTADISTICA_INF_B[[#This Row],[POSICION]]="portero",BD_ESTADISTICA_INF_B[[#This Row],[Lanzam.]]-BD_ESTADISTICA_INF_B[[#This Row],[Paradas]],0)</f>
        <v>0</v>
      </c>
      <c r="Y127" s="26">
        <f>IF(BD_ESTADISTICA_INF_B[[#This Row],[POSICION]]="jugador",BD_ESTADISTICA_INF_B[[#This Row],[Lanzam.]],0)</f>
        <v>10</v>
      </c>
      <c r="Z127" s="26">
        <f>IF(BD_ESTADISTICA_INF_B[[#This Row],[POSICION]]="portero",BD_ESTADISTICA_INF_B[[#This Row],[Lanzam.]],0)</f>
        <v>0</v>
      </c>
    </row>
    <row r="128" spans="1:26" hidden="1">
      <c r="A128" s="21" t="s">
        <v>26</v>
      </c>
      <c r="B128" s="21"/>
      <c r="C128" s="22">
        <v>6</v>
      </c>
      <c r="D128" s="22"/>
      <c r="E128" s="22">
        <v>6</v>
      </c>
      <c r="F128" s="8">
        <f>IF(BD_ESTADISTICA_INF_B[[#This Row],[Lanzam.]]="","",IF(BD_ESTADISTICA_INF_B[[#This Row],[POSICION]]="jugador",C128/E128,D128/E128))</f>
        <v>1</v>
      </c>
      <c r="G128" s="8"/>
      <c r="H128" s="8"/>
      <c r="I128" s="22">
        <v>6</v>
      </c>
      <c r="J128" s="22">
        <v>1</v>
      </c>
      <c r="K128" s="22"/>
      <c r="L128" s="22"/>
      <c r="M128" s="22"/>
      <c r="N128" s="22"/>
      <c r="O128" s="22">
        <v>3</v>
      </c>
      <c r="P128" s="22"/>
      <c r="Q128" s="22"/>
      <c r="R128" s="23">
        <v>7</v>
      </c>
      <c r="S128" s="24">
        <v>1</v>
      </c>
      <c r="T128" s="25" t="s">
        <v>79</v>
      </c>
      <c r="U128" s="11" t="s">
        <v>105</v>
      </c>
      <c r="V128" s="26" t="str">
        <f>IF(OR(BD_ESTADISTICA_INF_B[[#This Row],[Jugador]]="eudald",BD_ESTADISTICA_INF_B[[#This Row],[Jugador]]="jules",BD_ESTADISTICA_INF_B[[#This Row],[Jugador]]="JAN"),"PORTERO","JUGADOR")</f>
        <v>JUGADOR</v>
      </c>
      <c r="W128" s="26">
        <f>IF(BD_ESTADISTICA_INF_B[[#This Row],[POSICION]]="jugador",BD_ESTADISTICA_INF_B[[#This Row],[Goles]],0)</f>
        <v>6</v>
      </c>
      <c r="X128" s="26">
        <f>IF(BD_ESTADISTICA_INF_B[[#This Row],[POSICION]]="portero",BD_ESTADISTICA_INF_B[[#This Row],[Lanzam.]]-BD_ESTADISTICA_INF_B[[#This Row],[Paradas]],0)</f>
        <v>0</v>
      </c>
      <c r="Y128" s="26">
        <f>IF(BD_ESTADISTICA_INF_B[[#This Row],[POSICION]]="jugador",BD_ESTADISTICA_INF_B[[#This Row],[Lanzam.]],0)</f>
        <v>6</v>
      </c>
      <c r="Z128" s="26">
        <f>IF(BD_ESTADISTICA_INF_B[[#This Row],[POSICION]]="portero",BD_ESTADISTICA_INF_B[[#This Row],[Lanzam.]],0)</f>
        <v>0</v>
      </c>
    </row>
    <row r="129" spans="1:26" hidden="1">
      <c r="A129" s="21" t="s">
        <v>27</v>
      </c>
      <c r="B129" s="21"/>
      <c r="C129" s="22">
        <v>13</v>
      </c>
      <c r="D129" s="22"/>
      <c r="E129" s="22">
        <v>13</v>
      </c>
      <c r="F129" s="8">
        <f>IF(BD_ESTADISTICA_INF_B[[#This Row],[Lanzam.]]="","",IF(BD_ESTADISTICA_INF_B[[#This Row],[POSICION]]="jugador",C129/E129,D129/E129))</f>
        <v>1</v>
      </c>
      <c r="G129" s="8"/>
      <c r="H129" s="8"/>
      <c r="I129" s="22">
        <v>2</v>
      </c>
      <c r="J129" s="22"/>
      <c r="K129" s="22"/>
      <c r="L129" s="22"/>
      <c r="M129" s="22"/>
      <c r="N129" s="22"/>
      <c r="O129" s="22">
        <v>5</v>
      </c>
      <c r="P129" s="22"/>
      <c r="Q129" s="22"/>
      <c r="R129" s="23">
        <v>7</v>
      </c>
      <c r="S129" s="24">
        <v>1</v>
      </c>
      <c r="T129" s="25" t="s">
        <v>79</v>
      </c>
      <c r="U129" s="11" t="s">
        <v>105</v>
      </c>
      <c r="V129" s="26" t="str">
        <f>IF(OR(BD_ESTADISTICA_INF_B[[#This Row],[Jugador]]="eudald",BD_ESTADISTICA_INF_B[[#This Row],[Jugador]]="jules",BD_ESTADISTICA_INF_B[[#This Row],[Jugador]]="JAN"),"PORTERO","JUGADOR")</f>
        <v>JUGADOR</v>
      </c>
      <c r="W129" s="26">
        <f>IF(BD_ESTADISTICA_INF_B[[#This Row],[POSICION]]="jugador",BD_ESTADISTICA_INF_B[[#This Row],[Goles]],0)</f>
        <v>13</v>
      </c>
      <c r="X129" s="26">
        <f>IF(BD_ESTADISTICA_INF_B[[#This Row],[POSICION]]="portero",BD_ESTADISTICA_INF_B[[#This Row],[Lanzam.]]-BD_ESTADISTICA_INF_B[[#This Row],[Paradas]],0)</f>
        <v>0</v>
      </c>
      <c r="Y129" s="26">
        <f>IF(BD_ESTADISTICA_INF_B[[#This Row],[POSICION]]="jugador",BD_ESTADISTICA_INF_B[[#This Row],[Lanzam.]],0)</f>
        <v>13</v>
      </c>
      <c r="Z129" s="26">
        <f>IF(BD_ESTADISTICA_INF_B[[#This Row],[POSICION]]="portero",BD_ESTADISTICA_INF_B[[#This Row],[Lanzam.]],0)</f>
        <v>0</v>
      </c>
    </row>
    <row r="130" spans="1:26" hidden="1">
      <c r="A130" s="21" t="s">
        <v>28</v>
      </c>
      <c r="B130" s="21"/>
      <c r="C130" s="22">
        <v>3</v>
      </c>
      <c r="D130" s="22"/>
      <c r="E130" s="22">
        <v>5</v>
      </c>
      <c r="F130" s="8">
        <f>IF(BD_ESTADISTICA_INF_B[[#This Row],[Lanzam.]]="","",IF(BD_ESTADISTICA_INF_B[[#This Row],[POSICION]]="jugador",C130/E130,D130/E130))</f>
        <v>0.6</v>
      </c>
      <c r="G130" s="8"/>
      <c r="H130" s="8"/>
      <c r="I130" s="22">
        <v>5</v>
      </c>
      <c r="J130" s="22"/>
      <c r="K130" s="22">
        <v>2</v>
      </c>
      <c r="L130" s="22"/>
      <c r="M130" s="22"/>
      <c r="N130" s="22">
        <v>1</v>
      </c>
      <c r="O130" s="22">
        <v>2</v>
      </c>
      <c r="P130" s="22"/>
      <c r="Q130" s="22"/>
      <c r="R130" s="23">
        <v>7</v>
      </c>
      <c r="S130" s="24">
        <v>1</v>
      </c>
      <c r="T130" s="25" t="s">
        <v>79</v>
      </c>
      <c r="U130" s="11" t="s">
        <v>105</v>
      </c>
      <c r="V130" s="26" t="str">
        <f>IF(OR(BD_ESTADISTICA_INF_B[[#This Row],[Jugador]]="eudald",BD_ESTADISTICA_INF_B[[#This Row],[Jugador]]="jules",BD_ESTADISTICA_INF_B[[#This Row],[Jugador]]="JAN"),"PORTERO","JUGADOR")</f>
        <v>JUGADOR</v>
      </c>
      <c r="W130" s="26">
        <f>IF(BD_ESTADISTICA_INF_B[[#This Row],[POSICION]]="jugador",BD_ESTADISTICA_INF_B[[#This Row],[Goles]],0)</f>
        <v>3</v>
      </c>
      <c r="X130" s="26">
        <f>IF(BD_ESTADISTICA_INF_B[[#This Row],[POSICION]]="portero",BD_ESTADISTICA_INF_B[[#This Row],[Lanzam.]]-BD_ESTADISTICA_INF_B[[#This Row],[Paradas]],0)</f>
        <v>0</v>
      </c>
      <c r="Y130" s="26">
        <f>IF(BD_ESTADISTICA_INF_B[[#This Row],[POSICION]]="jugador",BD_ESTADISTICA_INF_B[[#This Row],[Lanzam.]],0)</f>
        <v>5</v>
      </c>
      <c r="Z130" s="26">
        <f>IF(BD_ESTADISTICA_INF_B[[#This Row],[POSICION]]="portero",BD_ESTADISTICA_INF_B[[#This Row],[Lanzam.]],0)</f>
        <v>0</v>
      </c>
    </row>
    <row r="131" spans="1:26" hidden="1">
      <c r="A131" s="21" t="s">
        <v>31</v>
      </c>
      <c r="B131" s="21"/>
      <c r="C131" s="29">
        <v>5</v>
      </c>
      <c r="D131" s="22">
        <v>5</v>
      </c>
      <c r="E131" s="22">
        <v>10</v>
      </c>
      <c r="F131" s="8">
        <f>IF(BD_ESTADISTICA_INF_B[[#This Row],[Lanzam.]]="","",IF(BD_ESTADISTICA_INF_B[[#This Row],[POSICION]]="jugador",C131/E131,D131/E131))</f>
        <v>0.5</v>
      </c>
      <c r="G131" s="8"/>
      <c r="H131" s="8"/>
      <c r="I131" s="22"/>
      <c r="J131" s="22"/>
      <c r="K131" s="22">
        <v>1</v>
      </c>
      <c r="L131" s="22"/>
      <c r="M131" s="22"/>
      <c r="N131" s="22"/>
      <c r="O131" s="22"/>
      <c r="P131" s="22"/>
      <c r="Q131" s="22"/>
      <c r="R131" s="23">
        <v>7</v>
      </c>
      <c r="S131" s="24">
        <v>1</v>
      </c>
      <c r="T131" s="25" t="s">
        <v>79</v>
      </c>
      <c r="U131" s="11" t="s">
        <v>105</v>
      </c>
      <c r="V131" s="26" t="str">
        <f>IF(OR(BD_ESTADISTICA_INF_B[[#This Row],[Jugador]]="eudald",BD_ESTADISTICA_INF_B[[#This Row],[Jugador]]="jules",BD_ESTADISTICA_INF_B[[#This Row],[Jugador]]="JAN"),"PORTERO","JUGADOR")</f>
        <v>PORTERO</v>
      </c>
      <c r="W131" s="26">
        <f>IF(BD_ESTADISTICA_INF_B[[#This Row],[POSICION]]="jugador",BD_ESTADISTICA_INF_B[[#This Row],[Goles]],0)</f>
        <v>0</v>
      </c>
      <c r="X131" s="26">
        <f>IF(BD_ESTADISTICA_INF_B[[#This Row],[POSICION]]="portero",BD_ESTADISTICA_INF_B[[#This Row],[Lanzam.]]-BD_ESTADISTICA_INF_B[[#This Row],[Paradas]],0)</f>
        <v>5</v>
      </c>
      <c r="Y131" s="26">
        <f>IF(BD_ESTADISTICA_INF_B[[#This Row],[POSICION]]="jugador",BD_ESTADISTICA_INF_B[[#This Row],[Lanzam.]],0)</f>
        <v>0</v>
      </c>
      <c r="Z131" s="26">
        <f>IF(BD_ESTADISTICA_INF_B[[#This Row],[POSICION]]="portero",BD_ESTADISTICA_INF_B[[#This Row],[Lanzam.]],0)</f>
        <v>10</v>
      </c>
    </row>
    <row r="132" spans="1:26" hidden="1">
      <c r="A132" s="21" t="s">
        <v>29</v>
      </c>
      <c r="B132" s="21"/>
      <c r="C132" s="28">
        <v>9</v>
      </c>
      <c r="D132" s="22">
        <v>9</v>
      </c>
      <c r="E132" s="22">
        <v>14</v>
      </c>
      <c r="F132" s="8">
        <f>IF(BD_ESTADISTICA_INF_B[[#This Row],[Lanzam.]]="","",IF(BD_ESTADISTICA_INF_B[[#This Row],[POSICION]]="jugador",C132/E132,D132/E132))</f>
        <v>0.6428571428571429</v>
      </c>
      <c r="G132" s="8"/>
      <c r="H132" s="8"/>
      <c r="I132" s="22"/>
      <c r="J132" s="22"/>
      <c r="K132" s="22"/>
      <c r="L132" s="22"/>
      <c r="M132" s="22"/>
      <c r="N132" s="22"/>
      <c r="O132" s="22"/>
      <c r="P132" s="22"/>
      <c r="Q132" s="22"/>
      <c r="R132" s="23">
        <v>7</v>
      </c>
      <c r="S132" s="24">
        <v>1</v>
      </c>
      <c r="T132" s="25" t="s">
        <v>79</v>
      </c>
      <c r="U132" s="11" t="s">
        <v>105</v>
      </c>
      <c r="V132" s="26" t="str">
        <f>IF(OR(BD_ESTADISTICA_INF_B[[#This Row],[Jugador]]="eudald",BD_ESTADISTICA_INF_B[[#This Row],[Jugador]]="jules",BD_ESTADISTICA_INF_B[[#This Row],[Jugador]]="JAN"),"PORTERO","JUGADOR")</f>
        <v>PORTERO</v>
      </c>
      <c r="W132" s="26">
        <f>IF(BD_ESTADISTICA_INF_B[[#This Row],[POSICION]]="jugador",BD_ESTADISTICA_INF_B[[#This Row],[Goles]],0)</f>
        <v>0</v>
      </c>
      <c r="X132" s="26">
        <f>IF(BD_ESTADISTICA_INF_B[[#This Row],[POSICION]]="portero",BD_ESTADISTICA_INF_B[[#This Row],[Lanzam.]]-BD_ESTADISTICA_INF_B[[#This Row],[Paradas]],0)</f>
        <v>5</v>
      </c>
      <c r="Y132" s="26">
        <f>IF(BD_ESTADISTICA_INF_B[[#This Row],[POSICION]]="jugador",BD_ESTADISTICA_INF_B[[#This Row],[Lanzam.]],0)</f>
        <v>0</v>
      </c>
      <c r="Z132" s="26">
        <f>IF(BD_ESTADISTICA_INF_B[[#This Row],[POSICION]]="portero",BD_ESTADISTICA_INF_B[[#This Row],[Lanzam.]],0)</f>
        <v>14</v>
      </c>
    </row>
    <row r="133" spans="1:26" hidden="1">
      <c r="A133" s="34" t="s">
        <v>30</v>
      </c>
      <c r="B133" s="34"/>
      <c r="C133" s="22"/>
      <c r="D133" s="22"/>
      <c r="E133" s="22"/>
      <c r="F133" s="8" t="str">
        <f>IF(BD_ESTADISTICA_INF_B[[#This Row],[Lanzam.]]="","",IF(BD_ESTADISTICA_INF_B[[#This Row],[POSICION]]="jugador",C133/E133,D133/E133))</f>
        <v/>
      </c>
      <c r="G133" s="8"/>
      <c r="H133" s="8"/>
      <c r="I133" s="22"/>
      <c r="J133" s="22"/>
      <c r="K133" s="22"/>
      <c r="L133" s="22"/>
      <c r="M133" s="22"/>
      <c r="N133" s="22"/>
      <c r="O133" s="22"/>
      <c r="P133" s="22"/>
      <c r="Q133" s="22"/>
      <c r="R133" s="23">
        <v>7</v>
      </c>
      <c r="S133" s="24">
        <v>1</v>
      </c>
      <c r="T133" s="25" t="s">
        <v>79</v>
      </c>
      <c r="U133" s="11" t="s">
        <v>105</v>
      </c>
      <c r="V133" s="26" t="str">
        <f>IF(OR(BD_ESTADISTICA_INF_B[[#This Row],[Jugador]]="eudald",BD_ESTADISTICA_INF_B[[#This Row],[Jugador]]="jules",BD_ESTADISTICA_INF_B[[#This Row],[Jugador]]="JAN"),"PORTERO","JUGADOR")</f>
        <v>PORTERO</v>
      </c>
      <c r="W133" s="26">
        <f>IF(BD_ESTADISTICA_INF_B[[#This Row],[POSICION]]="jugador",BD_ESTADISTICA_INF_B[[#This Row],[Goles]],0)</f>
        <v>0</v>
      </c>
      <c r="X133" s="26">
        <f>IF(BD_ESTADISTICA_INF_B[[#This Row],[POSICION]]="portero",BD_ESTADISTICA_INF_B[[#This Row],[Lanzam.]]-BD_ESTADISTICA_INF_B[[#This Row],[Paradas]],0)</f>
        <v>0</v>
      </c>
      <c r="Y133" s="26">
        <f>IF(BD_ESTADISTICA_INF_B[[#This Row],[POSICION]]="jugador",BD_ESTADISTICA_INF_B[[#This Row],[Lanzam.]],0)</f>
        <v>0</v>
      </c>
      <c r="Z133" s="26">
        <f>IF(BD_ESTADISTICA_INF_B[[#This Row],[POSICION]]="portero",BD_ESTADISTICA_INF_B[[#This Row],[Lanzam.]],0)</f>
        <v>0</v>
      </c>
    </row>
    <row r="134" spans="1:26" hidden="1">
      <c r="A134" s="34" t="s">
        <v>42</v>
      </c>
      <c r="B134" s="34"/>
      <c r="C134" s="22"/>
      <c r="D134" s="22"/>
      <c r="E134" s="22"/>
      <c r="F134" s="8" t="str">
        <f>IF(BD_ESTADISTICA_INF_B[[#This Row],[Lanzam.]]="","",IF(BD_ESTADISTICA_INF_B[[#This Row],[POSICION]]="jugador",C134/E134,D134/E134))</f>
        <v/>
      </c>
      <c r="G134" s="8"/>
      <c r="H134" s="8"/>
      <c r="I134" s="22"/>
      <c r="J134" s="22"/>
      <c r="K134" s="22"/>
      <c r="L134" s="22"/>
      <c r="M134" s="22"/>
      <c r="N134" s="22"/>
      <c r="O134" s="22"/>
      <c r="P134" s="22"/>
      <c r="Q134" s="22"/>
      <c r="R134" s="23">
        <v>7</v>
      </c>
      <c r="S134" s="24">
        <v>1</v>
      </c>
      <c r="T134" s="25" t="s">
        <v>79</v>
      </c>
      <c r="U134" s="11" t="s">
        <v>105</v>
      </c>
      <c r="V134" s="26" t="str">
        <f>IF(OR(BD_ESTADISTICA_INF_B[[#This Row],[Jugador]]="eudald",BD_ESTADISTICA_INF_B[[#This Row],[Jugador]]="jules",BD_ESTADISTICA_INF_B[[#This Row],[Jugador]]="JAN"),"PORTERO","JUGADOR")</f>
        <v>JUGADOR</v>
      </c>
      <c r="W134" s="26">
        <f>IF(BD_ESTADISTICA_INF_B[[#This Row],[POSICION]]="jugador",BD_ESTADISTICA_INF_B[[#This Row],[Goles]],0)</f>
        <v>0</v>
      </c>
      <c r="X134" s="26">
        <f>IF(BD_ESTADISTICA_INF_B[[#This Row],[POSICION]]="portero",BD_ESTADISTICA_INF_B[[#This Row],[Lanzam.]]-BD_ESTADISTICA_INF_B[[#This Row],[Paradas]],0)</f>
        <v>0</v>
      </c>
      <c r="Y134" s="26">
        <f>IF(BD_ESTADISTICA_INF_B[[#This Row],[POSICION]]="jugador",BD_ESTADISTICA_INF_B[[#This Row],[Lanzam.]],0)</f>
        <v>0</v>
      </c>
      <c r="Z134" s="26">
        <f>IF(BD_ESTADISTICA_INF_B[[#This Row],[POSICION]]="portero",BD_ESTADISTICA_INF_B[[#This Row],[Lanzam.]],0)</f>
        <v>0</v>
      </c>
    </row>
    <row r="135" spans="1:26" hidden="1">
      <c r="A135" s="21" t="s">
        <v>22</v>
      </c>
      <c r="B135" s="21"/>
      <c r="C135" s="22">
        <v>1</v>
      </c>
      <c r="D135" s="22"/>
      <c r="E135" s="22">
        <v>2</v>
      </c>
      <c r="F135" s="8">
        <f>IF(BD_ESTADISTICA_INF_B[[#This Row],[Lanzam.]]="","",IF(BD_ESTADISTICA_INF_B[[#This Row],[POSICION]]="jugador",C135/E135,D135/E135))</f>
        <v>0.5</v>
      </c>
      <c r="G135" s="8"/>
      <c r="H135" s="8"/>
      <c r="I135" s="22"/>
      <c r="J135" s="22">
        <v>1</v>
      </c>
      <c r="K135" s="22"/>
      <c r="L135" s="22"/>
      <c r="M135" s="22"/>
      <c r="N135" s="22"/>
      <c r="O135" s="22"/>
      <c r="P135" s="22"/>
      <c r="Q135" s="22"/>
      <c r="R135" s="23">
        <v>7</v>
      </c>
      <c r="S135" s="24">
        <v>1</v>
      </c>
      <c r="T135" s="25" t="s">
        <v>79</v>
      </c>
      <c r="U135" s="11" t="s">
        <v>105</v>
      </c>
      <c r="V135" s="26" t="str">
        <f>IF(OR(BD_ESTADISTICA_INF_B[[#This Row],[Jugador]]="eudald",BD_ESTADISTICA_INF_B[[#This Row],[Jugador]]="jules",BD_ESTADISTICA_INF_B[[#This Row],[Jugador]]="JAN"),"PORTERO","JUGADOR")</f>
        <v>JUGADOR</v>
      </c>
      <c r="W135" s="26">
        <f>IF(BD_ESTADISTICA_INF_B[[#This Row],[POSICION]]="jugador",BD_ESTADISTICA_INF_B[[#This Row],[Goles]],0)</f>
        <v>1</v>
      </c>
      <c r="X135" s="26">
        <f>IF(BD_ESTADISTICA_INF_B[[#This Row],[POSICION]]="portero",BD_ESTADISTICA_INF_B[[#This Row],[Lanzam.]]-BD_ESTADISTICA_INF_B[[#This Row],[Paradas]],0)</f>
        <v>0</v>
      </c>
      <c r="Y135" s="26">
        <f>IF(BD_ESTADISTICA_INF_B[[#This Row],[POSICION]]="jugador",BD_ESTADISTICA_INF_B[[#This Row],[Lanzam.]],0)</f>
        <v>2</v>
      </c>
      <c r="Z135" s="26">
        <f>IF(BD_ESTADISTICA_INF_B[[#This Row],[POSICION]]="portero",BD_ESTADISTICA_INF_B[[#This Row],[Lanzam.]],0)</f>
        <v>0</v>
      </c>
    </row>
    <row r="136" spans="1:26" hidden="1">
      <c r="A136" s="21" t="s">
        <v>16</v>
      </c>
      <c r="B136" s="21"/>
      <c r="C136" s="22"/>
      <c r="D136" s="22"/>
      <c r="E136" s="22"/>
      <c r="F136" s="8" t="str">
        <f>IF(BD_ESTADISTICA_INF_B[[#This Row],[Lanzam.]]="","",IF(BD_ESTADISTICA_INF_B[[#This Row],[POSICION]]="jugador",C136/E136,D136/E136))</f>
        <v/>
      </c>
      <c r="G136" s="8"/>
      <c r="H136" s="8"/>
      <c r="I136" s="22">
        <v>2</v>
      </c>
      <c r="J136" s="22"/>
      <c r="K136" s="22"/>
      <c r="L136" s="22"/>
      <c r="M136" s="22"/>
      <c r="N136" s="22"/>
      <c r="O136" s="22"/>
      <c r="P136" s="22"/>
      <c r="Q136" s="22">
        <v>1</v>
      </c>
      <c r="R136" s="23">
        <v>8</v>
      </c>
      <c r="S136" s="24">
        <v>1</v>
      </c>
      <c r="T136" s="25" t="s">
        <v>84</v>
      </c>
      <c r="U136" s="11" t="s">
        <v>106</v>
      </c>
      <c r="V136" s="26" t="str">
        <f>IF(OR(BD_ESTADISTICA_INF_B[[#This Row],[Jugador]]="eudald",BD_ESTADISTICA_INF_B[[#This Row],[Jugador]]="jules",BD_ESTADISTICA_INF_B[[#This Row],[Jugador]]="JAN"),"PORTERO","JUGADOR")</f>
        <v>JUGADOR</v>
      </c>
      <c r="W136" s="26">
        <f>IF(BD_ESTADISTICA_INF_B[[#This Row],[POSICION]]="jugador",BD_ESTADISTICA_INF_B[[#This Row],[Goles]],0)</f>
        <v>0</v>
      </c>
      <c r="X136" s="26">
        <f>IF(BD_ESTADISTICA_INF_B[[#This Row],[POSICION]]="portero",BD_ESTADISTICA_INF_B[[#This Row],[Lanzam.]]-BD_ESTADISTICA_INF_B[[#This Row],[Paradas]],0)</f>
        <v>0</v>
      </c>
      <c r="Y136" s="26">
        <f>IF(BD_ESTADISTICA_INF_B[[#This Row],[POSICION]]="jugador",BD_ESTADISTICA_INF_B[[#This Row],[Lanzam.]],0)</f>
        <v>0</v>
      </c>
      <c r="Z136" s="26">
        <f>IF(BD_ESTADISTICA_INF_B[[#This Row],[POSICION]]="portero",BD_ESTADISTICA_INF_B[[#This Row],[Lanzam.]],0)</f>
        <v>0</v>
      </c>
    </row>
    <row r="137" spans="1:26" hidden="1">
      <c r="A137" s="21" t="s">
        <v>17</v>
      </c>
      <c r="B137" s="21"/>
      <c r="C137" s="22">
        <v>3</v>
      </c>
      <c r="D137" s="22"/>
      <c r="E137" s="22">
        <v>3</v>
      </c>
      <c r="F137" s="8">
        <f>IF(BD_ESTADISTICA_INF_B[[#This Row],[Lanzam.]]="","",IF(BD_ESTADISTICA_INF_B[[#This Row],[POSICION]]="jugador",C137/E137,D137/E137))</f>
        <v>1</v>
      </c>
      <c r="G137" s="8"/>
      <c r="H137" s="8"/>
      <c r="I137" s="22"/>
      <c r="J137" s="22"/>
      <c r="K137" s="22"/>
      <c r="L137" s="22"/>
      <c r="M137" s="22"/>
      <c r="N137" s="22"/>
      <c r="O137" s="22">
        <v>2</v>
      </c>
      <c r="P137" s="22"/>
      <c r="Q137" s="22">
        <v>1</v>
      </c>
      <c r="R137" s="23">
        <v>8</v>
      </c>
      <c r="S137" s="24">
        <v>1</v>
      </c>
      <c r="T137" s="25" t="s">
        <v>84</v>
      </c>
      <c r="U137" s="11" t="s">
        <v>106</v>
      </c>
      <c r="V137" s="26" t="str">
        <f>IF(OR(BD_ESTADISTICA_INF_B[[#This Row],[Jugador]]="eudald",BD_ESTADISTICA_INF_B[[#This Row],[Jugador]]="jules",BD_ESTADISTICA_INF_B[[#This Row],[Jugador]]="JAN"),"PORTERO","JUGADOR")</f>
        <v>JUGADOR</v>
      </c>
      <c r="W137" s="26">
        <f>IF(BD_ESTADISTICA_INF_B[[#This Row],[POSICION]]="jugador",BD_ESTADISTICA_INF_B[[#This Row],[Goles]],0)</f>
        <v>3</v>
      </c>
      <c r="X137" s="26">
        <f>IF(BD_ESTADISTICA_INF_B[[#This Row],[POSICION]]="portero",BD_ESTADISTICA_INF_B[[#This Row],[Lanzam.]]-BD_ESTADISTICA_INF_B[[#This Row],[Paradas]],0)</f>
        <v>0</v>
      </c>
      <c r="Y137" s="26">
        <f>IF(BD_ESTADISTICA_INF_B[[#This Row],[POSICION]]="jugador",BD_ESTADISTICA_INF_B[[#This Row],[Lanzam.]],0)</f>
        <v>3</v>
      </c>
      <c r="Z137" s="26">
        <f>IF(BD_ESTADISTICA_INF_B[[#This Row],[POSICION]]="portero",BD_ESTADISTICA_INF_B[[#This Row],[Lanzam.]],0)</f>
        <v>0</v>
      </c>
    </row>
    <row r="138" spans="1:26" hidden="1">
      <c r="A138" s="21" t="s">
        <v>18</v>
      </c>
      <c r="B138" s="21"/>
      <c r="C138" s="22">
        <v>1</v>
      </c>
      <c r="D138" s="22"/>
      <c r="E138" s="22">
        <v>1</v>
      </c>
      <c r="F138" s="8">
        <f>IF(BD_ESTADISTICA_INF_B[[#This Row],[Lanzam.]]="","",IF(BD_ESTADISTICA_INF_B[[#This Row],[POSICION]]="jugador",C138/E138,D138/E138))</f>
        <v>1</v>
      </c>
      <c r="G138" s="8"/>
      <c r="H138" s="8"/>
      <c r="I138" s="22">
        <v>13</v>
      </c>
      <c r="J138" s="22"/>
      <c r="K138" s="22">
        <v>2</v>
      </c>
      <c r="L138" s="22"/>
      <c r="M138" s="22"/>
      <c r="N138" s="22"/>
      <c r="O138" s="22">
        <v>2</v>
      </c>
      <c r="P138" s="22">
        <v>1</v>
      </c>
      <c r="Q138" s="22">
        <v>1</v>
      </c>
      <c r="R138" s="23">
        <v>8</v>
      </c>
      <c r="S138" s="24">
        <v>1</v>
      </c>
      <c r="T138" s="25" t="s">
        <v>84</v>
      </c>
      <c r="U138" s="11" t="s">
        <v>106</v>
      </c>
      <c r="V138" s="26" t="str">
        <f>IF(OR(BD_ESTADISTICA_INF_B[[#This Row],[Jugador]]="eudald",BD_ESTADISTICA_INF_B[[#This Row],[Jugador]]="jules",BD_ESTADISTICA_INF_B[[#This Row],[Jugador]]="JAN"),"PORTERO","JUGADOR")</f>
        <v>JUGADOR</v>
      </c>
      <c r="W138" s="26">
        <f>IF(BD_ESTADISTICA_INF_B[[#This Row],[POSICION]]="jugador",BD_ESTADISTICA_INF_B[[#This Row],[Goles]],0)</f>
        <v>1</v>
      </c>
      <c r="X138" s="26">
        <f>IF(BD_ESTADISTICA_INF_B[[#This Row],[POSICION]]="portero",BD_ESTADISTICA_INF_B[[#This Row],[Lanzam.]]-BD_ESTADISTICA_INF_B[[#This Row],[Paradas]],0)</f>
        <v>0</v>
      </c>
      <c r="Y138" s="26">
        <f>IF(BD_ESTADISTICA_INF_B[[#This Row],[POSICION]]="jugador",BD_ESTADISTICA_INF_B[[#This Row],[Lanzam.]],0)</f>
        <v>1</v>
      </c>
      <c r="Z138" s="26">
        <f>IF(BD_ESTADISTICA_INF_B[[#This Row],[POSICION]]="portero",BD_ESTADISTICA_INF_B[[#This Row],[Lanzam.]],0)</f>
        <v>0</v>
      </c>
    </row>
    <row r="139" spans="1:26" hidden="1">
      <c r="A139" s="21" t="s">
        <v>19</v>
      </c>
      <c r="B139" s="21"/>
      <c r="C139" s="22">
        <v>3</v>
      </c>
      <c r="D139" s="22"/>
      <c r="E139" s="22">
        <v>5</v>
      </c>
      <c r="F139" s="8">
        <f>IF(BD_ESTADISTICA_INF_B[[#This Row],[Lanzam.]]="","",IF(BD_ESTADISTICA_INF_B[[#This Row],[POSICION]]="jugador",C139/E139,D139/E139))</f>
        <v>0.6</v>
      </c>
      <c r="G139" s="8"/>
      <c r="H139" s="8"/>
      <c r="I139" s="22">
        <v>2</v>
      </c>
      <c r="J139" s="22"/>
      <c r="K139" s="22"/>
      <c r="L139" s="22"/>
      <c r="M139" s="22"/>
      <c r="N139" s="22"/>
      <c r="O139" s="22">
        <v>1</v>
      </c>
      <c r="P139" s="22"/>
      <c r="Q139" s="22"/>
      <c r="R139" s="23">
        <v>8</v>
      </c>
      <c r="S139" s="24">
        <v>1</v>
      </c>
      <c r="T139" s="25" t="s">
        <v>84</v>
      </c>
      <c r="U139" s="11" t="s">
        <v>106</v>
      </c>
      <c r="V139" s="26" t="str">
        <f>IF(OR(BD_ESTADISTICA_INF_B[[#This Row],[Jugador]]="eudald",BD_ESTADISTICA_INF_B[[#This Row],[Jugador]]="jules",BD_ESTADISTICA_INF_B[[#This Row],[Jugador]]="JAN"),"PORTERO","JUGADOR")</f>
        <v>JUGADOR</v>
      </c>
      <c r="W139" s="26">
        <f>IF(BD_ESTADISTICA_INF_B[[#This Row],[POSICION]]="jugador",BD_ESTADISTICA_INF_B[[#This Row],[Goles]],0)</f>
        <v>3</v>
      </c>
      <c r="X139" s="26">
        <f>IF(BD_ESTADISTICA_INF_B[[#This Row],[POSICION]]="portero",BD_ESTADISTICA_INF_B[[#This Row],[Lanzam.]]-BD_ESTADISTICA_INF_B[[#This Row],[Paradas]],0)</f>
        <v>0</v>
      </c>
      <c r="Y139" s="26">
        <f>IF(BD_ESTADISTICA_INF_B[[#This Row],[POSICION]]="jugador",BD_ESTADISTICA_INF_B[[#This Row],[Lanzam.]],0)</f>
        <v>5</v>
      </c>
      <c r="Z139" s="26">
        <f>IF(BD_ESTADISTICA_INF_B[[#This Row],[POSICION]]="portero",BD_ESTADISTICA_INF_B[[#This Row],[Lanzam.]],0)</f>
        <v>0</v>
      </c>
    </row>
    <row r="140" spans="1:26" hidden="1">
      <c r="A140" s="34" t="s">
        <v>20</v>
      </c>
      <c r="B140" s="34"/>
      <c r="C140" s="22"/>
      <c r="D140" s="22"/>
      <c r="E140" s="22"/>
      <c r="F140" s="8" t="str">
        <f>IF(BD_ESTADISTICA_INF_B[[#This Row],[Lanzam.]]="","",IF(BD_ESTADISTICA_INF_B[[#This Row],[POSICION]]="jugador",C140/E140,D140/E140))</f>
        <v/>
      </c>
      <c r="G140" s="8"/>
      <c r="H140" s="8"/>
      <c r="I140" s="22"/>
      <c r="J140" s="22"/>
      <c r="K140" s="22"/>
      <c r="L140" s="22"/>
      <c r="M140" s="22"/>
      <c r="N140" s="22"/>
      <c r="O140" s="22"/>
      <c r="P140" s="22"/>
      <c r="Q140" s="22"/>
      <c r="R140" s="23">
        <v>8</v>
      </c>
      <c r="S140" s="24">
        <v>1</v>
      </c>
      <c r="T140" s="25" t="s">
        <v>84</v>
      </c>
      <c r="U140" s="11" t="s">
        <v>106</v>
      </c>
      <c r="V140" s="26" t="str">
        <f>IF(OR(BD_ESTADISTICA_INF_B[[#This Row],[Jugador]]="eudald",BD_ESTADISTICA_INF_B[[#This Row],[Jugador]]="jules",BD_ESTADISTICA_INF_B[[#This Row],[Jugador]]="JAN"),"PORTERO","JUGADOR")</f>
        <v>JUGADOR</v>
      </c>
      <c r="W140" s="26">
        <f>IF(BD_ESTADISTICA_INF_B[[#This Row],[POSICION]]="jugador",BD_ESTADISTICA_INF_B[[#This Row],[Goles]],0)</f>
        <v>0</v>
      </c>
      <c r="X140" s="26">
        <f>IF(BD_ESTADISTICA_INF_B[[#This Row],[POSICION]]="portero",BD_ESTADISTICA_INF_B[[#This Row],[Lanzam.]]-BD_ESTADISTICA_INF_B[[#This Row],[Paradas]],0)</f>
        <v>0</v>
      </c>
      <c r="Y140" s="26">
        <f>IF(BD_ESTADISTICA_INF_B[[#This Row],[POSICION]]="jugador",BD_ESTADISTICA_INF_B[[#This Row],[Lanzam.]],0)</f>
        <v>0</v>
      </c>
      <c r="Z140" s="26">
        <f>IF(BD_ESTADISTICA_INF_B[[#This Row],[POSICION]]="portero",BD_ESTADISTICA_INF_B[[#This Row],[Lanzam.]],0)</f>
        <v>0</v>
      </c>
    </row>
    <row r="141" spans="1:26" hidden="1">
      <c r="A141" s="21" t="s">
        <v>21</v>
      </c>
      <c r="B141" s="21"/>
      <c r="C141" s="22">
        <v>6</v>
      </c>
      <c r="D141" s="22"/>
      <c r="E141" s="22">
        <v>8</v>
      </c>
      <c r="F141" s="8">
        <f>IF(BD_ESTADISTICA_INF_B[[#This Row],[Lanzam.]]="","",IF(BD_ESTADISTICA_INF_B[[#This Row],[POSICION]]="jugador",C141/E141,D141/E141))</f>
        <v>0.75</v>
      </c>
      <c r="G141" s="8"/>
      <c r="H141" s="8"/>
      <c r="I141" s="22">
        <v>1</v>
      </c>
      <c r="J141" s="22"/>
      <c r="K141" s="22"/>
      <c r="L141" s="22"/>
      <c r="M141" s="22"/>
      <c r="N141" s="22">
        <v>1</v>
      </c>
      <c r="O141" s="22"/>
      <c r="P141" s="22"/>
      <c r="Q141" s="22"/>
      <c r="R141" s="23">
        <v>8</v>
      </c>
      <c r="S141" s="24">
        <v>1</v>
      </c>
      <c r="T141" s="25" t="s">
        <v>84</v>
      </c>
      <c r="U141" s="11" t="s">
        <v>106</v>
      </c>
      <c r="V141" s="26" t="str">
        <f>IF(OR(BD_ESTADISTICA_INF_B[[#This Row],[Jugador]]="eudald",BD_ESTADISTICA_INF_B[[#This Row],[Jugador]]="jules",BD_ESTADISTICA_INF_B[[#This Row],[Jugador]]="JAN"),"PORTERO","JUGADOR")</f>
        <v>JUGADOR</v>
      </c>
      <c r="W141" s="26">
        <f>IF(BD_ESTADISTICA_INF_B[[#This Row],[POSICION]]="jugador",BD_ESTADISTICA_INF_B[[#This Row],[Goles]],0)</f>
        <v>6</v>
      </c>
      <c r="X141" s="26">
        <f>IF(BD_ESTADISTICA_INF_B[[#This Row],[POSICION]]="portero",BD_ESTADISTICA_INF_B[[#This Row],[Lanzam.]]-BD_ESTADISTICA_INF_B[[#This Row],[Paradas]],0)</f>
        <v>0</v>
      </c>
      <c r="Y141" s="26">
        <f>IF(BD_ESTADISTICA_INF_B[[#This Row],[POSICION]]="jugador",BD_ESTADISTICA_INF_B[[#This Row],[Lanzam.]],0)</f>
        <v>8</v>
      </c>
      <c r="Z141" s="26">
        <f>IF(BD_ESTADISTICA_INF_B[[#This Row],[POSICION]]="portero",BD_ESTADISTICA_INF_B[[#This Row],[Lanzam.]],0)</f>
        <v>0</v>
      </c>
    </row>
    <row r="142" spans="1:26" hidden="1">
      <c r="A142" s="21" t="s">
        <v>40</v>
      </c>
      <c r="B142" s="21"/>
      <c r="C142" s="22">
        <v>4</v>
      </c>
      <c r="D142" s="22"/>
      <c r="E142" s="22">
        <v>4</v>
      </c>
      <c r="F142" s="8">
        <f>IF(BD_ESTADISTICA_INF_B[[#This Row],[Lanzam.]]="","",IF(BD_ESTADISTICA_INF_B[[#This Row],[POSICION]]="jugador",C142/E142,D142/E142))</f>
        <v>1</v>
      </c>
      <c r="G142" s="8"/>
      <c r="H142" s="8"/>
      <c r="I142" s="22">
        <v>5</v>
      </c>
      <c r="J142" s="22"/>
      <c r="K142" s="22"/>
      <c r="L142" s="22"/>
      <c r="M142" s="22"/>
      <c r="N142" s="22"/>
      <c r="O142" s="22">
        <v>1</v>
      </c>
      <c r="P142" s="22"/>
      <c r="Q142" s="22"/>
      <c r="R142" s="23">
        <v>8</v>
      </c>
      <c r="S142" s="24">
        <v>1</v>
      </c>
      <c r="T142" s="25" t="s">
        <v>84</v>
      </c>
      <c r="U142" s="11" t="s">
        <v>106</v>
      </c>
      <c r="V142" s="26" t="str">
        <f>IF(OR(BD_ESTADISTICA_INF_B[[#This Row],[Jugador]]="eudald",BD_ESTADISTICA_INF_B[[#This Row],[Jugador]]="jules",BD_ESTADISTICA_INF_B[[#This Row],[Jugador]]="JAN"),"PORTERO","JUGADOR")</f>
        <v>JUGADOR</v>
      </c>
      <c r="W142" s="26">
        <f>IF(BD_ESTADISTICA_INF_B[[#This Row],[POSICION]]="jugador",BD_ESTADISTICA_INF_B[[#This Row],[Goles]],0)</f>
        <v>4</v>
      </c>
      <c r="X142" s="26">
        <f>IF(BD_ESTADISTICA_INF_B[[#This Row],[POSICION]]="portero",BD_ESTADISTICA_INF_B[[#This Row],[Lanzam.]]-BD_ESTADISTICA_INF_B[[#This Row],[Paradas]],0)</f>
        <v>0</v>
      </c>
      <c r="Y142" s="26">
        <f>IF(BD_ESTADISTICA_INF_B[[#This Row],[POSICION]]="jugador",BD_ESTADISTICA_INF_B[[#This Row],[Lanzam.]],0)</f>
        <v>4</v>
      </c>
      <c r="Z142" s="26">
        <f>IF(BD_ESTADISTICA_INF_B[[#This Row],[POSICION]]="portero",BD_ESTADISTICA_INF_B[[#This Row],[Lanzam.]],0)</f>
        <v>0</v>
      </c>
    </row>
    <row r="143" spans="1:26" hidden="1">
      <c r="A143" s="21" t="s">
        <v>41</v>
      </c>
      <c r="B143" s="21"/>
      <c r="C143" s="22">
        <v>4</v>
      </c>
      <c r="D143" s="22"/>
      <c r="E143" s="22">
        <v>4</v>
      </c>
      <c r="F143" s="8">
        <f>IF(BD_ESTADISTICA_INF_B[[#This Row],[Lanzam.]]="","",IF(BD_ESTADISTICA_INF_B[[#This Row],[POSICION]]="jugador",C143/E143,D143/E143))</f>
        <v>1</v>
      </c>
      <c r="G143" s="8"/>
      <c r="H143" s="8"/>
      <c r="I143" s="22">
        <v>1</v>
      </c>
      <c r="J143" s="22"/>
      <c r="K143" s="22"/>
      <c r="L143" s="22"/>
      <c r="M143" s="22"/>
      <c r="N143" s="22"/>
      <c r="O143" s="22"/>
      <c r="P143" s="22"/>
      <c r="Q143" s="22"/>
      <c r="R143" s="23">
        <v>8</v>
      </c>
      <c r="S143" s="24">
        <v>1</v>
      </c>
      <c r="T143" s="25" t="s">
        <v>84</v>
      </c>
      <c r="U143" s="11" t="s">
        <v>106</v>
      </c>
      <c r="V143" s="26" t="str">
        <f>IF(OR(BD_ESTADISTICA_INF_B[[#This Row],[Jugador]]="eudald",BD_ESTADISTICA_INF_B[[#This Row],[Jugador]]="jules",BD_ESTADISTICA_INF_B[[#This Row],[Jugador]]="JAN"),"PORTERO","JUGADOR")</f>
        <v>JUGADOR</v>
      </c>
      <c r="W143" s="26">
        <f>IF(BD_ESTADISTICA_INF_B[[#This Row],[POSICION]]="jugador",BD_ESTADISTICA_INF_B[[#This Row],[Goles]],0)</f>
        <v>4</v>
      </c>
      <c r="X143" s="26">
        <f>IF(BD_ESTADISTICA_INF_B[[#This Row],[POSICION]]="portero",BD_ESTADISTICA_INF_B[[#This Row],[Lanzam.]]-BD_ESTADISTICA_INF_B[[#This Row],[Paradas]],0)</f>
        <v>0</v>
      </c>
      <c r="Y143" s="26">
        <f>IF(BD_ESTADISTICA_INF_B[[#This Row],[POSICION]]="jugador",BD_ESTADISTICA_INF_B[[#This Row],[Lanzam.]],0)</f>
        <v>4</v>
      </c>
      <c r="Z143" s="26">
        <f>IF(BD_ESTADISTICA_INF_B[[#This Row],[POSICION]]="portero",BD_ESTADISTICA_INF_B[[#This Row],[Lanzam.]],0)</f>
        <v>0</v>
      </c>
    </row>
    <row r="144" spans="1:26" hidden="1">
      <c r="A144" s="21" t="s">
        <v>23</v>
      </c>
      <c r="B144" s="21"/>
      <c r="C144" s="22">
        <v>2</v>
      </c>
      <c r="D144" s="22"/>
      <c r="E144" s="22">
        <v>2</v>
      </c>
      <c r="F144" s="8">
        <f>IF(BD_ESTADISTICA_INF_B[[#This Row],[Lanzam.]]="","",IF(BD_ESTADISTICA_INF_B[[#This Row],[POSICION]]="jugador",C144/E144,D144/E144))</f>
        <v>1</v>
      </c>
      <c r="G144" s="8"/>
      <c r="H144" s="8"/>
      <c r="I144" s="22">
        <v>1</v>
      </c>
      <c r="J144" s="22"/>
      <c r="K144" s="22"/>
      <c r="L144" s="22"/>
      <c r="M144" s="22"/>
      <c r="N144" s="22">
        <v>1</v>
      </c>
      <c r="O144" s="22">
        <v>1</v>
      </c>
      <c r="P144" s="22"/>
      <c r="Q144" s="22"/>
      <c r="R144" s="23">
        <v>8</v>
      </c>
      <c r="S144" s="24">
        <v>1</v>
      </c>
      <c r="T144" s="25" t="s">
        <v>84</v>
      </c>
      <c r="U144" s="11" t="s">
        <v>106</v>
      </c>
      <c r="V144" s="26" t="str">
        <f>IF(OR(BD_ESTADISTICA_INF_B[[#This Row],[Jugador]]="eudald",BD_ESTADISTICA_INF_B[[#This Row],[Jugador]]="jules",BD_ESTADISTICA_INF_B[[#This Row],[Jugador]]="JAN"),"PORTERO","JUGADOR")</f>
        <v>JUGADOR</v>
      </c>
      <c r="W144" s="26">
        <f>IF(BD_ESTADISTICA_INF_B[[#This Row],[POSICION]]="jugador",BD_ESTADISTICA_INF_B[[#This Row],[Goles]],0)</f>
        <v>2</v>
      </c>
      <c r="X144" s="26">
        <f>IF(BD_ESTADISTICA_INF_B[[#This Row],[POSICION]]="portero",BD_ESTADISTICA_INF_B[[#This Row],[Lanzam.]]-BD_ESTADISTICA_INF_B[[#This Row],[Paradas]],0)</f>
        <v>0</v>
      </c>
      <c r="Y144" s="26">
        <f>IF(BD_ESTADISTICA_INF_B[[#This Row],[POSICION]]="jugador",BD_ESTADISTICA_INF_B[[#This Row],[Lanzam.]],0)</f>
        <v>2</v>
      </c>
      <c r="Z144" s="26">
        <f>IF(BD_ESTADISTICA_INF_B[[#This Row],[POSICION]]="portero",BD_ESTADISTICA_INF_B[[#This Row],[Lanzam.]],0)</f>
        <v>0</v>
      </c>
    </row>
    <row r="145" spans="1:26" hidden="1">
      <c r="A145" s="21" t="s">
        <v>24</v>
      </c>
      <c r="B145" s="21"/>
      <c r="C145" s="22">
        <v>2</v>
      </c>
      <c r="D145" s="22"/>
      <c r="E145" s="22">
        <v>3</v>
      </c>
      <c r="F145" s="8">
        <f>IF(BD_ESTADISTICA_INF_B[[#This Row],[Lanzam.]]="","",IF(BD_ESTADISTICA_INF_B[[#This Row],[POSICION]]="jugador",C145/E145,D145/E145))</f>
        <v>0.66666666666666663</v>
      </c>
      <c r="G145" s="8"/>
      <c r="H145" s="8"/>
      <c r="I145" s="22"/>
      <c r="J145" s="22">
        <v>1</v>
      </c>
      <c r="K145" s="22"/>
      <c r="L145" s="22"/>
      <c r="M145" s="22"/>
      <c r="N145" s="22"/>
      <c r="O145" s="22">
        <v>1</v>
      </c>
      <c r="P145" s="22"/>
      <c r="Q145" s="22"/>
      <c r="R145" s="23">
        <v>8</v>
      </c>
      <c r="S145" s="24">
        <v>1</v>
      </c>
      <c r="T145" s="25" t="s">
        <v>84</v>
      </c>
      <c r="U145" s="11" t="s">
        <v>106</v>
      </c>
      <c r="V145" s="26" t="str">
        <f>IF(OR(BD_ESTADISTICA_INF_B[[#This Row],[Jugador]]="eudald",BD_ESTADISTICA_INF_B[[#This Row],[Jugador]]="jules",BD_ESTADISTICA_INF_B[[#This Row],[Jugador]]="JAN"),"PORTERO","JUGADOR")</f>
        <v>JUGADOR</v>
      </c>
      <c r="W145" s="26">
        <f>IF(BD_ESTADISTICA_INF_B[[#This Row],[POSICION]]="jugador",BD_ESTADISTICA_INF_B[[#This Row],[Goles]],0)</f>
        <v>2</v>
      </c>
      <c r="X145" s="26">
        <f>IF(BD_ESTADISTICA_INF_B[[#This Row],[POSICION]]="portero",BD_ESTADISTICA_INF_B[[#This Row],[Lanzam.]]-BD_ESTADISTICA_INF_B[[#This Row],[Paradas]],0)</f>
        <v>0</v>
      </c>
      <c r="Y145" s="26">
        <f>IF(BD_ESTADISTICA_INF_B[[#This Row],[POSICION]]="jugador",BD_ESTADISTICA_INF_B[[#This Row],[Lanzam.]],0)</f>
        <v>3</v>
      </c>
      <c r="Z145" s="26">
        <f>IF(BD_ESTADISTICA_INF_B[[#This Row],[POSICION]]="portero",BD_ESTADISTICA_INF_B[[#This Row],[Lanzam.]],0)</f>
        <v>0</v>
      </c>
    </row>
    <row r="146" spans="1:26" hidden="1">
      <c r="A146" s="21" t="s">
        <v>25</v>
      </c>
      <c r="B146" s="21"/>
      <c r="C146" s="22">
        <v>6</v>
      </c>
      <c r="D146" s="22"/>
      <c r="E146" s="22">
        <v>7</v>
      </c>
      <c r="F146" s="8">
        <f>IF(BD_ESTADISTICA_INF_B[[#This Row],[Lanzam.]]="","",IF(BD_ESTADISTICA_INF_B[[#This Row],[POSICION]]="jugador",C146/E146,D146/E146))</f>
        <v>0.8571428571428571</v>
      </c>
      <c r="G146" s="8"/>
      <c r="H146" s="8"/>
      <c r="I146" s="22">
        <v>3</v>
      </c>
      <c r="J146" s="22"/>
      <c r="K146" s="22">
        <v>1</v>
      </c>
      <c r="L146" s="22"/>
      <c r="M146" s="22"/>
      <c r="N146" s="22"/>
      <c r="O146" s="22">
        <v>2</v>
      </c>
      <c r="P146" s="22"/>
      <c r="Q146" s="22"/>
      <c r="R146" s="23">
        <v>8</v>
      </c>
      <c r="S146" s="24">
        <v>1</v>
      </c>
      <c r="T146" s="25" t="s">
        <v>84</v>
      </c>
      <c r="U146" s="11" t="s">
        <v>106</v>
      </c>
      <c r="V146" s="26" t="str">
        <f>IF(OR(BD_ESTADISTICA_INF_B[[#This Row],[Jugador]]="eudald",BD_ESTADISTICA_INF_B[[#This Row],[Jugador]]="jules",BD_ESTADISTICA_INF_B[[#This Row],[Jugador]]="JAN"),"PORTERO","JUGADOR")</f>
        <v>JUGADOR</v>
      </c>
      <c r="W146" s="26">
        <f>IF(BD_ESTADISTICA_INF_B[[#This Row],[POSICION]]="jugador",BD_ESTADISTICA_INF_B[[#This Row],[Goles]],0)</f>
        <v>6</v>
      </c>
      <c r="X146" s="26">
        <f>IF(BD_ESTADISTICA_INF_B[[#This Row],[POSICION]]="portero",BD_ESTADISTICA_INF_B[[#This Row],[Lanzam.]]-BD_ESTADISTICA_INF_B[[#This Row],[Paradas]],0)</f>
        <v>0</v>
      </c>
      <c r="Y146" s="26">
        <f>IF(BD_ESTADISTICA_INF_B[[#This Row],[POSICION]]="jugador",BD_ESTADISTICA_INF_B[[#This Row],[Lanzam.]],0)</f>
        <v>7</v>
      </c>
      <c r="Z146" s="26">
        <f>IF(BD_ESTADISTICA_INF_B[[#This Row],[POSICION]]="portero",BD_ESTADISTICA_INF_B[[#This Row],[Lanzam.]],0)</f>
        <v>0</v>
      </c>
    </row>
    <row r="147" spans="1:26" hidden="1">
      <c r="A147" s="21" t="s">
        <v>26</v>
      </c>
      <c r="B147" s="21"/>
      <c r="C147" s="22">
        <v>4</v>
      </c>
      <c r="D147" s="22"/>
      <c r="E147" s="22">
        <v>6</v>
      </c>
      <c r="F147" s="8">
        <f>IF(BD_ESTADISTICA_INF_B[[#This Row],[Lanzam.]]="","",IF(BD_ESTADISTICA_INF_B[[#This Row],[POSICION]]="jugador",C147/E147,D147/E147))</f>
        <v>0.66666666666666663</v>
      </c>
      <c r="G147" s="8"/>
      <c r="H147" s="8"/>
      <c r="I147" s="22">
        <v>1</v>
      </c>
      <c r="J147" s="22"/>
      <c r="K147" s="22"/>
      <c r="L147" s="22"/>
      <c r="M147" s="22"/>
      <c r="N147" s="22"/>
      <c r="O147" s="22"/>
      <c r="P147" s="22"/>
      <c r="Q147" s="22"/>
      <c r="R147" s="23">
        <v>8</v>
      </c>
      <c r="S147" s="24">
        <v>1</v>
      </c>
      <c r="T147" s="25" t="s">
        <v>84</v>
      </c>
      <c r="U147" s="11" t="s">
        <v>106</v>
      </c>
      <c r="V147" s="26" t="str">
        <f>IF(OR(BD_ESTADISTICA_INF_B[[#This Row],[Jugador]]="eudald",BD_ESTADISTICA_INF_B[[#This Row],[Jugador]]="jules",BD_ESTADISTICA_INF_B[[#This Row],[Jugador]]="JAN"),"PORTERO","JUGADOR")</f>
        <v>JUGADOR</v>
      </c>
      <c r="W147" s="26">
        <f>IF(BD_ESTADISTICA_INF_B[[#This Row],[POSICION]]="jugador",BD_ESTADISTICA_INF_B[[#This Row],[Goles]],0)</f>
        <v>4</v>
      </c>
      <c r="X147" s="26">
        <f>IF(BD_ESTADISTICA_INF_B[[#This Row],[POSICION]]="portero",BD_ESTADISTICA_INF_B[[#This Row],[Lanzam.]]-BD_ESTADISTICA_INF_B[[#This Row],[Paradas]],0)</f>
        <v>0</v>
      </c>
      <c r="Y147" s="26">
        <f>IF(BD_ESTADISTICA_INF_B[[#This Row],[POSICION]]="jugador",BD_ESTADISTICA_INF_B[[#This Row],[Lanzam.]],0)</f>
        <v>6</v>
      </c>
      <c r="Z147" s="26">
        <f>IF(BD_ESTADISTICA_INF_B[[#This Row],[POSICION]]="portero",BD_ESTADISTICA_INF_B[[#This Row],[Lanzam.]],0)</f>
        <v>0</v>
      </c>
    </row>
    <row r="148" spans="1:26" hidden="1">
      <c r="A148" s="21" t="s">
        <v>27</v>
      </c>
      <c r="B148" s="21"/>
      <c r="C148" s="22">
        <v>13</v>
      </c>
      <c r="D148" s="22"/>
      <c r="E148" s="22">
        <v>13</v>
      </c>
      <c r="F148" s="8">
        <f>IF(BD_ESTADISTICA_INF_B[[#This Row],[Lanzam.]]="","",IF(BD_ESTADISTICA_INF_B[[#This Row],[POSICION]]="jugador",C148/E148,D148/E148))</f>
        <v>1</v>
      </c>
      <c r="G148" s="8"/>
      <c r="H148" s="8"/>
      <c r="I148" s="22">
        <v>2</v>
      </c>
      <c r="J148" s="22">
        <v>1</v>
      </c>
      <c r="K148" s="22"/>
      <c r="L148" s="22"/>
      <c r="M148" s="22"/>
      <c r="N148" s="22">
        <v>1</v>
      </c>
      <c r="O148" s="22">
        <v>5</v>
      </c>
      <c r="P148" s="22"/>
      <c r="Q148" s="22">
        <v>1</v>
      </c>
      <c r="R148" s="23">
        <v>8</v>
      </c>
      <c r="S148" s="24">
        <v>1</v>
      </c>
      <c r="T148" s="25" t="s">
        <v>84</v>
      </c>
      <c r="U148" s="11" t="s">
        <v>106</v>
      </c>
      <c r="V148" s="26" t="str">
        <f>IF(OR(BD_ESTADISTICA_INF_B[[#This Row],[Jugador]]="eudald",BD_ESTADISTICA_INF_B[[#This Row],[Jugador]]="jules",BD_ESTADISTICA_INF_B[[#This Row],[Jugador]]="JAN"),"PORTERO","JUGADOR")</f>
        <v>JUGADOR</v>
      </c>
      <c r="W148" s="26">
        <f>IF(BD_ESTADISTICA_INF_B[[#This Row],[POSICION]]="jugador",BD_ESTADISTICA_INF_B[[#This Row],[Goles]],0)</f>
        <v>13</v>
      </c>
      <c r="X148" s="26">
        <f>IF(BD_ESTADISTICA_INF_B[[#This Row],[POSICION]]="portero",BD_ESTADISTICA_INF_B[[#This Row],[Lanzam.]]-BD_ESTADISTICA_INF_B[[#This Row],[Paradas]],0)</f>
        <v>0</v>
      </c>
      <c r="Y148" s="26">
        <f>IF(BD_ESTADISTICA_INF_B[[#This Row],[POSICION]]="jugador",BD_ESTADISTICA_INF_B[[#This Row],[Lanzam.]],0)</f>
        <v>13</v>
      </c>
      <c r="Z148" s="26">
        <f>IF(BD_ESTADISTICA_INF_B[[#This Row],[POSICION]]="portero",BD_ESTADISTICA_INF_B[[#This Row],[Lanzam.]],0)</f>
        <v>0</v>
      </c>
    </row>
    <row r="149" spans="1:26" hidden="1">
      <c r="A149" s="21" t="s">
        <v>28</v>
      </c>
      <c r="B149" s="21"/>
      <c r="C149" s="22">
        <v>1</v>
      </c>
      <c r="D149" s="22"/>
      <c r="E149" s="22">
        <v>2</v>
      </c>
      <c r="F149" s="8">
        <f>IF(BD_ESTADISTICA_INF_B[[#This Row],[Lanzam.]]="","",IF(BD_ESTADISTICA_INF_B[[#This Row],[POSICION]]="jugador",C149/E149,D149/E149))</f>
        <v>0.5</v>
      </c>
      <c r="G149" s="8"/>
      <c r="H149" s="8"/>
      <c r="I149" s="22">
        <v>1</v>
      </c>
      <c r="J149" s="22"/>
      <c r="K149" s="22">
        <v>1</v>
      </c>
      <c r="L149" s="22"/>
      <c r="M149" s="22"/>
      <c r="N149" s="22"/>
      <c r="O149" s="22"/>
      <c r="P149" s="22">
        <v>1</v>
      </c>
      <c r="Q149" s="22"/>
      <c r="R149" s="23">
        <v>8</v>
      </c>
      <c r="S149" s="24">
        <v>1</v>
      </c>
      <c r="T149" s="25" t="s">
        <v>84</v>
      </c>
      <c r="U149" s="11" t="s">
        <v>106</v>
      </c>
      <c r="V149" s="26" t="str">
        <f>IF(OR(BD_ESTADISTICA_INF_B[[#This Row],[Jugador]]="eudald",BD_ESTADISTICA_INF_B[[#This Row],[Jugador]]="jules",BD_ESTADISTICA_INF_B[[#This Row],[Jugador]]="JAN"),"PORTERO","JUGADOR")</f>
        <v>JUGADOR</v>
      </c>
      <c r="W149" s="26">
        <f>IF(BD_ESTADISTICA_INF_B[[#This Row],[POSICION]]="jugador",BD_ESTADISTICA_INF_B[[#This Row],[Goles]],0)</f>
        <v>1</v>
      </c>
      <c r="X149" s="26">
        <f>IF(BD_ESTADISTICA_INF_B[[#This Row],[POSICION]]="portero",BD_ESTADISTICA_INF_B[[#This Row],[Lanzam.]]-BD_ESTADISTICA_INF_B[[#This Row],[Paradas]],0)</f>
        <v>0</v>
      </c>
      <c r="Y149" s="26">
        <f>IF(BD_ESTADISTICA_INF_B[[#This Row],[POSICION]]="jugador",BD_ESTADISTICA_INF_B[[#This Row],[Lanzam.]],0)</f>
        <v>2</v>
      </c>
      <c r="Z149" s="26">
        <f>IF(BD_ESTADISTICA_INF_B[[#This Row],[POSICION]]="portero",BD_ESTADISTICA_INF_B[[#This Row],[Lanzam.]],0)</f>
        <v>0</v>
      </c>
    </row>
    <row r="150" spans="1:26" hidden="1">
      <c r="A150" s="34" t="s">
        <v>31</v>
      </c>
      <c r="B150" s="34"/>
      <c r="C150" s="22"/>
      <c r="D150" s="22"/>
      <c r="E150" s="22"/>
      <c r="F150" s="8" t="str">
        <f>IF(BD_ESTADISTICA_INF_B[[#This Row],[Lanzam.]]="","",IF(BD_ESTADISTICA_INF_B[[#This Row],[POSICION]]="jugador",C150/E150,D150/E150))</f>
        <v/>
      </c>
      <c r="G150" s="8"/>
      <c r="H150" s="8"/>
      <c r="I150" s="22"/>
      <c r="J150" s="22"/>
      <c r="K150" s="22"/>
      <c r="L150" s="22"/>
      <c r="M150" s="22"/>
      <c r="N150" s="22"/>
      <c r="O150" s="22"/>
      <c r="P150" s="22"/>
      <c r="Q150" s="22"/>
      <c r="R150" s="23">
        <v>8</v>
      </c>
      <c r="S150" s="24">
        <v>1</v>
      </c>
      <c r="T150" s="25" t="s">
        <v>84</v>
      </c>
      <c r="U150" s="11" t="s">
        <v>106</v>
      </c>
      <c r="V150" s="26" t="str">
        <f>IF(OR(BD_ESTADISTICA_INF_B[[#This Row],[Jugador]]="eudald",BD_ESTADISTICA_INF_B[[#This Row],[Jugador]]="jules",BD_ESTADISTICA_INF_B[[#This Row],[Jugador]]="JAN"),"PORTERO","JUGADOR")</f>
        <v>PORTERO</v>
      </c>
      <c r="W150" s="26">
        <f>IF(BD_ESTADISTICA_INF_B[[#This Row],[POSICION]]="jugador",BD_ESTADISTICA_INF_B[[#This Row],[Goles]],0)</f>
        <v>0</v>
      </c>
      <c r="X150" s="26">
        <f>IF(BD_ESTADISTICA_INF_B[[#This Row],[POSICION]]="portero",BD_ESTADISTICA_INF_B[[#This Row],[Lanzam.]]-BD_ESTADISTICA_INF_B[[#This Row],[Paradas]],0)</f>
        <v>0</v>
      </c>
      <c r="Y150" s="26">
        <f>IF(BD_ESTADISTICA_INF_B[[#This Row],[POSICION]]="jugador",BD_ESTADISTICA_INF_B[[#This Row],[Lanzam.]],0)</f>
        <v>0</v>
      </c>
      <c r="Z150" s="26">
        <f>IF(BD_ESTADISTICA_INF_B[[#This Row],[POSICION]]="portero",BD_ESTADISTICA_INF_B[[#This Row],[Lanzam.]],0)</f>
        <v>0</v>
      </c>
    </row>
    <row r="151" spans="1:26" hidden="1">
      <c r="A151" s="21" t="s">
        <v>29</v>
      </c>
      <c r="B151" s="21"/>
      <c r="C151" s="28">
        <v>8</v>
      </c>
      <c r="D151" s="22">
        <v>8</v>
      </c>
      <c r="E151" s="22">
        <v>16</v>
      </c>
      <c r="F151" s="8">
        <f>IF(BD_ESTADISTICA_INF_B[[#This Row],[Lanzam.]]="","",IF(BD_ESTADISTICA_INF_B[[#This Row],[POSICION]]="jugador",C151/E151,D151/E151))</f>
        <v>0.5</v>
      </c>
      <c r="G151" s="8"/>
      <c r="H151" s="8"/>
      <c r="I151" s="22"/>
      <c r="J151" s="22"/>
      <c r="K151" s="22"/>
      <c r="L151" s="22"/>
      <c r="M151" s="22"/>
      <c r="N151" s="22"/>
      <c r="O151" s="22"/>
      <c r="P151" s="22"/>
      <c r="Q151" s="22"/>
      <c r="R151" s="23">
        <v>8</v>
      </c>
      <c r="S151" s="24">
        <v>1</v>
      </c>
      <c r="T151" s="25" t="s">
        <v>84</v>
      </c>
      <c r="U151" s="11" t="s">
        <v>106</v>
      </c>
      <c r="V151" s="26" t="str">
        <f>IF(OR(BD_ESTADISTICA_INF_B[[#This Row],[Jugador]]="eudald",BD_ESTADISTICA_INF_B[[#This Row],[Jugador]]="jules",BD_ESTADISTICA_INF_B[[#This Row],[Jugador]]="JAN"),"PORTERO","JUGADOR")</f>
        <v>PORTERO</v>
      </c>
      <c r="W151" s="26">
        <f>IF(BD_ESTADISTICA_INF_B[[#This Row],[POSICION]]="jugador",BD_ESTADISTICA_INF_B[[#This Row],[Goles]],0)</f>
        <v>0</v>
      </c>
      <c r="X151" s="26">
        <f>IF(BD_ESTADISTICA_INF_B[[#This Row],[POSICION]]="portero",BD_ESTADISTICA_INF_B[[#This Row],[Lanzam.]]-BD_ESTADISTICA_INF_B[[#This Row],[Paradas]],0)</f>
        <v>8</v>
      </c>
      <c r="Y151" s="26">
        <f>IF(BD_ESTADISTICA_INF_B[[#This Row],[POSICION]]="jugador",BD_ESTADISTICA_INF_B[[#This Row],[Lanzam.]],0)</f>
        <v>0</v>
      </c>
      <c r="Z151" s="26">
        <f>IF(BD_ESTADISTICA_INF_B[[#This Row],[POSICION]]="portero",BD_ESTADISTICA_INF_B[[#This Row],[Lanzam.]],0)</f>
        <v>16</v>
      </c>
    </row>
    <row r="152" spans="1:26" hidden="1">
      <c r="A152" s="21" t="s">
        <v>30</v>
      </c>
      <c r="B152" s="21"/>
      <c r="C152" s="29">
        <v>11</v>
      </c>
      <c r="D152" s="22">
        <v>11</v>
      </c>
      <c r="E152" s="22">
        <v>15</v>
      </c>
      <c r="F152" s="8">
        <f>IF(BD_ESTADISTICA_INF_B[[#This Row],[Lanzam.]]="","",IF(BD_ESTADISTICA_INF_B[[#This Row],[POSICION]]="jugador",C152/E152,D152/E152))</f>
        <v>0.73333333333333328</v>
      </c>
      <c r="G152" s="8"/>
      <c r="H152" s="8"/>
      <c r="I152" s="22"/>
      <c r="J152" s="22"/>
      <c r="K152" s="22"/>
      <c r="L152" s="22"/>
      <c r="M152" s="22"/>
      <c r="N152" s="22"/>
      <c r="O152" s="22"/>
      <c r="P152" s="22"/>
      <c r="Q152" s="22"/>
      <c r="R152" s="23">
        <v>8</v>
      </c>
      <c r="S152" s="24">
        <v>1</v>
      </c>
      <c r="T152" s="25" t="s">
        <v>84</v>
      </c>
      <c r="U152" s="11" t="s">
        <v>106</v>
      </c>
      <c r="V152" s="26" t="str">
        <f>IF(OR(BD_ESTADISTICA_INF_B[[#This Row],[Jugador]]="eudald",BD_ESTADISTICA_INF_B[[#This Row],[Jugador]]="jules",BD_ESTADISTICA_INF_B[[#This Row],[Jugador]]="JAN"),"PORTERO","JUGADOR")</f>
        <v>PORTERO</v>
      </c>
      <c r="W152" s="26">
        <f>IF(BD_ESTADISTICA_INF_B[[#This Row],[POSICION]]="jugador",BD_ESTADISTICA_INF_B[[#This Row],[Goles]],0)</f>
        <v>0</v>
      </c>
      <c r="X152" s="26">
        <f>IF(BD_ESTADISTICA_INF_B[[#This Row],[POSICION]]="portero",BD_ESTADISTICA_INF_B[[#This Row],[Lanzam.]]-BD_ESTADISTICA_INF_B[[#This Row],[Paradas]],0)</f>
        <v>4</v>
      </c>
      <c r="Y152" s="26">
        <f>IF(BD_ESTADISTICA_INF_B[[#This Row],[POSICION]]="jugador",BD_ESTADISTICA_INF_B[[#This Row],[Lanzam.]],0)</f>
        <v>0</v>
      </c>
      <c r="Z152" s="26">
        <f>IF(BD_ESTADISTICA_INF_B[[#This Row],[POSICION]]="portero",BD_ESTADISTICA_INF_B[[#This Row],[Lanzam.]],0)</f>
        <v>15</v>
      </c>
    </row>
    <row r="153" spans="1:26" hidden="1">
      <c r="A153" s="21" t="s">
        <v>42</v>
      </c>
      <c r="B153" s="21"/>
      <c r="C153" s="22">
        <v>2</v>
      </c>
      <c r="D153" s="22"/>
      <c r="E153" s="22">
        <v>2</v>
      </c>
      <c r="F153" s="8">
        <f>IF(BD_ESTADISTICA_INF_B[[#This Row],[Lanzam.]]="","",IF(BD_ESTADISTICA_INF_B[[#This Row],[POSICION]]="jugador",C153/E153,D153/E153))</f>
        <v>1</v>
      </c>
      <c r="G153" s="8"/>
      <c r="H153" s="8"/>
      <c r="I153" s="22"/>
      <c r="J153" s="22"/>
      <c r="K153" s="22"/>
      <c r="L153" s="22"/>
      <c r="M153" s="22"/>
      <c r="N153" s="22"/>
      <c r="O153" s="22">
        <v>1</v>
      </c>
      <c r="P153" s="22"/>
      <c r="Q153" s="22"/>
      <c r="R153" s="23">
        <v>8</v>
      </c>
      <c r="S153" s="24">
        <v>1</v>
      </c>
      <c r="T153" s="25" t="s">
        <v>84</v>
      </c>
      <c r="U153" s="11" t="s">
        <v>106</v>
      </c>
      <c r="V153" s="26" t="str">
        <f>IF(OR(BD_ESTADISTICA_INF_B[[#This Row],[Jugador]]="eudald",BD_ESTADISTICA_INF_B[[#This Row],[Jugador]]="jules",BD_ESTADISTICA_INF_B[[#This Row],[Jugador]]="JAN"),"PORTERO","JUGADOR")</f>
        <v>JUGADOR</v>
      </c>
      <c r="W153" s="26">
        <f>IF(BD_ESTADISTICA_INF_B[[#This Row],[POSICION]]="jugador",BD_ESTADISTICA_INF_B[[#This Row],[Goles]],0)</f>
        <v>2</v>
      </c>
      <c r="X153" s="26">
        <f>IF(BD_ESTADISTICA_INF_B[[#This Row],[POSICION]]="portero",BD_ESTADISTICA_INF_B[[#This Row],[Lanzam.]]-BD_ESTADISTICA_INF_B[[#This Row],[Paradas]],0)</f>
        <v>0</v>
      </c>
      <c r="Y153" s="26">
        <f>IF(BD_ESTADISTICA_INF_B[[#This Row],[POSICION]]="jugador",BD_ESTADISTICA_INF_B[[#This Row],[Lanzam.]],0)</f>
        <v>2</v>
      </c>
      <c r="Z153" s="26">
        <f>IF(BD_ESTADISTICA_INF_B[[#This Row],[POSICION]]="portero",BD_ESTADISTICA_INF_B[[#This Row],[Lanzam.]],0)</f>
        <v>0</v>
      </c>
    </row>
    <row r="154" spans="1:26" hidden="1">
      <c r="A154" s="34" t="s">
        <v>22</v>
      </c>
      <c r="B154" s="34"/>
      <c r="C154" s="22"/>
      <c r="D154" s="22"/>
      <c r="E154" s="22"/>
      <c r="F154" s="8" t="str">
        <f>IF(BD_ESTADISTICA_INF_B[[#This Row],[Lanzam.]]="","",IF(BD_ESTADISTICA_INF_B[[#This Row],[POSICION]]="jugador",C154/E154,D154/E154))</f>
        <v/>
      </c>
      <c r="G154" s="8"/>
      <c r="H154" s="8"/>
      <c r="I154" s="22"/>
      <c r="J154" s="22"/>
      <c r="K154" s="22"/>
      <c r="L154" s="22"/>
      <c r="M154" s="22"/>
      <c r="N154" s="22"/>
      <c r="O154" s="22"/>
      <c r="P154" s="22"/>
      <c r="Q154" s="22"/>
      <c r="R154" s="23">
        <v>8</v>
      </c>
      <c r="S154" s="24">
        <v>1</v>
      </c>
      <c r="T154" s="25" t="s">
        <v>84</v>
      </c>
      <c r="U154" s="11" t="s">
        <v>106</v>
      </c>
      <c r="V154" s="26" t="str">
        <f>IF(OR(BD_ESTADISTICA_INF_B[[#This Row],[Jugador]]="eudald",BD_ESTADISTICA_INF_B[[#This Row],[Jugador]]="jules",BD_ESTADISTICA_INF_B[[#This Row],[Jugador]]="JAN"),"PORTERO","JUGADOR")</f>
        <v>JUGADOR</v>
      </c>
      <c r="W154" s="26">
        <f>IF(BD_ESTADISTICA_INF_B[[#This Row],[POSICION]]="jugador",BD_ESTADISTICA_INF_B[[#This Row],[Goles]],0)</f>
        <v>0</v>
      </c>
      <c r="X154" s="26">
        <f>IF(BD_ESTADISTICA_INF_B[[#This Row],[POSICION]]="portero",BD_ESTADISTICA_INF_B[[#This Row],[Lanzam.]]-BD_ESTADISTICA_INF_B[[#This Row],[Paradas]],0)</f>
        <v>0</v>
      </c>
      <c r="Y154" s="26">
        <f>IF(BD_ESTADISTICA_INF_B[[#This Row],[POSICION]]="jugador",BD_ESTADISTICA_INF_B[[#This Row],[Lanzam.]],0)</f>
        <v>0</v>
      </c>
      <c r="Z154" s="26">
        <f>IF(BD_ESTADISTICA_INF_B[[#This Row],[POSICION]]="portero",BD_ESTADISTICA_INF_B[[#This Row],[Lanzam.]],0)</f>
        <v>0</v>
      </c>
    </row>
    <row r="155" spans="1:26">
      <c r="A155" s="34" t="s">
        <v>16</v>
      </c>
      <c r="B155" s="34">
        <v>3</v>
      </c>
      <c r="C155" s="22"/>
      <c r="D155" s="22"/>
      <c r="E155" s="22"/>
      <c r="F155" s="8" t="str">
        <f>IF(BD_ESTADISTICA_INF_B[[#This Row],[Lanzam.]]="","",IF(BD_ESTADISTICA_INF_B[[#This Row],[POSICION]]="jugador",C155/E155,D155/E155))</f>
        <v/>
      </c>
      <c r="I155" s="22"/>
      <c r="J155" s="22"/>
      <c r="K155" s="22"/>
      <c r="L155" s="22"/>
      <c r="M155" s="22"/>
      <c r="N155" s="22"/>
      <c r="O155" s="22"/>
      <c r="P155" s="22"/>
      <c r="Q155" s="22"/>
      <c r="R155" s="23">
        <v>9</v>
      </c>
      <c r="S155" s="24">
        <v>1</v>
      </c>
      <c r="T155" s="25" t="s">
        <v>79</v>
      </c>
      <c r="U155" s="11" t="s">
        <v>110</v>
      </c>
      <c r="V155" s="26" t="str">
        <f>IF(OR(BD_ESTADISTICA_INF_B[[#This Row],[Jugador]]="eudald",BD_ESTADISTICA_INF_B[[#This Row],[Jugador]]="jules",BD_ESTADISTICA_INF_B[[#This Row],[Jugador]]="JAN"),"PORTERO","JUGADOR")</f>
        <v>JUGADOR</v>
      </c>
      <c r="W155" s="26">
        <f>IF(BD_ESTADISTICA_INF_B[[#This Row],[POSICION]]="jugador",BD_ESTADISTICA_INF_B[[#This Row],[Goles]],0)</f>
        <v>0</v>
      </c>
      <c r="X155" s="26">
        <f>IF(BD_ESTADISTICA_INF_B[[#This Row],[POSICION]]="portero",BD_ESTADISTICA_INF_B[[#This Row],[Lanzam.]]-BD_ESTADISTICA_INF_B[[#This Row],[Paradas]],0)</f>
        <v>0</v>
      </c>
      <c r="Y155" s="26">
        <f>IF(BD_ESTADISTICA_INF_B[[#This Row],[POSICION]]="jugador",BD_ESTADISTICA_INF_B[[#This Row],[Lanzam.]],0)</f>
        <v>0</v>
      </c>
      <c r="Z155" s="26">
        <f>IF(BD_ESTADISTICA_INF_B[[#This Row],[POSICION]]="portero",BD_ESTADISTICA_INF_B[[#This Row],[Lanzam.]],0)</f>
        <v>0</v>
      </c>
    </row>
    <row r="156" spans="1:26">
      <c r="A156" s="21" t="s">
        <v>17</v>
      </c>
      <c r="B156" s="21">
        <v>4</v>
      </c>
      <c r="C156" s="22">
        <v>3</v>
      </c>
      <c r="D156" s="22"/>
      <c r="E156" s="22">
        <v>3</v>
      </c>
      <c r="F156" s="8">
        <f>IF(BD_ESTADISTICA_INF_B[[#This Row],[Lanzam.]]="","",IF(BD_ESTADISTICA_INF_B[[#This Row],[POSICION]]="jugador",C156/E156,D156/E156))</f>
        <v>1</v>
      </c>
      <c r="I156" s="22">
        <v>1</v>
      </c>
      <c r="J156" s="22">
        <v>1</v>
      </c>
      <c r="K156" s="22"/>
      <c r="L156" s="22"/>
      <c r="M156" s="22"/>
      <c r="N156" s="22"/>
      <c r="O156" s="22"/>
      <c r="P156" s="22"/>
      <c r="Q156" s="22"/>
      <c r="R156" s="23">
        <v>9</v>
      </c>
      <c r="S156" s="24">
        <v>1</v>
      </c>
      <c r="T156" s="25" t="s">
        <v>79</v>
      </c>
      <c r="U156" s="11" t="s">
        <v>110</v>
      </c>
      <c r="V156" s="26" t="str">
        <f>IF(OR(BD_ESTADISTICA_INF_B[[#This Row],[Jugador]]="eudald",BD_ESTADISTICA_INF_B[[#This Row],[Jugador]]="jules",BD_ESTADISTICA_INF_B[[#This Row],[Jugador]]="JAN"),"PORTERO","JUGADOR")</f>
        <v>JUGADOR</v>
      </c>
      <c r="W156" s="26">
        <f>IF(BD_ESTADISTICA_INF_B[[#This Row],[POSICION]]="jugador",BD_ESTADISTICA_INF_B[[#This Row],[Goles]],0)</f>
        <v>3</v>
      </c>
      <c r="X156" s="26">
        <f>IF(BD_ESTADISTICA_INF_B[[#This Row],[POSICION]]="portero",BD_ESTADISTICA_INF_B[[#This Row],[Lanzam.]]-BD_ESTADISTICA_INF_B[[#This Row],[Paradas]],0)</f>
        <v>0</v>
      </c>
      <c r="Y156" s="26">
        <f>IF(BD_ESTADISTICA_INF_B[[#This Row],[POSICION]]="jugador",BD_ESTADISTICA_INF_B[[#This Row],[Lanzam.]],0)</f>
        <v>3</v>
      </c>
      <c r="Z156" s="26">
        <f>IF(BD_ESTADISTICA_INF_B[[#This Row],[POSICION]]="portero",BD_ESTADISTICA_INF_B[[#This Row],[Lanzam.]],0)</f>
        <v>0</v>
      </c>
    </row>
    <row r="157" spans="1:26">
      <c r="A157" s="21" t="s">
        <v>18</v>
      </c>
      <c r="B157" s="21">
        <v>7</v>
      </c>
      <c r="C157" s="22"/>
      <c r="D157" s="22"/>
      <c r="E157" s="22"/>
      <c r="F157" s="8" t="str">
        <f>IF(BD_ESTADISTICA_INF_B[[#This Row],[Lanzam.]]="","",IF(BD_ESTADISTICA_INF_B[[#This Row],[POSICION]]="jugador",C157/E157,D157/E157))</f>
        <v/>
      </c>
      <c r="I157" s="22">
        <v>12</v>
      </c>
      <c r="J157" s="22"/>
      <c r="K157" s="22">
        <v>1</v>
      </c>
      <c r="L157" s="22"/>
      <c r="M157" s="22"/>
      <c r="N157" s="22"/>
      <c r="O157" s="22">
        <v>1</v>
      </c>
      <c r="P157" s="22"/>
      <c r="Q157" s="22"/>
      <c r="R157" s="23">
        <v>9</v>
      </c>
      <c r="S157" s="24">
        <v>1</v>
      </c>
      <c r="T157" s="25" t="s">
        <v>79</v>
      </c>
      <c r="U157" s="11" t="s">
        <v>110</v>
      </c>
      <c r="V157" s="26" t="str">
        <f>IF(OR(BD_ESTADISTICA_INF_B[[#This Row],[Jugador]]="eudald",BD_ESTADISTICA_INF_B[[#This Row],[Jugador]]="jules",BD_ESTADISTICA_INF_B[[#This Row],[Jugador]]="JAN"),"PORTERO","JUGADOR")</f>
        <v>JUGADOR</v>
      </c>
      <c r="W157" s="26">
        <f>IF(BD_ESTADISTICA_INF_B[[#This Row],[POSICION]]="jugador",BD_ESTADISTICA_INF_B[[#This Row],[Goles]],0)</f>
        <v>0</v>
      </c>
      <c r="X157" s="26">
        <f>IF(BD_ESTADISTICA_INF_B[[#This Row],[POSICION]]="portero",BD_ESTADISTICA_INF_B[[#This Row],[Lanzam.]]-BD_ESTADISTICA_INF_B[[#This Row],[Paradas]],0)</f>
        <v>0</v>
      </c>
      <c r="Y157" s="26">
        <f>IF(BD_ESTADISTICA_INF_B[[#This Row],[POSICION]]="jugador",BD_ESTADISTICA_INF_B[[#This Row],[Lanzam.]],0)</f>
        <v>0</v>
      </c>
      <c r="Z157" s="26">
        <f>IF(BD_ESTADISTICA_INF_B[[#This Row],[POSICION]]="portero",BD_ESTADISTICA_INF_B[[#This Row],[Lanzam.]],0)</f>
        <v>0</v>
      </c>
    </row>
    <row r="158" spans="1:26">
      <c r="A158" s="21" t="s">
        <v>19</v>
      </c>
      <c r="B158" s="21">
        <v>8</v>
      </c>
      <c r="C158" s="22">
        <v>5</v>
      </c>
      <c r="D158" s="22"/>
      <c r="E158" s="22">
        <v>5</v>
      </c>
      <c r="F158" s="8">
        <f>IF(BD_ESTADISTICA_INF_B[[#This Row],[Lanzam.]]="","",IF(BD_ESTADISTICA_INF_B[[#This Row],[POSICION]]="jugador",C158/E158,D158/E158))</f>
        <v>1</v>
      </c>
      <c r="I158" s="22">
        <v>4</v>
      </c>
      <c r="J158" s="22"/>
      <c r="K158" s="22">
        <v>1</v>
      </c>
      <c r="L158" s="22"/>
      <c r="M158" s="22"/>
      <c r="N158" s="22"/>
      <c r="O158" s="22">
        <v>3</v>
      </c>
      <c r="P158" s="22"/>
      <c r="Q158" s="22"/>
      <c r="R158" s="23">
        <v>9</v>
      </c>
      <c r="S158" s="24">
        <v>1</v>
      </c>
      <c r="T158" s="25" t="s">
        <v>79</v>
      </c>
      <c r="U158" s="11" t="s">
        <v>110</v>
      </c>
      <c r="V158" s="26" t="str">
        <f>IF(OR(BD_ESTADISTICA_INF_B[[#This Row],[Jugador]]="eudald",BD_ESTADISTICA_INF_B[[#This Row],[Jugador]]="jules",BD_ESTADISTICA_INF_B[[#This Row],[Jugador]]="JAN"),"PORTERO","JUGADOR")</f>
        <v>JUGADOR</v>
      </c>
      <c r="W158" s="26">
        <f>IF(BD_ESTADISTICA_INF_B[[#This Row],[POSICION]]="jugador",BD_ESTADISTICA_INF_B[[#This Row],[Goles]],0)</f>
        <v>5</v>
      </c>
      <c r="X158" s="26">
        <f>IF(BD_ESTADISTICA_INF_B[[#This Row],[POSICION]]="portero",BD_ESTADISTICA_INF_B[[#This Row],[Lanzam.]]-BD_ESTADISTICA_INF_B[[#This Row],[Paradas]],0)</f>
        <v>0</v>
      </c>
      <c r="Y158" s="26">
        <f>IF(BD_ESTADISTICA_INF_B[[#This Row],[POSICION]]="jugador",BD_ESTADISTICA_INF_B[[#This Row],[Lanzam.]],0)</f>
        <v>5</v>
      </c>
      <c r="Z158" s="26">
        <f>IF(BD_ESTADISTICA_INF_B[[#This Row],[POSICION]]="portero",BD_ESTADISTICA_INF_B[[#This Row],[Lanzam.]],0)</f>
        <v>0</v>
      </c>
    </row>
    <row r="159" spans="1:26">
      <c r="A159" s="34" t="s">
        <v>20</v>
      </c>
      <c r="B159" s="34">
        <v>10</v>
      </c>
      <c r="C159" s="22"/>
      <c r="D159" s="22"/>
      <c r="E159" s="22"/>
      <c r="F159" s="8" t="str">
        <f>IF(BD_ESTADISTICA_INF_B[[#This Row],[Lanzam.]]="","",IF(BD_ESTADISTICA_INF_B[[#This Row],[POSICION]]="jugador",C159/E159,D159/E159))</f>
        <v/>
      </c>
      <c r="I159" s="22"/>
      <c r="J159" s="22"/>
      <c r="K159" s="22"/>
      <c r="L159" s="22"/>
      <c r="M159" s="22"/>
      <c r="N159" s="22"/>
      <c r="O159" s="22"/>
      <c r="P159" s="22"/>
      <c r="Q159" s="22"/>
      <c r="R159" s="23">
        <v>9</v>
      </c>
      <c r="S159" s="24">
        <v>1</v>
      </c>
      <c r="T159" s="25" t="s">
        <v>79</v>
      </c>
      <c r="U159" s="11" t="s">
        <v>110</v>
      </c>
      <c r="V159" s="26" t="str">
        <f>IF(OR(BD_ESTADISTICA_INF_B[[#This Row],[Jugador]]="eudald",BD_ESTADISTICA_INF_B[[#This Row],[Jugador]]="jules",BD_ESTADISTICA_INF_B[[#This Row],[Jugador]]="JAN"),"PORTERO","JUGADOR")</f>
        <v>JUGADOR</v>
      </c>
      <c r="W159" s="26">
        <f>IF(BD_ESTADISTICA_INF_B[[#This Row],[POSICION]]="jugador",BD_ESTADISTICA_INF_B[[#This Row],[Goles]],0)</f>
        <v>0</v>
      </c>
      <c r="X159" s="26">
        <f>IF(BD_ESTADISTICA_INF_B[[#This Row],[POSICION]]="portero",BD_ESTADISTICA_INF_B[[#This Row],[Lanzam.]]-BD_ESTADISTICA_INF_B[[#This Row],[Paradas]],0)</f>
        <v>0</v>
      </c>
      <c r="Y159" s="26">
        <f>IF(BD_ESTADISTICA_INF_B[[#This Row],[POSICION]]="jugador",BD_ESTADISTICA_INF_B[[#This Row],[Lanzam.]],0)</f>
        <v>0</v>
      </c>
      <c r="Z159" s="26">
        <f>IF(BD_ESTADISTICA_INF_B[[#This Row],[POSICION]]="portero",BD_ESTADISTICA_INF_B[[#This Row],[Lanzam.]],0)</f>
        <v>0</v>
      </c>
    </row>
    <row r="160" spans="1:26">
      <c r="A160" s="21" t="s">
        <v>21</v>
      </c>
      <c r="B160" s="21">
        <v>14</v>
      </c>
      <c r="C160" s="22">
        <v>7</v>
      </c>
      <c r="D160" s="22"/>
      <c r="E160" s="22">
        <v>7</v>
      </c>
      <c r="F160" s="8">
        <f>IF(BD_ESTADISTICA_INF_B[[#This Row],[Lanzam.]]="","",IF(BD_ESTADISTICA_INF_B[[#This Row],[POSICION]]="jugador",C160/E160,D160/E160))</f>
        <v>1</v>
      </c>
      <c r="I160" s="22">
        <v>2</v>
      </c>
      <c r="J160" s="22"/>
      <c r="K160" s="22"/>
      <c r="L160" s="22"/>
      <c r="M160" s="22"/>
      <c r="N160" s="22"/>
      <c r="O160" s="22"/>
      <c r="P160" s="22"/>
      <c r="Q160" s="22"/>
      <c r="R160" s="23">
        <v>9</v>
      </c>
      <c r="S160" s="24">
        <v>1</v>
      </c>
      <c r="T160" s="25" t="s">
        <v>79</v>
      </c>
      <c r="U160" s="11" t="s">
        <v>110</v>
      </c>
      <c r="V160" s="26" t="str">
        <f>IF(OR(BD_ESTADISTICA_INF_B[[#This Row],[Jugador]]="eudald",BD_ESTADISTICA_INF_B[[#This Row],[Jugador]]="jules",BD_ESTADISTICA_INF_B[[#This Row],[Jugador]]="JAN"),"PORTERO","JUGADOR")</f>
        <v>JUGADOR</v>
      </c>
      <c r="W160" s="26">
        <f>IF(BD_ESTADISTICA_INF_B[[#This Row],[POSICION]]="jugador",BD_ESTADISTICA_INF_B[[#This Row],[Goles]],0)</f>
        <v>7</v>
      </c>
      <c r="X160" s="26">
        <f>IF(BD_ESTADISTICA_INF_B[[#This Row],[POSICION]]="portero",BD_ESTADISTICA_INF_B[[#This Row],[Lanzam.]]-BD_ESTADISTICA_INF_B[[#This Row],[Paradas]],0)</f>
        <v>0</v>
      </c>
      <c r="Y160" s="26">
        <f>IF(BD_ESTADISTICA_INF_B[[#This Row],[POSICION]]="jugador",BD_ESTADISTICA_INF_B[[#This Row],[Lanzam.]],0)</f>
        <v>7</v>
      </c>
      <c r="Z160" s="26">
        <f>IF(BD_ESTADISTICA_INF_B[[#This Row],[POSICION]]="portero",BD_ESTADISTICA_INF_B[[#This Row],[Lanzam.]],0)</f>
        <v>0</v>
      </c>
    </row>
    <row r="161" spans="1:26">
      <c r="A161" s="21" t="s">
        <v>40</v>
      </c>
      <c r="B161" s="21">
        <v>18</v>
      </c>
      <c r="C161" s="22">
        <v>2</v>
      </c>
      <c r="D161" s="22"/>
      <c r="E161" s="22">
        <v>2</v>
      </c>
      <c r="F161" s="8">
        <f>IF(BD_ESTADISTICA_INF_B[[#This Row],[Lanzam.]]="","",IF(BD_ESTADISTICA_INF_B[[#This Row],[POSICION]]="jugador",C161/E161,D161/E161))</f>
        <v>1</v>
      </c>
      <c r="I161" s="22">
        <v>1</v>
      </c>
      <c r="J161" s="22"/>
      <c r="K161" s="22"/>
      <c r="L161" s="22"/>
      <c r="M161" s="22"/>
      <c r="N161" s="22"/>
      <c r="O161" s="22">
        <v>1</v>
      </c>
      <c r="P161" s="22"/>
      <c r="Q161" s="22"/>
      <c r="R161" s="23">
        <v>9</v>
      </c>
      <c r="S161" s="24">
        <v>1</v>
      </c>
      <c r="T161" s="25" t="s">
        <v>79</v>
      </c>
      <c r="U161" s="11" t="s">
        <v>110</v>
      </c>
      <c r="V161" s="26" t="str">
        <f>IF(OR(BD_ESTADISTICA_INF_B[[#This Row],[Jugador]]="eudald",BD_ESTADISTICA_INF_B[[#This Row],[Jugador]]="jules",BD_ESTADISTICA_INF_B[[#This Row],[Jugador]]="JAN"),"PORTERO","JUGADOR")</f>
        <v>JUGADOR</v>
      </c>
      <c r="W161" s="26">
        <f>IF(BD_ESTADISTICA_INF_B[[#This Row],[POSICION]]="jugador",BD_ESTADISTICA_INF_B[[#This Row],[Goles]],0)</f>
        <v>2</v>
      </c>
      <c r="X161" s="26">
        <f>IF(BD_ESTADISTICA_INF_B[[#This Row],[POSICION]]="portero",BD_ESTADISTICA_INF_B[[#This Row],[Lanzam.]]-BD_ESTADISTICA_INF_B[[#This Row],[Paradas]],0)</f>
        <v>0</v>
      </c>
      <c r="Y161" s="26">
        <f>IF(BD_ESTADISTICA_INF_B[[#This Row],[POSICION]]="jugador",BD_ESTADISTICA_INF_B[[#This Row],[Lanzam.]],0)</f>
        <v>2</v>
      </c>
      <c r="Z161" s="26">
        <f>IF(BD_ESTADISTICA_INF_B[[#This Row],[POSICION]]="portero",BD_ESTADISTICA_INF_B[[#This Row],[Lanzam.]],0)</f>
        <v>0</v>
      </c>
    </row>
    <row r="162" spans="1:26">
      <c r="A162" s="21" t="s">
        <v>41</v>
      </c>
      <c r="B162" s="21">
        <v>31</v>
      </c>
      <c r="C162" s="22">
        <v>4</v>
      </c>
      <c r="D162" s="22"/>
      <c r="E162" s="22">
        <v>5</v>
      </c>
      <c r="F162" s="8">
        <f>IF(BD_ESTADISTICA_INF_B[[#This Row],[Lanzam.]]="","",IF(BD_ESTADISTICA_INF_B[[#This Row],[POSICION]]="jugador",C162/E162,D162/E162))</f>
        <v>0.8</v>
      </c>
      <c r="I162" s="22"/>
      <c r="J162" s="22"/>
      <c r="K162" s="22"/>
      <c r="L162" s="22"/>
      <c r="M162" s="22"/>
      <c r="N162" s="22"/>
      <c r="O162" s="22">
        <v>1</v>
      </c>
      <c r="P162" s="22"/>
      <c r="Q162" s="22"/>
      <c r="R162" s="23">
        <v>9</v>
      </c>
      <c r="S162" s="24">
        <v>1</v>
      </c>
      <c r="T162" s="25" t="s">
        <v>79</v>
      </c>
      <c r="U162" s="11" t="s">
        <v>110</v>
      </c>
      <c r="V162" s="26" t="str">
        <f>IF(OR(BD_ESTADISTICA_INF_B[[#This Row],[Jugador]]="eudald",BD_ESTADISTICA_INF_B[[#This Row],[Jugador]]="jules",BD_ESTADISTICA_INF_B[[#This Row],[Jugador]]="JAN"),"PORTERO","JUGADOR")</f>
        <v>JUGADOR</v>
      </c>
      <c r="W162" s="26">
        <f>IF(BD_ESTADISTICA_INF_B[[#This Row],[POSICION]]="jugador",BD_ESTADISTICA_INF_B[[#This Row],[Goles]],0)</f>
        <v>4</v>
      </c>
      <c r="X162" s="26">
        <f>IF(BD_ESTADISTICA_INF_B[[#This Row],[POSICION]]="portero",BD_ESTADISTICA_INF_B[[#This Row],[Lanzam.]]-BD_ESTADISTICA_INF_B[[#This Row],[Paradas]],0)</f>
        <v>0</v>
      </c>
      <c r="Y162" s="26">
        <f>IF(BD_ESTADISTICA_INF_B[[#This Row],[POSICION]]="jugador",BD_ESTADISTICA_INF_B[[#This Row],[Lanzam.]],0)</f>
        <v>5</v>
      </c>
      <c r="Z162" s="26">
        <f>IF(BD_ESTADISTICA_INF_B[[#This Row],[POSICION]]="portero",BD_ESTADISTICA_INF_B[[#This Row],[Lanzam.]],0)</f>
        <v>0</v>
      </c>
    </row>
    <row r="163" spans="1:26">
      <c r="A163" s="21" t="s">
        <v>23</v>
      </c>
      <c r="B163" s="21">
        <v>24</v>
      </c>
      <c r="C163" s="22">
        <v>5</v>
      </c>
      <c r="D163" s="22"/>
      <c r="E163" s="22">
        <v>5</v>
      </c>
      <c r="F163" s="8">
        <f>IF(BD_ESTADISTICA_INF_B[[#This Row],[Lanzam.]]="","",IF(BD_ESTADISTICA_INF_B[[#This Row],[POSICION]]="jugador",C163/E163,D163/E163))</f>
        <v>1</v>
      </c>
      <c r="I163" s="22">
        <v>2</v>
      </c>
      <c r="J163" s="22"/>
      <c r="K163" s="22"/>
      <c r="L163" s="22"/>
      <c r="M163" s="22"/>
      <c r="N163" s="22"/>
      <c r="O163" s="22">
        <v>3</v>
      </c>
      <c r="P163" s="22"/>
      <c r="Q163" s="22"/>
      <c r="R163" s="23">
        <v>9</v>
      </c>
      <c r="S163" s="24">
        <v>1</v>
      </c>
      <c r="T163" s="25" t="s">
        <v>79</v>
      </c>
      <c r="U163" s="11" t="s">
        <v>110</v>
      </c>
      <c r="V163" s="26" t="str">
        <f>IF(OR(BD_ESTADISTICA_INF_B[[#This Row],[Jugador]]="eudald",BD_ESTADISTICA_INF_B[[#This Row],[Jugador]]="jules",BD_ESTADISTICA_INF_B[[#This Row],[Jugador]]="JAN"),"PORTERO","JUGADOR")</f>
        <v>JUGADOR</v>
      </c>
      <c r="W163" s="26">
        <f>IF(BD_ESTADISTICA_INF_B[[#This Row],[POSICION]]="jugador",BD_ESTADISTICA_INF_B[[#This Row],[Goles]],0)</f>
        <v>5</v>
      </c>
      <c r="X163" s="26">
        <f>IF(BD_ESTADISTICA_INF_B[[#This Row],[POSICION]]="portero",BD_ESTADISTICA_INF_B[[#This Row],[Lanzam.]]-BD_ESTADISTICA_INF_B[[#This Row],[Paradas]],0)</f>
        <v>0</v>
      </c>
      <c r="Y163" s="26">
        <f>IF(BD_ESTADISTICA_INF_B[[#This Row],[POSICION]]="jugador",BD_ESTADISTICA_INF_B[[#This Row],[Lanzam.]],0)</f>
        <v>5</v>
      </c>
      <c r="Z163" s="26">
        <f>IF(BD_ESTADISTICA_INF_B[[#This Row],[POSICION]]="portero",BD_ESTADISTICA_INF_B[[#This Row],[Lanzam.]],0)</f>
        <v>0</v>
      </c>
    </row>
    <row r="164" spans="1:26">
      <c r="A164" s="21" t="s">
        <v>24</v>
      </c>
      <c r="B164" s="21">
        <v>26</v>
      </c>
      <c r="C164" s="22">
        <v>2</v>
      </c>
      <c r="D164" s="22"/>
      <c r="E164" s="22">
        <v>4</v>
      </c>
      <c r="F164" s="8">
        <f>IF(BD_ESTADISTICA_INF_B[[#This Row],[Lanzam.]]="","",IF(BD_ESTADISTICA_INF_B[[#This Row],[POSICION]]="jugador",C164/E164,D164/E164))</f>
        <v>0.5</v>
      </c>
      <c r="I164" s="22"/>
      <c r="J164" s="22"/>
      <c r="K164" s="22">
        <v>1</v>
      </c>
      <c r="L164" s="22"/>
      <c r="M164" s="22"/>
      <c r="N164" s="22"/>
      <c r="O164" s="22">
        <v>2</v>
      </c>
      <c r="P164" s="22"/>
      <c r="Q164" s="22"/>
      <c r="R164" s="23">
        <v>9</v>
      </c>
      <c r="S164" s="24">
        <v>1</v>
      </c>
      <c r="T164" s="25" t="s">
        <v>79</v>
      </c>
      <c r="U164" s="11" t="s">
        <v>110</v>
      </c>
      <c r="V164" s="26" t="str">
        <f>IF(OR(BD_ESTADISTICA_INF_B[[#This Row],[Jugador]]="eudald",BD_ESTADISTICA_INF_B[[#This Row],[Jugador]]="jules",BD_ESTADISTICA_INF_B[[#This Row],[Jugador]]="JAN"),"PORTERO","JUGADOR")</f>
        <v>JUGADOR</v>
      </c>
      <c r="W164" s="26">
        <f>IF(BD_ESTADISTICA_INF_B[[#This Row],[POSICION]]="jugador",BD_ESTADISTICA_INF_B[[#This Row],[Goles]],0)</f>
        <v>2</v>
      </c>
      <c r="X164" s="26">
        <f>IF(BD_ESTADISTICA_INF_B[[#This Row],[POSICION]]="portero",BD_ESTADISTICA_INF_B[[#This Row],[Lanzam.]]-BD_ESTADISTICA_INF_B[[#This Row],[Paradas]],0)</f>
        <v>0</v>
      </c>
      <c r="Y164" s="26">
        <f>IF(BD_ESTADISTICA_INF_B[[#This Row],[POSICION]]="jugador",BD_ESTADISTICA_INF_B[[#This Row],[Lanzam.]],0)</f>
        <v>4</v>
      </c>
      <c r="Z164" s="26">
        <f>IF(BD_ESTADISTICA_INF_B[[#This Row],[POSICION]]="portero",BD_ESTADISTICA_INF_B[[#This Row],[Lanzam.]],0)</f>
        <v>0</v>
      </c>
    </row>
    <row r="165" spans="1:26">
      <c r="A165" s="34" t="s">
        <v>25</v>
      </c>
      <c r="B165" s="34">
        <v>35</v>
      </c>
      <c r="C165" s="22"/>
      <c r="D165" s="22"/>
      <c r="E165" s="22"/>
      <c r="F165" s="8" t="str">
        <f>IF(BD_ESTADISTICA_INF_B[[#This Row],[Lanzam.]]="","",IF(BD_ESTADISTICA_INF_B[[#This Row],[POSICION]]="jugador",C165/E165,D165/E165))</f>
        <v/>
      </c>
      <c r="I165" s="22"/>
      <c r="J165" s="22"/>
      <c r="K165" s="22"/>
      <c r="L165" s="22"/>
      <c r="M165" s="22"/>
      <c r="N165" s="22"/>
      <c r="O165" s="22"/>
      <c r="P165" s="22"/>
      <c r="Q165" s="22"/>
      <c r="R165" s="23">
        <v>9</v>
      </c>
      <c r="S165" s="24">
        <v>1</v>
      </c>
      <c r="T165" s="25" t="s">
        <v>79</v>
      </c>
      <c r="U165" s="11" t="s">
        <v>110</v>
      </c>
      <c r="V165" s="26" t="str">
        <f>IF(OR(BD_ESTADISTICA_INF_B[[#This Row],[Jugador]]="eudald",BD_ESTADISTICA_INF_B[[#This Row],[Jugador]]="jules",BD_ESTADISTICA_INF_B[[#This Row],[Jugador]]="JAN"),"PORTERO","JUGADOR")</f>
        <v>JUGADOR</v>
      </c>
      <c r="W165" s="26">
        <f>IF(BD_ESTADISTICA_INF_B[[#This Row],[POSICION]]="jugador",BD_ESTADISTICA_INF_B[[#This Row],[Goles]],0)</f>
        <v>0</v>
      </c>
      <c r="X165" s="26">
        <f>IF(BD_ESTADISTICA_INF_B[[#This Row],[POSICION]]="portero",BD_ESTADISTICA_INF_B[[#This Row],[Lanzam.]]-BD_ESTADISTICA_INF_B[[#This Row],[Paradas]],0)</f>
        <v>0</v>
      </c>
      <c r="Y165" s="26">
        <f>IF(BD_ESTADISTICA_INF_B[[#This Row],[POSICION]]="jugador",BD_ESTADISTICA_INF_B[[#This Row],[Lanzam.]],0)</f>
        <v>0</v>
      </c>
      <c r="Z165" s="26">
        <f>IF(BD_ESTADISTICA_INF_B[[#This Row],[POSICION]]="portero",BD_ESTADISTICA_INF_B[[#This Row],[Lanzam.]],0)</f>
        <v>0</v>
      </c>
    </row>
    <row r="166" spans="1:26">
      <c r="A166" s="21" t="s">
        <v>26</v>
      </c>
      <c r="B166" s="21">
        <v>44</v>
      </c>
      <c r="C166" s="22">
        <v>2</v>
      </c>
      <c r="D166" s="22"/>
      <c r="E166" s="22">
        <v>3</v>
      </c>
      <c r="F166" s="8">
        <f>IF(BD_ESTADISTICA_INF_B[[#This Row],[Lanzam.]]="","",IF(BD_ESTADISTICA_INF_B[[#This Row],[POSICION]]="jugador",C166/E166,D166/E166))</f>
        <v>0.66666666666666663</v>
      </c>
      <c r="I166" s="22">
        <v>1</v>
      </c>
      <c r="J166" s="22"/>
      <c r="K166" s="22"/>
      <c r="L166" s="22"/>
      <c r="M166" s="22">
        <v>1</v>
      </c>
      <c r="N166" s="22"/>
      <c r="O166" s="22">
        <v>4</v>
      </c>
      <c r="P166" s="22"/>
      <c r="Q166" s="22"/>
      <c r="R166" s="23">
        <v>9</v>
      </c>
      <c r="S166" s="24">
        <v>1</v>
      </c>
      <c r="T166" s="25" t="s">
        <v>79</v>
      </c>
      <c r="U166" s="11" t="s">
        <v>110</v>
      </c>
      <c r="V166" s="26" t="str">
        <f>IF(OR(BD_ESTADISTICA_INF_B[[#This Row],[Jugador]]="eudald",BD_ESTADISTICA_INF_B[[#This Row],[Jugador]]="jules",BD_ESTADISTICA_INF_B[[#This Row],[Jugador]]="JAN"),"PORTERO","JUGADOR")</f>
        <v>JUGADOR</v>
      </c>
      <c r="W166" s="26">
        <f>IF(BD_ESTADISTICA_INF_B[[#This Row],[POSICION]]="jugador",BD_ESTADISTICA_INF_B[[#This Row],[Goles]],0)</f>
        <v>2</v>
      </c>
      <c r="X166" s="26">
        <f>IF(BD_ESTADISTICA_INF_B[[#This Row],[POSICION]]="portero",BD_ESTADISTICA_INF_B[[#This Row],[Lanzam.]]-BD_ESTADISTICA_INF_B[[#This Row],[Paradas]],0)</f>
        <v>0</v>
      </c>
      <c r="Y166" s="26">
        <f>IF(BD_ESTADISTICA_INF_B[[#This Row],[POSICION]]="jugador",BD_ESTADISTICA_INF_B[[#This Row],[Lanzam.]],0)</f>
        <v>3</v>
      </c>
      <c r="Z166" s="26">
        <f>IF(BD_ESTADISTICA_INF_B[[#This Row],[POSICION]]="portero",BD_ESTADISTICA_INF_B[[#This Row],[Lanzam.]],0)</f>
        <v>0</v>
      </c>
    </row>
    <row r="167" spans="1:26">
      <c r="A167" s="21" t="s">
        <v>27</v>
      </c>
      <c r="B167" s="21">
        <v>77</v>
      </c>
      <c r="C167" s="22">
        <v>12</v>
      </c>
      <c r="D167" s="22"/>
      <c r="E167" s="22">
        <v>13</v>
      </c>
      <c r="F167" s="8">
        <f>IF(BD_ESTADISTICA_INF_B[[#This Row],[Lanzam.]]="","",IF(BD_ESTADISTICA_INF_B[[#This Row],[POSICION]]="jugador",C167/E167,D167/E167))</f>
        <v>0.92307692307692313</v>
      </c>
      <c r="G167" s="42">
        <v>3</v>
      </c>
      <c r="H167" s="42">
        <v>3</v>
      </c>
      <c r="I167" s="22">
        <v>4</v>
      </c>
      <c r="J167" s="22"/>
      <c r="K167" s="22">
        <v>2</v>
      </c>
      <c r="L167" s="22"/>
      <c r="M167" s="22"/>
      <c r="N167" s="22"/>
      <c r="O167" s="22">
        <v>9</v>
      </c>
      <c r="P167" s="22"/>
      <c r="Q167" s="22"/>
      <c r="R167" s="23">
        <v>9</v>
      </c>
      <c r="S167" s="24">
        <v>1</v>
      </c>
      <c r="T167" s="25" t="s">
        <v>79</v>
      </c>
      <c r="U167" s="11" t="s">
        <v>110</v>
      </c>
      <c r="V167" s="26" t="str">
        <f>IF(OR(BD_ESTADISTICA_INF_B[[#This Row],[Jugador]]="eudald",BD_ESTADISTICA_INF_B[[#This Row],[Jugador]]="jules",BD_ESTADISTICA_INF_B[[#This Row],[Jugador]]="JAN"),"PORTERO","JUGADOR")</f>
        <v>JUGADOR</v>
      </c>
      <c r="W167" s="26">
        <f>IF(BD_ESTADISTICA_INF_B[[#This Row],[POSICION]]="jugador",BD_ESTADISTICA_INF_B[[#This Row],[Goles]],0)</f>
        <v>12</v>
      </c>
      <c r="X167" s="26">
        <f>IF(BD_ESTADISTICA_INF_B[[#This Row],[POSICION]]="portero",BD_ESTADISTICA_INF_B[[#This Row],[Lanzam.]]-BD_ESTADISTICA_INF_B[[#This Row],[Paradas]],0)</f>
        <v>0</v>
      </c>
      <c r="Y167" s="26">
        <f>IF(BD_ESTADISTICA_INF_B[[#This Row],[POSICION]]="jugador",BD_ESTADISTICA_INF_B[[#This Row],[Lanzam.]],0)</f>
        <v>13</v>
      </c>
      <c r="Z167" s="26">
        <f>IF(BD_ESTADISTICA_INF_B[[#This Row],[POSICION]]="portero",BD_ESTADISTICA_INF_B[[#This Row],[Lanzam.]],0)</f>
        <v>0</v>
      </c>
    </row>
    <row r="168" spans="1:26">
      <c r="A168" s="34" t="s">
        <v>28</v>
      </c>
      <c r="B168" s="34">
        <v>79</v>
      </c>
      <c r="C168" s="22"/>
      <c r="D168" s="22"/>
      <c r="E168" s="22"/>
      <c r="F168" s="8" t="str">
        <f>IF(BD_ESTADISTICA_INF_B[[#This Row],[Lanzam.]]="","",IF(BD_ESTADISTICA_INF_B[[#This Row],[POSICION]]="jugador",C168/E168,D168/E168))</f>
        <v/>
      </c>
      <c r="I168" s="22"/>
      <c r="J168" s="22"/>
      <c r="K168" s="22"/>
      <c r="L168" s="22"/>
      <c r="M168" s="22"/>
      <c r="N168" s="22"/>
      <c r="O168" s="22"/>
      <c r="P168" s="22"/>
      <c r="Q168" s="22"/>
      <c r="R168" s="23">
        <v>9</v>
      </c>
      <c r="S168" s="24">
        <v>1</v>
      </c>
      <c r="T168" s="25" t="s">
        <v>79</v>
      </c>
      <c r="U168" s="11" t="s">
        <v>110</v>
      </c>
      <c r="V168" s="26" t="str">
        <f>IF(OR(BD_ESTADISTICA_INF_B[[#This Row],[Jugador]]="eudald",BD_ESTADISTICA_INF_B[[#This Row],[Jugador]]="jules",BD_ESTADISTICA_INF_B[[#This Row],[Jugador]]="JAN"),"PORTERO","JUGADOR")</f>
        <v>JUGADOR</v>
      </c>
      <c r="W168" s="26">
        <f>IF(BD_ESTADISTICA_INF_B[[#This Row],[POSICION]]="jugador",BD_ESTADISTICA_INF_B[[#This Row],[Goles]],0)</f>
        <v>0</v>
      </c>
      <c r="X168" s="26">
        <f>IF(BD_ESTADISTICA_INF_B[[#This Row],[POSICION]]="portero",BD_ESTADISTICA_INF_B[[#This Row],[Lanzam.]]-BD_ESTADISTICA_INF_B[[#This Row],[Paradas]],0)</f>
        <v>0</v>
      </c>
      <c r="Y168" s="26">
        <f>IF(BD_ESTADISTICA_INF_B[[#This Row],[POSICION]]="jugador",BD_ESTADISTICA_INF_B[[#This Row],[Lanzam.]],0)</f>
        <v>0</v>
      </c>
      <c r="Z168" s="26">
        <f>IF(BD_ESTADISTICA_INF_B[[#This Row],[POSICION]]="portero",BD_ESTADISTICA_INF_B[[#This Row],[Lanzam.]],0)</f>
        <v>0</v>
      </c>
    </row>
    <row r="169" spans="1:26">
      <c r="A169" s="34" t="s">
        <v>31</v>
      </c>
      <c r="B169" s="34">
        <v>27</v>
      </c>
      <c r="C169" s="22"/>
      <c r="D169" s="22"/>
      <c r="E169" s="22"/>
      <c r="F169" s="8" t="str">
        <f>IF(BD_ESTADISTICA_INF_B[[#This Row],[Lanzam.]]="","",IF(BD_ESTADISTICA_INF_B[[#This Row],[POSICION]]="jugador",C169/E169,D169/E169))</f>
        <v/>
      </c>
      <c r="I169" s="22"/>
      <c r="J169" s="22"/>
      <c r="K169" s="22"/>
      <c r="L169" s="22"/>
      <c r="M169" s="22"/>
      <c r="N169" s="22"/>
      <c r="O169" s="22"/>
      <c r="P169" s="22"/>
      <c r="Q169" s="22"/>
      <c r="R169" s="23">
        <v>9</v>
      </c>
      <c r="S169" s="24">
        <v>1</v>
      </c>
      <c r="T169" s="25" t="s">
        <v>79</v>
      </c>
      <c r="U169" s="11" t="s">
        <v>110</v>
      </c>
      <c r="V169" s="26" t="str">
        <f>IF(OR(BD_ESTADISTICA_INF_B[[#This Row],[Jugador]]="eudald",BD_ESTADISTICA_INF_B[[#This Row],[Jugador]]="jules",BD_ESTADISTICA_INF_B[[#This Row],[Jugador]]="JAN"),"PORTERO","JUGADOR")</f>
        <v>PORTERO</v>
      </c>
      <c r="W169" s="26">
        <f>IF(BD_ESTADISTICA_INF_B[[#This Row],[POSICION]]="jugador",BD_ESTADISTICA_INF_B[[#This Row],[Goles]],0)</f>
        <v>0</v>
      </c>
      <c r="X169" s="26">
        <f>IF(BD_ESTADISTICA_INF_B[[#This Row],[POSICION]]="portero",BD_ESTADISTICA_INF_B[[#This Row],[Lanzam.]]-BD_ESTADISTICA_INF_B[[#This Row],[Paradas]],0)</f>
        <v>0</v>
      </c>
      <c r="Y169" s="26">
        <f>IF(BD_ESTADISTICA_INF_B[[#This Row],[POSICION]]="jugador",BD_ESTADISTICA_INF_B[[#This Row],[Lanzam.]],0)</f>
        <v>0</v>
      </c>
      <c r="Z169" s="26">
        <f>IF(BD_ESTADISTICA_INF_B[[#This Row],[POSICION]]="portero",BD_ESTADISTICA_INF_B[[#This Row],[Lanzam.]],0)</f>
        <v>0</v>
      </c>
    </row>
    <row r="170" spans="1:26">
      <c r="A170" s="21" t="s">
        <v>29</v>
      </c>
      <c r="B170" s="21">
        <v>1</v>
      </c>
      <c r="C170" s="28">
        <v>6</v>
      </c>
      <c r="D170" s="22">
        <v>6</v>
      </c>
      <c r="E170" s="22">
        <v>12</v>
      </c>
      <c r="F170" s="8">
        <f>IF(BD_ESTADISTICA_INF_B[[#This Row],[Lanzam.]]="","",IF(BD_ESTADISTICA_INF_B[[#This Row],[POSICION]]="jugador",C170/E170,D170/E170))</f>
        <v>0.5</v>
      </c>
      <c r="I170" s="22"/>
      <c r="J170" s="22"/>
      <c r="K170" s="22">
        <v>1</v>
      </c>
      <c r="L170" s="22"/>
      <c r="M170" s="22"/>
      <c r="N170" s="22"/>
      <c r="O170" s="22"/>
      <c r="P170" s="22"/>
      <c r="Q170" s="22"/>
      <c r="R170" s="23">
        <v>9</v>
      </c>
      <c r="S170" s="24">
        <v>1</v>
      </c>
      <c r="T170" s="25" t="s">
        <v>79</v>
      </c>
      <c r="U170" s="11" t="s">
        <v>110</v>
      </c>
      <c r="V170" s="26" t="str">
        <f>IF(OR(BD_ESTADISTICA_INF_B[[#This Row],[Jugador]]="eudald",BD_ESTADISTICA_INF_B[[#This Row],[Jugador]]="jules",BD_ESTADISTICA_INF_B[[#This Row],[Jugador]]="JAN"),"PORTERO","JUGADOR")</f>
        <v>PORTERO</v>
      </c>
      <c r="W170" s="26">
        <f>IF(BD_ESTADISTICA_INF_B[[#This Row],[POSICION]]="jugador",BD_ESTADISTICA_INF_B[[#This Row],[Goles]],0)</f>
        <v>0</v>
      </c>
      <c r="X170" s="26">
        <f>IF(BD_ESTADISTICA_INF_B[[#This Row],[POSICION]]="portero",BD_ESTADISTICA_INF_B[[#This Row],[Lanzam.]]-BD_ESTADISTICA_INF_B[[#This Row],[Paradas]],0)</f>
        <v>6</v>
      </c>
      <c r="Y170" s="26">
        <f>IF(BD_ESTADISTICA_INF_B[[#This Row],[POSICION]]="jugador",BD_ESTADISTICA_INF_B[[#This Row],[Lanzam.]],0)</f>
        <v>0</v>
      </c>
      <c r="Z170" s="26">
        <f>IF(BD_ESTADISTICA_INF_B[[#This Row],[POSICION]]="portero",BD_ESTADISTICA_INF_B[[#This Row],[Lanzam.]],0)</f>
        <v>12</v>
      </c>
    </row>
    <row r="171" spans="1:26">
      <c r="A171" s="21" t="s">
        <v>30</v>
      </c>
      <c r="B171" s="21">
        <v>16</v>
      </c>
      <c r="C171" s="29">
        <v>6</v>
      </c>
      <c r="D171" s="22">
        <v>6</v>
      </c>
      <c r="E171" s="22">
        <v>10</v>
      </c>
      <c r="F171" s="8">
        <f>IF(BD_ESTADISTICA_INF_B[[#This Row],[Lanzam.]]="","",IF(BD_ESTADISTICA_INF_B[[#This Row],[POSICION]]="jugador",C171/E171,D171/E171))</f>
        <v>0.6</v>
      </c>
      <c r="I171" s="22">
        <v>2</v>
      </c>
      <c r="J171" s="22"/>
      <c r="K171" s="22"/>
      <c r="L171" s="22"/>
      <c r="M171" s="22"/>
      <c r="N171" s="22"/>
      <c r="O171" s="22"/>
      <c r="P171" s="22"/>
      <c r="Q171" s="22"/>
      <c r="R171" s="23">
        <v>9</v>
      </c>
      <c r="S171" s="24">
        <v>1</v>
      </c>
      <c r="T171" s="25" t="s">
        <v>79</v>
      </c>
      <c r="U171" s="11" t="s">
        <v>110</v>
      </c>
      <c r="V171" s="26" t="str">
        <f>IF(OR(BD_ESTADISTICA_INF_B[[#This Row],[Jugador]]="eudald",BD_ESTADISTICA_INF_B[[#This Row],[Jugador]]="jules",BD_ESTADISTICA_INF_B[[#This Row],[Jugador]]="JAN"),"PORTERO","JUGADOR")</f>
        <v>PORTERO</v>
      </c>
      <c r="W171" s="26">
        <f>IF(BD_ESTADISTICA_INF_B[[#This Row],[POSICION]]="jugador",BD_ESTADISTICA_INF_B[[#This Row],[Goles]],0)</f>
        <v>0</v>
      </c>
      <c r="X171" s="26">
        <f>IF(BD_ESTADISTICA_INF_B[[#This Row],[POSICION]]="portero",BD_ESTADISTICA_INF_B[[#This Row],[Lanzam.]]-BD_ESTADISTICA_INF_B[[#This Row],[Paradas]],0)</f>
        <v>4</v>
      </c>
      <c r="Y171" s="26">
        <f>IF(BD_ESTADISTICA_INF_B[[#This Row],[POSICION]]="jugador",BD_ESTADISTICA_INF_B[[#This Row],[Lanzam.]],0)</f>
        <v>0</v>
      </c>
      <c r="Z171" s="26">
        <f>IF(BD_ESTADISTICA_INF_B[[#This Row],[POSICION]]="portero",BD_ESTADISTICA_INF_B[[#This Row],[Lanzam.]],0)</f>
        <v>10</v>
      </c>
    </row>
    <row r="172" spans="1:26">
      <c r="A172" s="21" t="s">
        <v>42</v>
      </c>
      <c r="B172" s="21">
        <v>82</v>
      </c>
      <c r="C172" s="22">
        <v>1</v>
      </c>
      <c r="D172" s="22"/>
      <c r="E172" s="22">
        <v>4</v>
      </c>
      <c r="F172" s="8">
        <f>IF(BD_ESTADISTICA_INF_B[[#This Row],[Lanzam.]]="","",IF(BD_ESTADISTICA_INF_B[[#This Row],[POSICION]]="jugador",C172/E172,D172/E172))</f>
        <v>0.25</v>
      </c>
      <c r="I172" s="22"/>
      <c r="J172" s="22"/>
      <c r="K172" s="22"/>
      <c r="L172" s="22"/>
      <c r="M172" s="22"/>
      <c r="N172" s="22"/>
      <c r="O172" s="22">
        <v>1</v>
      </c>
      <c r="P172" s="22"/>
      <c r="Q172" s="22"/>
      <c r="R172" s="23">
        <v>9</v>
      </c>
      <c r="S172" s="24">
        <v>1</v>
      </c>
      <c r="T172" s="25" t="s">
        <v>79</v>
      </c>
      <c r="U172" s="11" t="s">
        <v>110</v>
      </c>
      <c r="V172" s="26" t="str">
        <f>IF(OR(BD_ESTADISTICA_INF_B[[#This Row],[Jugador]]="eudald",BD_ESTADISTICA_INF_B[[#This Row],[Jugador]]="jules",BD_ESTADISTICA_INF_B[[#This Row],[Jugador]]="JAN"),"PORTERO","JUGADOR")</f>
        <v>JUGADOR</v>
      </c>
      <c r="W172" s="26">
        <f>IF(BD_ESTADISTICA_INF_B[[#This Row],[POSICION]]="jugador",BD_ESTADISTICA_INF_B[[#This Row],[Goles]],0)</f>
        <v>1</v>
      </c>
      <c r="X172" s="26">
        <f>IF(BD_ESTADISTICA_INF_B[[#This Row],[POSICION]]="portero",BD_ESTADISTICA_INF_B[[#This Row],[Lanzam.]]-BD_ESTADISTICA_INF_B[[#This Row],[Paradas]],0)</f>
        <v>0</v>
      </c>
      <c r="Y172" s="26">
        <f>IF(BD_ESTADISTICA_INF_B[[#This Row],[POSICION]]="jugador",BD_ESTADISTICA_INF_B[[#This Row],[Lanzam.]],0)</f>
        <v>4</v>
      </c>
      <c r="Z172" s="26">
        <f>IF(BD_ESTADISTICA_INF_B[[#This Row],[POSICION]]="portero",BD_ESTADISTICA_INF_B[[#This Row],[Lanzam.]],0)</f>
        <v>0</v>
      </c>
    </row>
    <row r="173" spans="1:26">
      <c r="A173" s="34" t="s">
        <v>22</v>
      </c>
      <c r="B173" s="34">
        <v>21</v>
      </c>
      <c r="C173" s="22"/>
      <c r="D173" s="22"/>
      <c r="E173" s="22"/>
      <c r="F173" s="8" t="str">
        <f>IF(BD_ESTADISTICA_INF_B[[#This Row],[Lanzam.]]="","",IF(BD_ESTADISTICA_INF_B[[#This Row],[POSICION]]="jugador",C173/E173,D173/E173))</f>
        <v/>
      </c>
      <c r="I173" s="22"/>
      <c r="J173" s="22"/>
      <c r="K173" s="22"/>
      <c r="L173" s="22"/>
      <c r="M173" s="22"/>
      <c r="N173" s="22"/>
      <c r="O173" s="22"/>
      <c r="P173" s="22"/>
      <c r="Q173" s="22"/>
      <c r="R173" s="23">
        <v>9</v>
      </c>
      <c r="S173" s="24">
        <v>1</v>
      </c>
      <c r="T173" s="25" t="s">
        <v>79</v>
      </c>
      <c r="U173" s="11" t="s">
        <v>110</v>
      </c>
      <c r="V173" s="26" t="str">
        <f>IF(OR(BD_ESTADISTICA_INF_B[[#This Row],[Jugador]]="eudald",BD_ESTADISTICA_INF_B[[#This Row],[Jugador]]="jules",BD_ESTADISTICA_INF_B[[#This Row],[Jugador]]="JAN"),"PORTERO","JUGADOR")</f>
        <v>JUGADOR</v>
      </c>
      <c r="W173" s="26">
        <f>IF(BD_ESTADISTICA_INF_B[[#This Row],[POSICION]]="jugador",BD_ESTADISTICA_INF_B[[#This Row],[Goles]],0)</f>
        <v>0</v>
      </c>
      <c r="X173" s="26">
        <f>IF(BD_ESTADISTICA_INF_B[[#This Row],[POSICION]]="portero",BD_ESTADISTICA_INF_B[[#This Row],[Lanzam.]]-BD_ESTADISTICA_INF_B[[#This Row],[Paradas]],0)</f>
        <v>0</v>
      </c>
      <c r="Y173" s="26">
        <f>IF(BD_ESTADISTICA_INF_B[[#This Row],[POSICION]]="jugador",BD_ESTADISTICA_INF_B[[#This Row],[Lanzam.]],0)</f>
        <v>0</v>
      </c>
      <c r="Z173" s="26">
        <f>IF(BD_ESTADISTICA_INF_B[[#This Row],[POSICION]]="portero",BD_ESTADISTICA_INF_B[[#This Row],[Lanzam.]],0)</f>
        <v>0</v>
      </c>
    </row>
    <row r="174" spans="1:26" hidden="1">
      <c r="A174" s="21" t="s">
        <v>16</v>
      </c>
      <c r="B174" s="21"/>
      <c r="C174" s="22">
        <v>5</v>
      </c>
      <c r="D174" s="22"/>
      <c r="E174" s="22">
        <v>7</v>
      </c>
      <c r="F174" s="8">
        <f>IF(BD_ESTADISTICA_INF_B[[#This Row],[Lanzam.]]="","",IF(BD_ESTADISTICA_INF_B[[#This Row],[POSICION]]="jugador",C174/E174,D174/E174))</f>
        <v>0.7142857142857143</v>
      </c>
      <c r="I174" s="22">
        <v>1</v>
      </c>
      <c r="J174" s="22"/>
      <c r="K174" s="22"/>
      <c r="L174" s="22"/>
      <c r="M174" s="22"/>
      <c r="N174" s="22"/>
      <c r="O174" s="22">
        <v>1</v>
      </c>
      <c r="P174" s="22"/>
      <c r="Q174" s="22"/>
      <c r="R174" s="23">
        <v>10</v>
      </c>
      <c r="S174" s="24">
        <v>1</v>
      </c>
      <c r="T174" s="25" t="s">
        <v>79</v>
      </c>
      <c r="U174" s="11" t="s">
        <v>113</v>
      </c>
      <c r="V174" s="26" t="str">
        <f>IF(OR(BD_ESTADISTICA_INF_B[[#This Row],[Jugador]]="eudald",BD_ESTADISTICA_INF_B[[#This Row],[Jugador]]="jules",BD_ESTADISTICA_INF_B[[#This Row],[Jugador]]="JAN"),"PORTERO","JUGADOR")</f>
        <v>JUGADOR</v>
      </c>
      <c r="W174" s="26">
        <f>IF(BD_ESTADISTICA_INF_B[[#This Row],[POSICION]]="jugador",BD_ESTADISTICA_INF_B[[#This Row],[Goles]],0)</f>
        <v>5</v>
      </c>
      <c r="X174" s="26">
        <f>IF(BD_ESTADISTICA_INF_B[[#This Row],[POSICION]]="portero",BD_ESTADISTICA_INF_B[[#This Row],[Lanzam.]]-BD_ESTADISTICA_INF_B[[#This Row],[Paradas]],0)</f>
        <v>0</v>
      </c>
      <c r="Y174" s="26">
        <f>IF(BD_ESTADISTICA_INF_B[[#This Row],[POSICION]]="jugador",BD_ESTADISTICA_INF_B[[#This Row],[Lanzam.]],0)</f>
        <v>7</v>
      </c>
      <c r="Z174" s="26">
        <f>IF(BD_ESTADISTICA_INF_B[[#This Row],[POSICION]]="portero",BD_ESTADISTICA_INF_B[[#This Row],[Lanzam.]],0)</f>
        <v>0</v>
      </c>
    </row>
    <row r="175" spans="1:26" hidden="1">
      <c r="A175" s="21" t="s">
        <v>17</v>
      </c>
      <c r="B175" s="21"/>
      <c r="C175" s="22">
        <v>1</v>
      </c>
      <c r="D175" s="22"/>
      <c r="E175" s="22">
        <v>1</v>
      </c>
      <c r="F175" s="8">
        <f>IF(BD_ESTADISTICA_INF_B[[#This Row],[Lanzam.]]="","",IF(BD_ESTADISTICA_INF_B[[#This Row],[POSICION]]="jugador",C175/E175,D175/E175))</f>
        <v>1</v>
      </c>
      <c r="I175" s="22"/>
      <c r="J175" s="22">
        <v>2</v>
      </c>
      <c r="K175" s="22">
        <v>1</v>
      </c>
      <c r="L175" s="22"/>
      <c r="M175" s="22"/>
      <c r="N175" s="22"/>
      <c r="O175" s="22">
        <v>2</v>
      </c>
      <c r="P175" s="22"/>
      <c r="Q175" s="22"/>
      <c r="R175" s="23">
        <v>10</v>
      </c>
      <c r="S175" s="24">
        <v>1</v>
      </c>
      <c r="T175" s="25" t="s">
        <v>79</v>
      </c>
      <c r="U175" s="11" t="s">
        <v>113</v>
      </c>
      <c r="V175" s="26" t="str">
        <f>IF(OR(BD_ESTADISTICA_INF_B[[#This Row],[Jugador]]="eudald",BD_ESTADISTICA_INF_B[[#This Row],[Jugador]]="jules",BD_ESTADISTICA_INF_B[[#This Row],[Jugador]]="JAN"),"PORTERO","JUGADOR")</f>
        <v>JUGADOR</v>
      </c>
      <c r="W175" s="26">
        <f>IF(BD_ESTADISTICA_INF_B[[#This Row],[POSICION]]="jugador",BD_ESTADISTICA_INF_B[[#This Row],[Goles]],0)</f>
        <v>1</v>
      </c>
      <c r="X175" s="26">
        <f>IF(BD_ESTADISTICA_INF_B[[#This Row],[POSICION]]="portero",BD_ESTADISTICA_INF_B[[#This Row],[Lanzam.]]-BD_ESTADISTICA_INF_B[[#This Row],[Paradas]],0)</f>
        <v>0</v>
      </c>
      <c r="Y175" s="26">
        <f>IF(BD_ESTADISTICA_INF_B[[#This Row],[POSICION]]="jugador",BD_ESTADISTICA_INF_B[[#This Row],[Lanzam.]],0)</f>
        <v>1</v>
      </c>
      <c r="Z175" s="26">
        <f>IF(BD_ESTADISTICA_INF_B[[#This Row],[POSICION]]="portero",BD_ESTADISTICA_INF_B[[#This Row],[Lanzam.]],0)</f>
        <v>0</v>
      </c>
    </row>
    <row r="176" spans="1:26" hidden="1">
      <c r="A176" s="21" t="s">
        <v>18</v>
      </c>
      <c r="B176" s="21"/>
      <c r="C176" s="22">
        <v>1</v>
      </c>
      <c r="D176" s="22"/>
      <c r="E176" s="22">
        <v>1</v>
      </c>
      <c r="F176" s="8">
        <f>IF(BD_ESTADISTICA_INF_B[[#This Row],[Lanzam.]]="","",IF(BD_ESTADISTICA_INF_B[[#This Row],[POSICION]]="jugador",C176/E176,D176/E176))</f>
        <v>1</v>
      </c>
      <c r="I176" s="22">
        <v>6</v>
      </c>
      <c r="J176" s="22"/>
      <c r="K176" s="22"/>
      <c r="L176" s="22"/>
      <c r="M176" s="22"/>
      <c r="N176" s="22"/>
      <c r="O176" s="22">
        <v>2</v>
      </c>
      <c r="P176" s="22"/>
      <c r="Q176" s="22"/>
      <c r="R176" s="23">
        <v>10</v>
      </c>
      <c r="S176" s="24">
        <v>1</v>
      </c>
      <c r="T176" s="25" t="s">
        <v>79</v>
      </c>
      <c r="U176" s="11" t="s">
        <v>113</v>
      </c>
      <c r="V176" s="26" t="str">
        <f>IF(OR(BD_ESTADISTICA_INF_B[[#This Row],[Jugador]]="eudald",BD_ESTADISTICA_INF_B[[#This Row],[Jugador]]="jules",BD_ESTADISTICA_INF_B[[#This Row],[Jugador]]="JAN"),"PORTERO","JUGADOR")</f>
        <v>JUGADOR</v>
      </c>
      <c r="W176" s="26">
        <f>IF(BD_ESTADISTICA_INF_B[[#This Row],[POSICION]]="jugador",BD_ESTADISTICA_INF_B[[#This Row],[Goles]],0)</f>
        <v>1</v>
      </c>
      <c r="X176" s="26">
        <f>IF(BD_ESTADISTICA_INF_B[[#This Row],[POSICION]]="portero",BD_ESTADISTICA_INF_B[[#This Row],[Lanzam.]]-BD_ESTADISTICA_INF_B[[#This Row],[Paradas]],0)</f>
        <v>0</v>
      </c>
      <c r="Y176" s="26">
        <f>IF(BD_ESTADISTICA_INF_B[[#This Row],[POSICION]]="jugador",BD_ESTADISTICA_INF_B[[#This Row],[Lanzam.]],0)</f>
        <v>1</v>
      </c>
      <c r="Z176" s="26">
        <f>IF(BD_ESTADISTICA_INF_B[[#This Row],[POSICION]]="portero",BD_ESTADISTICA_INF_B[[#This Row],[Lanzam.]],0)</f>
        <v>0</v>
      </c>
    </row>
    <row r="177" spans="1:26" hidden="1">
      <c r="A177" s="21" t="s">
        <v>19</v>
      </c>
      <c r="B177" s="21"/>
      <c r="C177" s="22">
        <v>2</v>
      </c>
      <c r="D177" s="22"/>
      <c r="E177" s="22">
        <v>2</v>
      </c>
      <c r="F177" s="8">
        <f>IF(BD_ESTADISTICA_INF_B[[#This Row],[Lanzam.]]="","",IF(BD_ESTADISTICA_INF_B[[#This Row],[POSICION]]="jugador",C177/E177,D177/E177))</f>
        <v>1</v>
      </c>
      <c r="I177" s="22">
        <v>2</v>
      </c>
      <c r="J177" s="22">
        <v>1</v>
      </c>
      <c r="K177" s="22">
        <v>1</v>
      </c>
      <c r="L177" s="22"/>
      <c r="M177" s="22"/>
      <c r="N177" s="22"/>
      <c r="O177" s="22">
        <v>1</v>
      </c>
      <c r="P177" s="22"/>
      <c r="Q177" s="22"/>
      <c r="R177" s="23">
        <v>10</v>
      </c>
      <c r="S177" s="24">
        <v>1</v>
      </c>
      <c r="T177" s="25" t="s">
        <v>79</v>
      </c>
      <c r="U177" s="11" t="s">
        <v>113</v>
      </c>
      <c r="V177" s="26" t="str">
        <f>IF(OR(BD_ESTADISTICA_INF_B[[#This Row],[Jugador]]="eudald",BD_ESTADISTICA_INF_B[[#This Row],[Jugador]]="jules",BD_ESTADISTICA_INF_B[[#This Row],[Jugador]]="JAN"),"PORTERO","JUGADOR")</f>
        <v>JUGADOR</v>
      </c>
      <c r="W177" s="26">
        <f>IF(BD_ESTADISTICA_INF_B[[#This Row],[POSICION]]="jugador",BD_ESTADISTICA_INF_B[[#This Row],[Goles]],0)</f>
        <v>2</v>
      </c>
      <c r="X177" s="26">
        <f>IF(BD_ESTADISTICA_INF_B[[#This Row],[POSICION]]="portero",BD_ESTADISTICA_INF_B[[#This Row],[Lanzam.]]-BD_ESTADISTICA_INF_B[[#This Row],[Paradas]],0)</f>
        <v>0</v>
      </c>
      <c r="Y177" s="26">
        <f>IF(BD_ESTADISTICA_INF_B[[#This Row],[POSICION]]="jugador",BD_ESTADISTICA_INF_B[[#This Row],[Lanzam.]],0)</f>
        <v>2</v>
      </c>
      <c r="Z177" s="26">
        <f>IF(BD_ESTADISTICA_INF_B[[#This Row],[POSICION]]="portero",BD_ESTADISTICA_INF_B[[#This Row],[Lanzam.]],0)</f>
        <v>0</v>
      </c>
    </row>
    <row r="178" spans="1:26" hidden="1">
      <c r="A178" s="34" t="s">
        <v>20</v>
      </c>
      <c r="B178" s="34"/>
      <c r="C178" s="22"/>
      <c r="D178" s="22"/>
      <c r="E178" s="22"/>
      <c r="F178" s="8" t="str">
        <f>IF(BD_ESTADISTICA_INF_B[[#This Row],[Lanzam.]]="","",IF(BD_ESTADISTICA_INF_B[[#This Row],[POSICION]]="jugador",C178/E178,D178/E178))</f>
        <v/>
      </c>
      <c r="I178" s="22"/>
      <c r="J178" s="22"/>
      <c r="K178" s="22"/>
      <c r="L178" s="22"/>
      <c r="M178" s="22"/>
      <c r="N178" s="22"/>
      <c r="O178" s="22"/>
      <c r="P178" s="22"/>
      <c r="Q178" s="22"/>
      <c r="R178" s="23">
        <v>10</v>
      </c>
      <c r="S178" s="24">
        <v>1</v>
      </c>
      <c r="T178" s="25" t="s">
        <v>79</v>
      </c>
      <c r="U178" s="11" t="s">
        <v>113</v>
      </c>
      <c r="V178" s="26" t="str">
        <f>IF(OR(BD_ESTADISTICA_INF_B[[#This Row],[Jugador]]="eudald",BD_ESTADISTICA_INF_B[[#This Row],[Jugador]]="jules",BD_ESTADISTICA_INF_B[[#This Row],[Jugador]]="JAN"),"PORTERO","JUGADOR")</f>
        <v>JUGADOR</v>
      </c>
      <c r="W178" s="26">
        <f>IF(BD_ESTADISTICA_INF_B[[#This Row],[POSICION]]="jugador",BD_ESTADISTICA_INF_B[[#This Row],[Goles]],0)</f>
        <v>0</v>
      </c>
      <c r="X178" s="26">
        <f>IF(BD_ESTADISTICA_INF_B[[#This Row],[POSICION]]="portero",BD_ESTADISTICA_INF_B[[#This Row],[Lanzam.]]-BD_ESTADISTICA_INF_B[[#This Row],[Paradas]],0)</f>
        <v>0</v>
      </c>
      <c r="Y178" s="26">
        <f>IF(BD_ESTADISTICA_INF_B[[#This Row],[POSICION]]="jugador",BD_ESTADISTICA_INF_B[[#This Row],[Lanzam.]],0)</f>
        <v>0</v>
      </c>
      <c r="Z178" s="26">
        <f>IF(BD_ESTADISTICA_INF_B[[#This Row],[POSICION]]="portero",BD_ESTADISTICA_INF_B[[#This Row],[Lanzam.]],0)</f>
        <v>0</v>
      </c>
    </row>
    <row r="179" spans="1:26" hidden="1">
      <c r="A179" s="21" t="s">
        <v>21</v>
      </c>
      <c r="B179" s="21"/>
      <c r="C179" s="22">
        <v>4</v>
      </c>
      <c r="D179" s="22"/>
      <c r="E179" s="22">
        <v>5</v>
      </c>
      <c r="F179" s="8">
        <f>IF(BD_ESTADISTICA_INF_B[[#This Row],[Lanzam.]]="","",IF(BD_ESTADISTICA_INF_B[[#This Row],[POSICION]]="jugador",C179/E179,D179/E179))</f>
        <v>0.8</v>
      </c>
      <c r="I179" s="22"/>
      <c r="J179" s="22"/>
      <c r="K179" s="22"/>
      <c r="L179" s="22"/>
      <c r="M179" s="22"/>
      <c r="N179" s="22">
        <v>1</v>
      </c>
      <c r="O179" s="22"/>
      <c r="P179" s="22"/>
      <c r="Q179" s="22"/>
      <c r="R179" s="23">
        <v>10</v>
      </c>
      <c r="S179" s="24">
        <v>1</v>
      </c>
      <c r="T179" s="25" t="s">
        <v>79</v>
      </c>
      <c r="U179" s="11" t="s">
        <v>113</v>
      </c>
      <c r="V179" s="26" t="str">
        <f>IF(OR(BD_ESTADISTICA_INF_B[[#This Row],[Jugador]]="eudald",BD_ESTADISTICA_INF_B[[#This Row],[Jugador]]="jules",BD_ESTADISTICA_INF_B[[#This Row],[Jugador]]="JAN"),"PORTERO","JUGADOR")</f>
        <v>JUGADOR</v>
      </c>
      <c r="W179" s="26">
        <f>IF(BD_ESTADISTICA_INF_B[[#This Row],[POSICION]]="jugador",BD_ESTADISTICA_INF_B[[#This Row],[Goles]],0)</f>
        <v>4</v>
      </c>
      <c r="X179" s="26">
        <f>IF(BD_ESTADISTICA_INF_B[[#This Row],[POSICION]]="portero",BD_ESTADISTICA_INF_B[[#This Row],[Lanzam.]]-BD_ESTADISTICA_INF_B[[#This Row],[Paradas]],0)</f>
        <v>0</v>
      </c>
      <c r="Y179" s="26">
        <f>IF(BD_ESTADISTICA_INF_B[[#This Row],[POSICION]]="jugador",BD_ESTADISTICA_INF_B[[#This Row],[Lanzam.]],0)</f>
        <v>5</v>
      </c>
      <c r="Z179" s="26">
        <f>IF(BD_ESTADISTICA_INF_B[[#This Row],[POSICION]]="portero",BD_ESTADISTICA_INF_B[[#This Row],[Lanzam.]],0)</f>
        <v>0</v>
      </c>
    </row>
    <row r="180" spans="1:26" hidden="1">
      <c r="A180" s="21" t="s">
        <v>40</v>
      </c>
      <c r="B180" s="21"/>
      <c r="C180" s="22">
        <v>4</v>
      </c>
      <c r="D180" s="22"/>
      <c r="E180" s="22">
        <v>5</v>
      </c>
      <c r="F180" s="8">
        <f>IF(BD_ESTADISTICA_INF_B[[#This Row],[Lanzam.]]="","",IF(BD_ESTADISTICA_INF_B[[#This Row],[POSICION]]="jugador",C180/E180,D180/E180))</f>
        <v>0.8</v>
      </c>
      <c r="I180" s="22"/>
      <c r="J180" s="22">
        <v>1</v>
      </c>
      <c r="K180" s="22"/>
      <c r="L180" s="22"/>
      <c r="M180" s="22"/>
      <c r="N180" s="22"/>
      <c r="O180" s="22"/>
      <c r="P180" s="22"/>
      <c r="Q180" s="22"/>
      <c r="R180" s="23">
        <v>10</v>
      </c>
      <c r="S180" s="24">
        <v>1</v>
      </c>
      <c r="T180" s="25" t="s">
        <v>79</v>
      </c>
      <c r="U180" s="11" t="s">
        <v>113</v>
      </c>
      <c r="V180" s="26" t="str">
        <f>IF(OR(BD_ESTADISTICA_INF_B[[#This Row],[Jugador]]="eudald",BD_ESTADISTICA_INF_B[[#This Row],[Jugador]]="jules",BD_ESTADISTICA_INF_B[[#This Row],[Jugador]]="JAN"),"PORTERO","JUGADOR")</f>
        <v>JUGADOR</v>
      </c>
      <c r="W180" s="26">
        <f>IF(BD_ESTADISTICA_INF_B[[#This Row],[POSICION]]="jugador",BD_ESTADISTICA_INF_B[[#This Row],[Goles]],0)</f>
        <v>4</v>
      </c>
      <c r="X180" s="26">
        <f>IF(BD_ESTADISTICA_INF_B[[#This Row],[POSICION]]="portero",BD_ESTADISTICA_INF_B[[#This Row],[Lanzam.]]-BD_ESTADISTICA_INF_B[[#This Row],[Paradas]],0)</f>
        <v>0</v>
      </c>
      <c r="Y180" s="26">
        <f>IF(BD_ESTADISTICA_INF_B[[#This Row],[POSICION]]="jugador",BD_ESTADISTICA_INF_B[[#This Row],[Lanzam.]],0)</f>
        <v>5</v>
      </c>
      <c r="Z180" s="26">
        <f>IF(BD_ESTADISTICA_INF_B[[#This Row],[POSICION]]="portero",BD_ESTADISTICA_INF_B[[#This Row],[Lanzam.]],0)</f>
        <v>0</v>
      </c>
    </row>
    <row r="181" spans="1:26" hidden="1">
      <c r="A181" s="21" t="s">
        <v>41</v>
      </c>
      <c r="B181" s="21"/>
      <c r="C181" s="22">
        <v>3</v>
      </c>
      <c r="D181" s="22"/>
      <c r="E181" s="22">
        <v>4</v>
      </c>
      <c r="F181" s="8">
        <f>IF(BD_ESTADISTICA_INF_B[[#This Row],[Lanzam.]]="","",IF(BD_ESTADISTICA_INF_B[[#This Row],[POSICION]]="jugador",C181/E181,D181/E181))</f>
        <v>0.75</v>
      </c>
      <c r="I181" s="22"/>
      <c r="J181" s="22"/>
      <c r="K181" s="22">
        <v>1</v>
      </c>
      <c r="L181" s="22"/>
      <c r="M181" s="22"/>
      <c r="N181" s="22"/>
      <c r="O181" s="22">
        <v>2</v>
      </c>
      <c r="P181" s="22"/>
      <c r="Q181" s="22">
        <v>1</v>
      </c>
      <c r="R181" s="23">
        <v>10</v>
      </c>
      <c r="S181" s="24">
        <v>1</v>
      </c>
      <c r="T181" s="25" t="s">
        <v>79</v>
      </c>
      <c r="U181" s="11" t="s">
        <v>113</v>
      </c>
      <c r="V181" s="26" t="str">
        <f>IF(OR(BD_ESTADISTICA_INF_B[[#This Row],[Jugador]]="eudald",BD_ESTADISTICA_INF_B[[#This Row],[Jugador]]="jules",BD_ESTADISTICA_INF_B[[#This Row],[Jugador]]="JAN"),"PORTERO","JUGADOR")</f>
        <v>JUGADOR</v>
      </c>
      <c r="W181" s="26">
        <f>IF(BD_ESTADISTICA_INF_B[[#This Row],[POSICION]]="jugador",BD_ESTADISTICA_INF_B[[#This Row],[Goles]],0)</f>
        <v>3</v>
      </c>
      <c r="X181" s="26">
        <f>IF(BD_ESTADISTICA_INF_B[[#This Row],[POSICION]]="portero",BD_ESTADISTICA_INF_B[[#This Row],[Lanzam.]]-BD_ESTADISTICA_INF_B[[#This Row],[Paradas]],0)</f>
        <v>0</v>
      </c>
      <c r="Y181" s="26">
        <f>IF(BD_ESTADISTICA_INF_B[[#This Row],[POSICION]]="jugador",BD_ESTADISTICA_INF_B[[#This Row],[Lanzam.]],0)</f>
        <v>4</v>
      </c>
      <c r="Z181" s="26">
        <f>IF(BD_ESTADISTICA_INF_B[[#This Row],[POSICION]]="portero",BD_ESTADISTICA_INF_B[[#This Row],[Lanzam.]],0)</f>
        <v>0</v>
      </c>
    </row>
    <row r="182" spans="1:26" hidden="1">
      <c r="A182" s="21" t="s">
        <v>23</v>
      </c>
      <c r="B182" s="21"/>
      <c r="C182" s="22">
        <v>2</v>
      </c>
      <c r="D182" s="22"/>
      <c r="E182" s="22">
        <v>2</v>
      </c>
      <c r="F182" s="8">
        <f>IF(BD_ESTADISTICA_INF_B[[#This Row],[Lanzam.]]="","",IF(BD_ESTADISTICA_INF_B[[#This Row],[POSICION]]="jugador",C182/E182,D182/E182))</f>
        <v>1</v>
      </c>
      <c r="I182" s="22"/>
      <c r="J182" s="22"/>
      <c r="K182" s="22">
        <v>2</v>
      </c>
      <c r="L182" s="22"/>
      <c r="M182" s="22"/>
      <c r="N182" s="22">
        <v>2</v>
      </c>
      <c r="O182" s="22"/>
      <c r="P182" s="22"/>
      <c r="Q182" s="22"/>
      <c r="R182" s="23">
        <v>10</v>
      </c>
      <c r="S182" s="24">
        <v>1</v>
      </c>
      <c r="T182" s="25" t="s">
        <v>79</v>
      </c>
      <c r="U182" s="11" t="s">
        <v>113</v>
      </c>
      <c r="V182" s="26" t="str">
        <f>IF(OR(BD_ESTADISTICA_INF_B[[#This Row],[Jugador]]="eudald",BD_ESTADISTICA_INF_B[[#This Row],[Jugador]]="jules",BD_ESTADISTICA_INF_B[[#This Row],[Jugador]]="JAN"),"PORTERO","JUGADOR")</f>
        <v>JUGADOR</v>
      </c>
      <c r="W182" s="26">
        <f>IF(BD_ESTADISTICA_INF_B[[#This Row],[POSICION]]="jugador",BD_ESTADISTICA_INF_B[[#This Row],[Goles]],0)</f>
        <v>2</v>
      </c>
      <c r="X182" s="26">
        <f>IF(BD_ESTADISTICA_INF_B[[#This Row],[POSICION]]="portero",BD_ESTADISTICA_INF_B[[#This Row],[Lanzam.]]-BD_ESTADISTICA_INF_B[[#This Row],[Paradas]],0)</f>
        <v>0</v>
      </c>
      <c r="Y182" s="26">
        <f>IF(BD_ESTADISTICA_INF_B[[#This Row],[POSICION]]="jugador",BD_ESTADISTICA_INF_B[[#This Row],[Lanzam.]],0)</f>
        <v>2</v>
      </c>
      <c r="Z182" s="26">
        <f>IF(BD_ESTADISTICA_INF_B[[#This Row],[POSICION]]="portero",BD_ESTADISTICA_INF_B[[#This Row],[Lanzam.]],0)</f>
        <v>0</v>
      </c>
    </row>
    <row r="183" spans="1:26" hidden="1">
      <c r="A183" s="21" t="s">
        <v>24</v>
      </c>
      <c r="B183" s="21"/>
      <c r="C183" s="22">
        <v>0</v>
      </c>
      <c r="D183" s="22"/>
      <c r="E183" s="22">
        <v>1</v>
      </c>
      <c r="F183" s="8">
        <f>IF(BD_ESTADISTICA_INF_B[[#This Row],[Lanzam.]]="","",IF(BD_ESTADISTICA_INF_B[[#This Row],[POSICION]]="jugador",C183/E183,D183/E183))</f>
        <v>0</v>
      </c>
      <c r="I183" s="22"/>
      <c r="J183" s="22"/>
      <c r="K183" s="22"/>
      <c r="L183" s="22"/>
      <c r="M183" s="22"/>
      <c r="N183" s="22"/>
      <c r="O183" s="22">
        <v>1</v>
      </c>
      <c r="P183" s="22"/>
      <c r="Q183" s="22"/>
      <c r="R183" s="23">
        <v>10</v>
      </c>
      <c r="S183" s="24">
        <v>1</v>
      </c>
      <c r="T183" s="25" t="s">
        <v>79</v>
      </c>
      <c r="U183" s="11" t="s">
        <v>113</v>
      </c>
      <c r="V183" s="26" t="str">
        <f>IF(OR(BD_ESTADISTICA_INF_B[[#This Row],[Jugador]]="eudald",BD_ESTADISTICA_INF_B[[#This Row],[Jugador]]="jules",BD_ESTADISTICA_INF_B[[#This Row],[Jugador]]="JAN"),"PORTERO","JUGADOR")</f>
        <v>JUGADOR</v>
      </c>
      <c r="W183" s="26">
        <f>IF(BD_ESTADISTICA_INF_B[[#This Row],[POSICION]]="jugador",BD_ESTADISTICA_INF_B[[#This Row],[Goles]],0)</f>
        <v>0</v>
      </c>
      <c r="X183" s="26">
        <f>IF(BD_ESTADISTICA_INF_B[[#This Row],[POSICION]]="portero",BD_ESTADISTICA_INF_B[[#This Row],[Lanzam.]]-BD_ESTADISTICA_INF_B[[#This Row],[Paradas]],0)</f>
        <v>0</v>
      </c>
      <c r="Y183" s="26">
        <f>IF(BD_ESTADISTICA_INF_B[[#This Row],[POSICION]]="jugador",BD_ESTADISTICA_INF_B[[#This Row],[Lanzam.]],0)</f>
        <v>1</v>
      </c>
      <c r="Z183" s="26">
        <f>IF(BD_ESTADISTICA_INF_B[[#This Row],[POSICION]]="portero",BD_ESTADISTICA_INF_B[[#This Row],[Lanzam.]],0)</f>
        <v>0</v>
      </c>
    </row>
    <row r="184" spans="1:26" hidden="1">
      <c r="A184" s="21" t="s">
        <v>25</v>
      </c>
      <c r="B184" s="21"/>
      <c r="C184" s="22">
        <v>3</v>
      </c>
      <c r="D184" s="22"/>
      <c r="E184" s="22">
        <v>4</v>
      </c>
      <c r="F184" s="8">
        <f>IF(BD_ESTADISTICA_INF_B[[#This Row],[Lanzam.]]="","",IF(BD_ESTADISTICA_INF_B[[#This Row],[POSICION]]="jugador",C184/E184,D184/E184))</f>
        <v>0.75</v>
      </c>
      <c r="I184" s="22">
        <v>2</v>
      </c>
      <c r="J184" s="22"/>
      <c r="K184" s="22"/>
      <c r="L184" s="22">
        <v>1</v>
      </c>
      <c r="M184" s="22"/>
      <c r="N184" s="22"/>
      <c r="O184" s="22">
        <v>1</v>
      </c>
      <c r="P184" s="22">
        <v>1</v>
      </c>
      <c r="Q184" s="22"/>
      <c r="R184" s="23">
        <v>10</v>
      </c>
      <c r="S184" s="24">
        <v>1</v>
      </c>
      <c r="T184" s="25" t="s">
        <v>79</v>
      </c>
      <c r="U184" s="11" t="s">
        <v>113</v>
      </c>
      <c r="V184" s="26" t="str">
        <f>IF(OR(BD_ESTADISTICA_INF_B[[#This Row],[Jugador]]="eudald",BD_ESTADISTICA_INF_B[[#This Row],[Jugador]]="jules",BD_ESTADISTICA_INF_B[[#This Row],[Jugador]]="JAN"),"PORTERO","JUGADOR")</f>
        <v>JUGADOR</v>
      </c>
      <c r="W184" s="26">
        <f>IF(BD_ESTADISTICA_INF_B[[#This Row],[POSICION]]="jugador",BD_ESTADISTICA_INF_B[[#This Row],[Goles]],0)</f>
        <v>3</v>
      </c>
      <c r="X184" s="26">
        <f>IF(BD_ESTADISTICA_INF_B[[#This Row],[POSICION]]="portero",BD_ESTADISTICA_INF_B[[#This Row],[Lanzam.]]-BD_ESTADISTICA_INF_B[[#This Row],[Paradas]],0)</f>
        <v>0</v>
      </c>
      <c r="Y184" s="26">
        <f>IF(BD_ESTADISTICA_INF_B[[#This Row],[POSICION]]="jugador",BD_ESTADISTICA_INF_B[[#This Row],[Lanzam.]],0)</f>
        <v>4</v>
      </c>
      <c r="Z184" s="26">
        <f>IF(BD_ESTADISTICA_INF_B[[#This Row],[POSICION]]="portero",BD_ESTADISTICA_INF_B[[#This Row],[Lanzam.]],0)</f>
        <v>0</v>
      </c>
    </row>
    <row r="185" spans="1:26" hidden="1">
      <c r="A185" s="21" t="s">
        <v>26</v>
      </c>
      <c r="B185" s="21"/>
      <c r="C185" s="22"/>
      <c r="D185" s="22"/>
      <c r="E185" s="22"/>
      <c r="F185" s="8" t="str">
        <f>IF(BD_ESTADISTICA_INF_B[[#This Row],[Lanzam.]]="","",IF(BD_ESTADISTICA_INF_B[[#This Row],[POSICION]]="jugador",C185/E185,D185/E185))</f>
        <v/>
      </c>
      <c r="I185" s="22">
        <v>1</v>
      </c>
      <c r="J185" s="22"/>
      <c r="K185" s="22"/>
      <c r="L185" s="22"/>
      <c r="M185" s="22"/>
      <c r="N185" s="22"/>
      <c r="O185" s="22">
        <v>1</v>
      </c>
      <c r="P185" s="22"/>
      <c r="Q185" s="22"/>
      <c r="R185" s="23">
        <v>10</v>
      </c>
      <c r="S185" s="24">
        <v>1</v>
      </c>
      <c r="T185" s="25" t="s">
        <v>79</v>
      </c>
      <c r="U185" s="11" t="s">
        <v>113</v>
      </c>
      <c r="V185" s="26" t="str">
        <f>IF(OR(BD_ESTADISTICA_INF_B[[#This Row],[Jugador]]="eudald",BD_ESTADISTICA_INF_B[[#This Row],[Jugador]]="jules",BD_ESTADISTICA_INF_B[[#This Row],[Jugador]]="JAN"),"PORTERO","JUGADOR")</f>
        <v>JUGADOR</v>
      </c>
      <c r="W185" s="26">
        <f>IF(BD_ESTADISTICA_INF_B[[#This Row],[POSICION]]="jugador",BD_ESTADISTICA_INF_B[[#This Row],[Goles]],0)</f>
        <v>0</v>
      </c>
      <c r="X185" s="26">
        <f>IF(BD_ESTADISTICA_INF_B[[#This Row],[POSICION]]="portero",BD_ESTADISTICA_INF_B[[#This Row],[Lanzam.]]-BD_ESTADISTICA_INF_B[[#This Row],[Paradas]],0)</f>
        <v>0</v>
      </c>
      <c r="Y185" s="26">
        <f>IF(BD_ESTADISTICA_INF_B[[#This Row],[POSICION]]="jugador",BD_ESTADISTICA_INF_B[[#This Row],[Lanzam.]],0)</f>
        <v>0</v>
      </c>
      <c r="Z185" s="26">
        <f>IF(BD_ESTADISTICA_INF_B[[#This Row],[POSICION]]="portero",BD_ESTADISTICA_INF_B[[#This Row],[Lanzam.]],0)</f>
        <v>0</v>
      </c>
    </row>
    <row r="186" spans="1:26" hidden="1">
      <c r="A186" s="21" t="s">
        <v>27</v>
      </c>
      <c r="B186" s="21"/>
      <c r="C186" s="22">
        <v>7</v>
      </c>
      <c r="D186" s="22"/>
      <c r="E186" s="22">
        <v>8</v>
      </c>
      <c r="F186" s="8">
        <f>IF(BD_ESTADISTICA_INF_B[[#This Row],[Lanzam.]]="","",IF(BD_ESTADISTICA_INF_B[[#This Row],[POSICION]]="jugador",C186/E186,D186/E186))</f>
        <v>0.875</v>
      </c>
      <c r="G186" s="42">
        <v>1</v>
      </c>
      <c r="H186" s="42">
        <v>1</v>
      </c>
      <c r="I186" s="22">
        <v>1</v>
      </c>
      <c r="J186" s="22">
        <v>1</v>
      </c>
      <c r="K186" s="22"/>
      <c r="L186" s="22"/>
      <c r="M186" s="22"/>
      <c r="N186" s="22"/>
      <c r="O186" s="22">
        <v>3</v>
      </c>
      <c r="P186" s="22"/>
      <c r="Q186" s="22"/>
      <c r="R186" s="23">
        <v>10</v>
      </c>
      <c r="S186" s="24">
        <v>1</v>
      </c>
      <c r="T186" s="25" t="s">
        <v>79</v>
      </c>
      <c r="U186" s="11" t="s">
        <v>113</v>
      </c>
      <c r="V186" s="26" t="str">
        <f>IF(OR(BD_ESTADISTICA_INF_B[[#This Row],[Jugador]]="eudald",BD_ESTADISTICA_INF_B[[#This Row],[Jugador]]="jules",BD_ESTADISTICA_INF_B[[#This Row],[Jugador]]="JAN"),"PORTERO","JUGADOR")</f>
        <v>JUGADOR</v>
      </c>
      <c r="W186" s="26">
        <f>IF(BD_ESTADISTICA_INF_B[[#This Row],[POSICION]]="jugador",BD_ESTADISTICA_INF_B[[#This Row],[Goles]],0)</f>
        <v>7</v>
      </c>
      <c r="X186" s="26">
        <f>IF(BD_ESTADISTICA_INF_B[[#This Row],[POSICION]]="portero",BD_ESTADISTICA_INF_B[[#This Row],[Lanzam.]]-BD_ESTADISTICA_INF_B[[#This Row],[Paradas]],0)</f>
        <v>0</v>
      </c>
      <c r="Y186" s="26">
        <f>IF(BD_ESTADISTICA_INF_B[[#This Row],[POSICION]]="jugador",BD_ESTADISTICA_INF_B[[#This Row],[Lanzam.]],0)</f>
        <v>8</v>
      </c>
      <c r="Z186" s="26">
        <f>IF(BD_ESTADISTICA_INF_B[[#This Row],[POSICION]]="portero",BD_ESTADISTICA_INF_B[[#This Row],[Lanzam.]],0)</f>
        <v>0</v>
      </c>
    </row>
    <row r="187" spans="1:26" hidden="1">
      <c r="A187" s="21" t="s">
        <v>28</v>
      </c>
      <c r="B187" s="21"/>
      <c r="C187" s="22">
        <v>2</v>
      </c>
      <c r="D187" s="22"/>
      <c r="E187" s="22">
        <v>2</v>
      </c>
      <c r="F187" s="8">
        <f>IF(BD_ESTADISTICA_INF_B[[#This Row],[Lanzam.]]="","",IF(BD_ESTADISTICA_INF_B[[#This Row],[POSICION]]="jugador",C187/E187,D187/E187))</f>
        <v>1</v>
      </c>
      <c r="I187" s="22">
        <v>1</v>
      </c>
      <c r="J187" s="22"/>
      <c r="K187" s="22">
        <v>1</v>
      </c>
      <c r="L187" s="22"/>
      <c r="M187" s="22"/>
      <c r="N187" s="22"/>
      <c r="O187" s="22"/>
      <c r="P187" s="22"/>
      <c r="Q187" s="22"/>
      <c r="R187" s="23">
        <v>10</v>
      </c>
      <c r="S187" s="24">
        <v>1</v>
      </c>
      <c r="T187" s="25" t="s">
        <v>79</v>
      </c>
      <c r="U187" s="11" t="s">
        <v>113</v>
      </c>
      <c r="V187" s="26" t="str">
        <f>IF(OR(BD_ESTADISTICA_INF_B[[#This Row],[Jugador]]="eudald",BD_ESTADISTICA_INF_B[[#This Row],[Jugador]]="jules",BD_ESTADISTICA_INF_B[[#This Row],[Jugador]]="JAN"),"PORTERO","JUGADOR")</f>
        <v>JUGADOR</v>
      </c>
      <c r="W187" s="26">
        <f>IF(BD_ESTADISTICA_INF_B[[#This Row],[POSICION]]="jugador",BD_ESTADISTICA_INF_B[[#This Row],[Goles]],0)</f>
        <v>2</v>
      </c>
      <c r="X187" s="26">
        <f>IF(BD_ESTADISTICA_INF_B[[#This Row],[POSICION]]="portero",BD_ESTADISTICA_INF_B[[#This Row],[Lanzam.]]-BD_ESTADISTICA_INF_B[[#This Row],[Paradas]],0)</f>
        <v>0</v>
      </c>
      <c r="Y187" s="26">
        <f>IF(BD_ESTADISTICA_INF_B[[#This Row],[POSICION]]="jugador",BD_ESTADISTICA_INF_B[[#This Row],[Lanzam.]],0)</f>
        <v>2</v>
      </c>
      <c r="Z187" s="26">
        <f>IF(BD_ESTADISTICA_INF_B[[#This Row],[POSICION]]="portero",BD_ESTADISTICA_INF_B[[#This Row],[Lanzam.]],0)</f>
        <v>0</v>
      </c>
    </row>
    <row r="188" spans="1:26" hidden="1">
      <c r="A188" s="21" t="s">
        <v>31</v>
      </c>
      <c r="B188" s="21"/>
      <c r="C188" s="29">
        <v>2</v>
      </c>
      <c r="D188" s="22">
        <v>2</v>
      </c>
      <c r="E188" s="22">
        <v>4</v>
      </c>
      <c r="F188" s="8">
        <f>IF(BD_ESTADISTICA_INF_B[[#This Row],[Lanzam.]]="","",IF(BD_ESTADISTICA_INF_B[[#This Row],[POSICION]]="jugador",C188/E188,D188/E188))</f>
        <v>0.5</v>
      </c>
      <c r="I188" s="22"/>
      <c r="J188" s="22"/>
      <c r="K188" s="22"/>
      <c r="L188" s="22"/>
      <c r="M188" s="22"/>
      <c r="N188" s="22"/>
      <c r="O188" s="22"/>
      <c r="P188" s="22"/>
      <c r="Q188" s="22"/>
      <c r="R188" s="23">
        <v>10</v>
      </c>
      <c r="S188" s="24">
        <v>1</v>
      </c>
      <c r="T188" s="25" t="s">
        <v>79</v>
      </c>
      <c r="U188" s="11" t="s">
        <v>113</v>
      </c>
      <c r="V188" s="26" t="str">
        <f>IF(OR(BD_ESTADISTICA_INF_B[[#This Row],[Jugador]]="eudald",BD_ESTADISTICA_INF_B[[#This Row],[Jugador]]="jules",BD_ESTADISTICA_INF_B[[#This Row],[Jugador]]="JAN"),"PORTERO","JUGADOR")</f>
        <v>PORTERO</v>
      </c>
      <c r="W188" s="26">
        <f>IF(BD_ESTADISTICA_INF_B[[#This Row],[POSICION]]="jugador",BD_ESTADISTICA_INF_B[[#This Row],[Goles]],0)</f>
        <v>0</v>
      </c>
      <c r="X188" s="26">
        <f>IF(BD_ESTADISTICA_INF_B[[#This Row],[POSICION]]="portero",BD_ESTADISTICA_INF_B[[#This Row],[Lanzam.]]-BD_ESTADISTICA_INF_B[[#This Row],[Paradas]],0)</f>
        <v>2</v>
      </c>
      <c r="Y188" s="26">
        <f>IF(BD_ESTADISTICA_INF_B[[#This Row],[POSICION]]="jugador",BD_ESTADISTICA_INF_B[[#This Row],[Lanzam.]],0)</f>
        <v>0</v>
      </c>
      <c r="Z188" s="26">
        <f>IF(BD_ESTADISTICA_INF_B[[#This Row],[POSICION]]="portero",BD_ESTADISTICA_INF_B[[#This Row],[Lanzam.]],0)</f>
        <v>4</v>
      </c>
    </row>
    <row r="189" spans="1:26" hidden="1">
      <c r="A189" s="21" t="s">
        <v>29</v>
      </c>
      <c r="B189" s="21"/>
      <c r="C189" s="28">
        <v>9</v>
      </c>
      <c r="D189" s="22">
        <v>9</v>
      </c>
      <c r="E189" s="22">
        <v>23</v>
      </c>
      <c r="F189" s="8">
        <f>IF(BD_ESTADISTICA_INF_B[[#This Row],[Lanzam.]]="","",IF(BD_ESTADISTICA_INF_B[[#This Row],[POSICION]]="jugador",C189/E189,D189/E189))</f>
        <v>0.39130434782608697</v>
      </c>
      <c r="I189" s="22"/>
      <c r="J189" s="22"/>
      <c r="K189" s="22"/>
      <c r="L189" s="22"/>
      <c r="M189" s="22"/>
      <c r="N189" s="22"/>
      <c r="O189" s="22"/>
      <c r="P189" s="22"/>
      <c r="Q189" s="22"/>
      <c r="R189" s="23">
        <v>10</v>
      </c>
      <c r="S189" s="24">
        <v>1</v>
      </c>
      <c r="T189" s="25" t="s">
        <v>79</v>
      </c>
      <c r="U189" s="11" t="s">
        <v>113</v>
      </c>
      <c r="V189" s="26" t="str">
        <f>IF(OR(BD_ESTADISTICA_INF_B[[#This Row],[Jugador]]="eudald",BD_ESTADISTICA_INF_B[[#This Row],[Jugador]]="jules",BD_ESTADISTICA_INF_B[[#This Row],[Jugador]]="JAN"),"PORTERO","JUGADOR")</f>
        <v>PORTERO</v>
      </c>
      <c r="W189" s="26">
        <f>IF(BD_ESTADISTICA_INF_B[[#This Row],[POSICION]]="jugador",BD_ESTADISTICA_INF_B[[#This Row],[Goles]],0)</f>
        <v>0</v>
      </c>
      <c r="X189" s="26">
        <f>IF(BD_ESTADISTICA_INF_B[[#This Row],[POSICION]]="portero",BD_ESTADISTICA_INF_B[[#This Row],[Lanzam.]]-BD_ESTADISTICA_INF_B[[#This Row],[Paradas]],0)</f>
        <v>14</v>
      </c>
      <c r="Y189" s="26">
        <f>IF(BD_ESTADISTICA_INF_B[[#This Row],[POSICION]]="jugador",BD_ESTADISTICA_INF_B[[#This Row],[Lanzam.]],0)</f>
        <v>0</v>
      </c>
      <c r="Z189" s="26">
        <f>IF(BD_ESTADISTICA_INF_B[[#This Row],[POSICION]]="portero",BD_ESTADISTICA_INF_B[[#This Row],[Lanzam.]],0)</f>
        <v>23</v>
      </c>
    </row>
    <row r="190" spans="1:26" hidden="1">
      <c r="A190" s="34" t="s">
        <v>30</v>
      </c>
      <c r="B190" s="34"/>
      <c r="C190" s="22"/>
      <c r="D190" s="22"/>
      <c r="E190" s="22"/>
      <c r="F190" s="8" t="str">
        <f>IF(BD_ESTADISTICA_INF_B[[#This Row],[Lanzam.]]="","",IF(BD_ESTADISTICA_INF_B[[#This Row],[POSICION]]="jugador",C190/E190,D190/E190))</f>
        <v/>
      </c>
      <c r="I190" s="22"/>
      <c r="J190" s="22"/>
      <c r="K190" s="22"/>
      <c r="L190" s="22"/>
      <c r="M190" s="22"/>
      <c r="N190" s="22"/>
      <c r="O190" s="22"/>
      <c r="P190" s="22"/>
      <c r="Q190" s="22"/>
      <c r="R190" s="23">
        <v>10</v>
      </c>
      <c r="S190" s="24">
        <v>1</v>
      </c>
      <c r="T190" s="25" t="s">
        <v>79</v>
      </c>
      <c r="U190" s="11" t="s">
        <v>113</v>
      </c>
      <c r="V190" s="26" t="str">
        <f>IF(OR(BD_ESTADISTICA_INF_B[[#This Row],[Jugador]]="eudald",BD_ESTADISTICA_INF_B[[#This Row],[Jugador]]="jules",BD_ESTADISTICA_INF_B[[#This Row],[Jugador]]="JAN"),"PORTERO","JUGADOR")</f>
        <v>PORTERO</v>
      </c>
      <c r="W190" s="26">
        <f>IF(BD_ESTADISTICA_INF_B[[#This Row],[POSICION]]="jugador",BD_ESTADISTICA_INF_B[[#This Row],[Goles]],0)</f>
        <v>0</v>
      </c>
      <c r="X190" s="26">
        <f>IF(BD_ESTADISTICA_INF_B[[#This Row],[POSICION]]="portero",BD_ESTADISTICA_INF_B[[#This Row],[Lanzam.]]-BD_ESTADISTICA_INF_B[[#This Row],[Paradas]],0)</f>
        <v>0</v>
      </c>
      <c r="Y190" s="26">
        <f>IF(BD_ESTADISTICA_INF_B[[#This Row],[POSICION]]="jugador",BD_ESTADISTICA_INF_B[[#This Row],[Lanzam.]],0)</f>
        <v>0</v>
      </c>
      <c r="Z190" s="26">
        <f>IF(BD_ESTADISTICA_INF_B[[#This Row],[POSICION]]="portero",BD_ESTADISTICA_INF_B[[#This Row],[Lanzam.]],0)</f>
        <v>0</v>
      </c>
    </row>
    <row r="191" spans="1:26" hidden="1">
      <c r="A191" s="21" t="s">
        <v>42</v>
      </c>
      <c r="B191" s="21"/>
      <c r="C191" s="22">
        <v>1</v>
      </c>
      <c r="D191" s="22"/>
      <c r="E191" s="22">
        <v>3</v>
      </c>
      <c r="F191" s="8">
        <f>IF(BD_ESTADISTICA_INF_B[[#This Row],[Lanzam.]]="","",IF(BD_ESTADISTICA_INF_B[[#This Row],[POSICION]]="jugador",C191/E191,D191/E191))</f>
        <v>0.33333333333333331</v>
      </c>
      <c r="I191" s="22"/>
      <c r="J191" s="22"/>
      <c r="K191" s="22">
        <v>1</v>
      </c>
      <c r="L191" s="22"/>
      <c r="M191" s="22"/>
      <c r="N191" s="22"/>
      <c r="O191" s="22">
        <v>1</v>
      </c>
      <c r="P191" s="22">
        <v>1</v>
      </c>
      <c r="Q191" s="22">
        <v>1</v>
      </c>
      <c r="R191" s="23">
        <v>10</v>
      </c>
      <c r="S191" s="24">
        <v>1</v>
      </c>
      <c r="T191" s="25" t="s">
        <v>79</v>
      </c>
      <c r="U191" s="11" t="s">
        <v>113</v>
      </c>
      <c r="V191" s="26" t="str">
        <f>IF(OR(BD_ESTADISTICA_INF_B[[#This Row],[Jugador]]="eudald",BD_ESTADISTICA_INF_B[[#This Row],[Jugador]]="jules",BD_ESTADISTICA_INF_B[[#This Row],[Jugador]]="JAN"),"PORTERO","JUGADOR")</f>
        <v>JUGADOR</v>
      </c>
      <c r="W191" s="26">
        <f>IF(BD_ESTADISTICA_INF_B[[#This Row],[POSICION]]="jugador",BD_ESTADISTICA_INF_B[[#This Row],[Goles]],0)</f>
        <v>1</v>
      </c>
      <c r="X191" s="26">
        <f>IF(BD_ESTADISTICA_INF_B[[#This Row],[POSICION]]="portero",BD_ESTADISTICA_INF_B[[#This Row],[Lanzam.]]-BD_ESTADISTICA_INF_B[[#This Row],[Paradas]],0)</f>
        <v>0</v>
      </c>
      <c r="Y191" s="26">
        <f>IF(BD_ESTADISTICA_INF_B[[#This Row],[POSICION]]="jugador",BD_ESTADISTICA_INF_B[[#This Row],[Lanzam.]],0)</f>
        <v>3</v>
      </c>
      <c r="Z191" s="26">
        <f>IF(BD_ESTADISTICA_INF_B[[#This Row],[POSICION]]="portero",BD_ESTADISTICA_INF_B[[#This Row],[Lanzam.]],0)</f>
        <v>0</v>
      </c>
    </row>
    <row r="192" spans="1:26" hidden="1">
      <c r="A192" s="34" t="s">
        <v>22</v>
      </c>
      <c r="B192" s="34"/>
      <c r="C192" s="22"/>
      <c r="D192" s="22"/>
      <c r="E192" s="22"/>
      <c r="F192" s="8" t="str">
        <f>IF(BD_ESTADISTICA_INF_B[[#This Row],[Lanzam.]]="","",IF(BD_ESTADISTICA_INF_B[[#This Row],[POSICION]]="jugador",C192/E192,D192/E192))</f>
        <v/>
      </c>
      <c r="I192" s="22"/>
      <c r="J192" s="22"/>
      <c r="K192" s="22"/>
      <c r="L192" s="22"/>
      <c r="M192" s="22"/>
      <c r="N192" s="22"/>
      <c r="O192" s="22"/>
      <c r="P192" s="22"/>
      <c r="Q192" s="22"/>
      <c r="R192" s="23">
        <v>10</v>
      </c>
      <c r="S192" s="24">
        <v>1</v>
      </c>
      <c r="T192" s="25" t="s">
        <v>79</v>
      </c>
      <c r="U192" s="11" t="s">
        <v>113</v>
      </c>
      <c r="V192" s="26" t="str">
        <f>IF(OR(BD_ESTADISTICA_INF_B[[#This Row],[Jugador]]="eudald",BD_ESTADISTICA_INF_B[[#This Row],[Jugador]]="jules",BD_ESTADISTICA_INF_B[[#This Row],[Jugador]]="JAN"),"PORTERO","JUGADOR")</f>
        <v>JUGADOR</v>
      </c>
      <c r="W192" s="26">
        <f>IF(BD_ESTADISTICA_INF_B[[#This Row],[POSICION]]="jugador",BD_ESTADISTICA_INF_B[[#This Row],[Goles]],0)</f>
        <v>0</v>
      </c>
      <c r="X192" s="26">
        <f>IF(BD_ESTADISTICA_INF_B[[#This Row],[POSICION]]="portero",BD_ESTADISTICA_INF_B[[#This Row],[Lanzam.]]-BD_ESTADISTICA_INF_B[[#This Row],[Paradas]],0)</f>
        <v>0</v>
      </c>
      <c r="Y192" s="26">
        <f>IF(BD_ESTADISTICA_INF_B[[#This Row],[POSICION]]="jugador",BD_ESTADISTICA_INF_B[[#This Row],[Lanzam.]],0)</f>
        <v>0</v>
      </c>
      <c r="Z192" s="26">
        <f>IF(BD_ESTADISTICA_INF_B[[#This Row],[POSICION]]="portero",BD_ESTADISTICA_INF_B[[#This Row],[Lanzam.]],0)</f>
        <v>0</v>
      </c>
    </row>
  </sheetData>
  <phoneticPr fontId="6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4"/>
  <sheetViews>
    <sheetView zoomScale="99" zoomScaleNormal="90" workbookViewId="0">
      <selection activeCell="I26" sqref="I26"/>
    </sheetView>
  </sheetViews>
  <sheetFormatPr baseColWidth="10" defaultRowHeight="13.8"/>
  <cols>
    <col min="1" max="1" width="2.796875" customWidth="1"/>
    <col min="3" max="3" width="21.5976562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0" bestFit="1" customWidth="1"/>
    <col min="15" max="15" width="9.296875" bestFit="1" customWidth="1"/>
    <col min="16" max="16" width="24.796875" bestFit="1" customWidth="1"/>
    <col min="17" max="17" width="23.7968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3.7968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40">
        <v>7</v>
      </c>
      <c r="E4" s="40">
        <v>10</v>
      </c>
      <c r="F4" s="20"/>
      <c r="G4" s="17">
        <v>1</v>
      </c>
      <c r="H4" s="18">
        <v>0.7</v>
      </c>
      <c r="J4" s="17" t="s">
        <v>30</v>
      </c>
      <c r="K4" s="40">
        <v>42</v>
      </c>
      <c r="L4" s="40">
        <v>77</v>
      </c>
      <c r="N4" s="17" t="s">
        <v>90</v>
      </c>
      <c r="Q4" s="17">
        <v>1</v>
      </c>
      <c r="R4" s="40">
        <v>2</v>
      </c>
      <c r="S4" s="40"/>
      <c r="T4" s="40"/>
      <c r="U4" s="40"/>
      <c r="W4" s="17">
        <v>1</v>
      </c>
      <c r="X4" s="40"/>
      <c r="Y4" s="40"/>
      <c r="Z4" s="40"/>
      <c r="AA4" s="40"/>
      <c r="AC4" s="18">
        <v>0.54545454545454541</v>
      </c>
      <c r="AE4" t="s">
        <v>45</v>
      </c>
      <c r="AF4" t="s">
        <v>47</v>
      </c>
      <c r="AG4" t="s">
        <v>46</v>
      </c>
      <c r="AH4" t="s">
        <v>44</v>
      </c>
      <c r="AJ4" t="s">
        <v>93</v>
      </c>
      <c r="AK4" t="s">
        <v>94</v>
      </c>
      <c r="AL4" t="s">
        <v>95</v>
      </c>
      <c r="AM4" t="s">
        <v>98</v>
      </c>
      <c r="AO4" s="17">
        <v>1</v>
      </c>
      <c r="AQ4" t="s">
        <v>100</v>
      </c>
      <c r="AR4">
        <f>GETPIVOTDATA("Recuperaciones",$AE$4)/Analisis_Equipo!AI2</f>
        <v>0</v>
      </c>
    </row>
    <row r="5" spans="1:44">
      <c r="C5" s="27" t="s">
        <v>90</v>
      </c>
      <c r="D5" s="40">
        <v>7</v>
      </c>
      <c r="E5" s="40">
        <v>10</v>
      </c>
      <c r="F5" s="20"/>
      <c r="G5" s="17">
        <v>2</v>
      </c>
      <c r="H5" s="18">
        <v>0.35</v>
      </c>
      <c r="J5" s="17" t="s">
        <v>35</v>
      </c>
      <c r="K5" s="40">
        <v>42</v>
      </c>
      <c r="L5" s="40">
        <v>77</v>
      </c>
      <c r="N5" s="17" t="s">
        <v>91</v>
      </c>
      <c r="Q5" s="27" t="s">
        <v>90</v>
      </c>
      <c r="R5" s="40">
        <v>2</v>
      </c>
      <c r="S5" s="40"/>
      <c r="T5" s="40"/>
      <c r="U5" s="40"/>
      <c r="W5" s="27" t="s">
        <v>90</v>
      </c>
      <c r="X5" s="40"/>
      <c r="Y5" s="40"/>
      <c r="Z5" s="40"/>
      <c r="AA5" s="40"/>
      <c r="AE5" s="40">
        <v>5</v>
      </c>
      <c r="AF5" s="40"/>
      <c r="AG5" s="40"/>
      <c r="AH5" s="40"/>
      <c r="AJ5" s="40"/>
      <c r="AK5" s="40">
        <v>1</v>
      </c>
      <c r="AL5" s="40"/>
      <c r="AM5" s="40"/>
      <c r="AO5" s="17">
        <v>2</v>
      </c>
      <c r="AQ5" t="s">
        <v>101</v>
      </c>
      <c r="AR5">
        <f>GETPIVOTDATA("Exclusiones provocadas",$AE$4)/Analisis_Equipo!AI2</f>
        <v>0</v>
      </c>
    </row>
    <row r="6" spans="1:44">
      <c r="C6" s="17">
        <v>2</v>
      </c>
      <c r="D6" s="40">
        <v>7</v>
      </c>
      <c r="E6" s="40">
        <v>20</v>
      </c>
      <c r="F6" s="20"/>
      <c r="G6" s="17">
        <v>3</v>
      </c>
      <c r="H6" s="18">
        <v>0.63636363636363635</v>
      </c>
      <c r="N6" s="17" t="s">
        <v>92</v>
      </c>
      <c r="Q6" s="17">
        <v>2</v>
      </c>
      <c r="R6" s="40"/>
      <c r="S6" s="40"/>
      <c r="T6" s="40"/>
      <c r="U6" s="40"/>
      <c r="W6" s="17">
        <v>2</v>
      </c>
      <c r="X6" s="40">
        <v>1</v>
      </c>
      <c r="Y6" s="40"/>
      <c r="Z6" s="40"/>
      <c r="AA6" s="40"/>
      <c r="AO6" s="17">
        <v>3</v>
      </c>
      <c r="AQ6" t="s">
        <v>102</v>
      </c>
      <c r="AR6">
        <f>GETPIVOTDATA("Penaltis provocados",$AE$4)/Analisis_Equipo!AI2</f>
        <v>0</v>
      </c>
    </row>
    <row r="7" spans="1:44">
      <c r="C7" s="27" t="s">
        <v>91</v>
      </c>
      <c r="D7" s="40">
        <v>7</v>
      </c>
      <c r="E7" s="40">
        <v>20</v>
      </c>
      <c r="F7" s="20"/>
      <c r="G7" s="17">
        <v>4</v>
      </c>
      <c r="H7" s="18" t="e">
        <v>#DIV/0!</v>
      </c>
      <c r="N7" s="17" t="s">
        <v>112</v>
      </c>
      <c r="Q7" s="27" t="s">
        <v>91</v>
      </c>
      <c r="R7" s="40"/>
      <c r="S7" s="40"/>
      <c r="T7" s="40"/>
      <c r="U7" s="40"/>
      <c r="W7" s="27" t="s">
        <v>91</v>
      </c>
      <c r="X7" s="40">
        <v>1</v>
      </c>
      <c r="Y7" s="40"/>
      <c r="Z7" s="40"/>
      <c r="AA7" s="40"/>
      <c r="AO7" s="17">
        <v>4</v>
      </c>
      <c r="AQ7" t="s">
        <v>103</v>
      </c>
      <c r="AR7">
        <f>GETPIVOTDATA("Asistencias",$AE$4)/Analisis_Equipo!AI2</f>
        <v>0.5</v>
      </c>
    </row>
    <row r="8" spans="1:44">
      <c r="C8" s="17">
        <v>3</v>
      </c>
      <c r="D8" s="40">
        <v>7</v>
      </c>
      <c r="E8" s="40">
        <v>11</v>
      </c>
      <c r="F8" s="20"/>
      <c r="G8" s="17">
        <v>5</v>
      </c>
      <c r="H8" s="18" t="e">
        <v>#DIV/0!</v>
      </c>
      <c r="N8" s="17" t="s">
        <v>104</v>
      </c>
      <c r="Q8" s="17">
        <v>3</v>
      </c>
      <c r="R8" s="40">
        <v>1</v>
      </c>
      <c r="S8" s="40"/>
      <c r="T8" s="40"/>
      <c r="U8" s="40"/>
      <c r="W8" s="17">
        <v>3</v>
      </c>
      <c r="X8" s="40"/>
      <c r="Y8" s="40"/>
      <c r="Z8" s="40"/>
      <c r="AA8" s="40"/>
      <c r="AO8" s="17">
        <v>5</v>
      </c>
    </row>
    <row r="9" spans="1:44">
      <c r="C9" s="27" t="s">
        <v>92</v>
      </c>
      <c r="D9" s="40">
        <v>7</v>
      </c>
      <c r="E9" s="40">
        <v>11</v>
      </c>
      <c r="F9" s="20"/>
      <c r="G9" s="17">
        <v>6</v>
      </c>
      <c r="H9" s="18">
        <v>0.36363636363636365</v>
      </c>
      <c r="N9" s="17" t="s">
        <v>105</v>
      </c>
      <c r="Q9" s="27" t="s">
        <v>92</v>
      </c>
      <c r="R9" s="40">
        <v>1</v>
      </c>
      <c r="S9" s="40"/>
      <c r="T9" s="40"/>
      <c r="U9" s="40"/>
      <c r="W9" s="27" t="s">
        <v>92</v>
      </c>
      <c r="X9" s="40"/>
      <c r="Y9" s="40"/>
      <c r="Z9" s="40"/>
      <c r="AA9" s="40"/>
      <c r="AO9" s="17">
        <v>6</v>
      </c>
    </row>
    <row r="10" spans="1:44">
      <c r="C10" s="17">
        <v>4</v>
      </c>
      <c r="D10" s="40"/>
      <c r="E10" s="40"/>
      <c r="F10" s="20"/>
      <c r="G10" s="17">
        <v>7</v>
      </c>
      <c r="H10" s="18" t="e">
        <v>#DIV/0!</v>
      </c>
      <c r="N10" s="17" t="s">
        <v>106</v>
      </c>
      <c r="Q10" s="17">
        <v>4</v>
      </c>
      <c r="R10" s="40"/>
      <c r="S10" s="40"/>
      <c r="T10" s="40"/>
      <c r="U10" s="40"/>
      <c r="W10" s="17">
        <v>4</v>
      </c>
      <c r="X10" s="40"/>
      <c r="Y10" s="40"/>
      <c r="Z10" s="40"/>
      <c r="AA10" s="40"/>
      <c r="AO10" s="17">
        <v>7</v>
      </c>
    </row>
    <row r="11" spans="1:44">
      <c r="C11" s="27" t="s">
        <v>112</v>
      </c>
      <c r="D11" s="40"/>
      <c r="E11" s="40"/>
      <c r="F11" s="20"/>
      <c r="G11" s="17">
        <v>8</v>
      </c>
      <c r="H11" s="18">
        <v>0.73333333333333328</v>
      </c>
      <c r="N11" s="17" t="s">
        <v>110</v>
      </c>
      <c r="Q11" s="27" t="s">
        <v>112</v>
      </c>
      <c r="R11" s="40"/>
      <c r="S11" s="40"/>
      <c r="T11" s="40"/>
      <c r="U11" s="40"/>
      <c r="W11" s="27" t="s">
        <v>112</v>
      </c>
      <c r="X11" s="40"/>
      <c r="Y11" s="40"/>
      <c r="Z11" s="40"/>
      <c r="AA11" s="40"/>
      <c r="AO11" s="17">
        <v>8</v>
      </c>
    </row>
    <row r="12" spans="1:44">
      <c r="C12" s="17">
        <v>5</v>
      </c>
      <c r="D12" s="40"/>
      <c r="E12" s="40"/>
      <c r="F12" s="20"/>
      <c r="G12" s="17">
        <v>9</v>
      </c>
      <c r="H12" s="18">
        <v>0.6</v>
      </c>
      <c r="N12" s="17" t="s">
        <v>111</v>
      </c>
      <c r="Q12" s="17">
        <v>5</v>
      </c>
      <c r="R12" s="40"/>
      <c r="S12" s="40"/>
      <c r="T12" s="40"/>
      <c r="U12" s="40"/>
      <c r="W12" s="17">
        <v>5</v>
      </c>
      <c r="X12" s="40"/>
      <c r="Y12" s="40"/>
      <c r="Z12" s="40"/>
      <c r="AA12" s="40"/>
      <c r="AO12" s="17">
        <v>9</v>
      </c>
    </row>
    <row r="13" spans="1:44">
      <c r="C13" s="27" t="s">
        <v>111</v>
      </c>
      <c r="D13" s="40"/>
      <c r="E13" s="40"/>
      <c r="G13" s="17">
        <v>10</v>
      </c>
      <c r="H13" s="18" t="e">
        <v>#DIV/0!</v>
      </c>
      <c r="N13" s="17" t="s">
        <v>113</v>
      </c>
      <c r="Q13" s="27" t="s">
        <v>111</v>
      </c>
      <c r="R13" s="40"/>
      <c r="S13" s="40"/>
      <c r="T13" s="40"/>
      <c r="U13" s="40"/>
      <c r="W13" s="27" t="s">
        <v>111</v>
      </c>
      <c r="X13" s="40"/>
      <c r="Y13" s="40"/>
      <c r="Z13" s="40"/>
      <c r="AA13" s="40"/>
      <c r="AO13" s="17">
        <v>10</v>
      </c>
    </row>
    <row r="14" spans="1:44">
      <c r="C14" s="17">
        <v>6</v>
      </c>
      <c r="D14" s="40">
        <v>4</v>
      </c>
      <c r="E14" s="40">
        <v>11</v>
      </c>
      <c r="G14" s="17" t="s">
        <v>35</v>
      </c>
      <c r="H14" s="18">
        <v>0.54545454545454541</v>
      </c>
      <c r="N14" s="17" t="s">
        <v>35</v>
      </c>
      <c r="Q14" s="17">
        <v>6</v>
      </c>
      <c r="R14" s="40"/>
      <c r="S14" s="40"/>
      <c r="T14" s="40"/>
      <c r="U14" s="40"/>
      <c r="W14" s="17">
        <v>6</v>
      </c>
      <c r="X14" s="40"/>
      <c r="Y14" s="40"/>
      <c r="Z14" s="40"/>
      <c r="AA14" s="40"/>
      <c r="AO14" s="17" t="s">
        <v>35</v>
      </c>
    </row>
    <row r="15" spans="1:44">
      <c r="C15" s="27" t="s">
        <v>104</v>
      </c>
      <c r="D15" s="40">
        <v>4</v>
      </c>
      <c r="E15" s="40">
        <v>11</v>
      </c>
      <c r="Q15" s="27" t="s">
        <v>104</v>
      </c>
      <c r="R15" s="40"/>
      <c r="S15" s="40"/>
      <c r="T15" s="40"/>
      <c r="U15" s="40"/>
      <c r="W15" s="27" t="s">
        <v>104</v>
      </c>
      <c r="X15" s="40"/>
      <c r="Y15" s="40"/>
      <c r="Z15" s="40"/>
      <c r="AA15" s="40"/>
    </row>
    <row r="16" spans="1:44">
      <c r="C16" s="17">
        <v>7</v>
      </c>
      <c r="D16" s="40"/>
      <c r="E16" s="40"/>
      <c r="Q16" s="17">
        <v>7</v>
      </c>
      <c r="R16" s="40"/>
      <c r="S16" s="40"/>
      <c r="T16" s="40"/>
      <c r="U16" s="40"/>
      <c r="W16" s="17">
        <v>7</v>
      </c>
      <c r="X16" s="40"/>
      <c r="Y16" s="40"/>
      <c r="Z16" s="40"/>
      <c r="AA16" s="40"/>
    </row>
    <row r="17" spans="3:27">
      <c r="C17" s="27" t="s">
        <v>105</v>
      </c>
      <c r="D17" s="40"/>
      <c r="E17" s="40"/>
      <c r="Q17" s="27" t="s">
        <v>105</v>
      </c>
      <c r="R17" s="40"/>
      <c r="S17" s="40"/>
      <c r="T17" s="40"/>
      <c r="U17" s="40"/>
      <c r="W17" s="27" t="s">
        <v>105</v>
      </c>
      <c r="X17" s="40"/>
      <c r="Y17" s="40"/>
      <c r="Z17" s="40"/>
      <c r="AA17" s="40"/>
    </row>
    <row r="18" spans="3:27">
      <c r="C18" s="17">
        <v>8</v>
      </c>
      <c r="D18" s="40">
        <v>11</v>
      </c>
      <c r="E18" s="40">
        <v>15</v>
      </c>
      <c r="Q18" s="17">
        <v>8</v>
      </c>
      <c r="R18" s="40"/>
      <c r="S18" s="40"/>
      <c r="T18" s="40"/>
      <c r="U18" s="40"/>
      <c r="W18" s="17">
        <v>8</v>
      </c>
      <c r="X18" s="40"/>
      <c r="Y18" s="40"/>
      <c r="Z18" s="40"/>
      <c r="AA18" s="40"/>
    </row>
    <row r="19" spans="3:27">
      <c r="C19" s="27" t="s">
        <v>106</v>
      </c>
      <c r="D19" s="40">
        <v>11</v>
      </c>
      <c r="E19" s="40">
        <v>15</v>
      </c>
      <c r="Q19" s="27" t="s">
        <v>106</v>
      </c>
      <c r="R19" s="40"/>
      <c r="S19" s="40"/>
      <c r="T19" s="40"/>
      <c r="U19" s="40"/>
      <c r="W19" s="27" t="s">
        <v>106</v>
      </c>
      <c r="X19" s="40"/>
      <c r="Y19" s="40"/>
      <c r="Z19" s="40"/>
      <c r="AA19" s="40"/>
    </row>
    <row r="20" spans="3:27">
      <c r="C20" s="17">
        <v>9</v>
      </c>
      <c r="D20" s="40">
        <v>6</v>
      </c>
      <c r="E20" s="40">
        <v>10</v>
      </c>
      <c r="Q20" s="17">
        <v>9</v>
      </c>
      <c r="R20" s="40">
        <v>2</v>
      </c>
      <c r="S20" s="40"/>
      <c r="T20" s="40"/>
      <c r="U20" s="40"/>
      <c r="W20" s="17">
        <v>9</v>
      </c>
      <c r="X20" s="40"/>
      <c r="Y20" s="40"/>
      <c r="Z20" s="40"/>
      <c r="AA20" s="40"/>
    </row>
    <row r="21" spans="3:27">
      <c r="C21" s="27" t="s">
        <v>110</v>
      </c>
      <c r="D21" s="40">
        <v>6</v>
      </c>
      <c r="E21" s="40">
        <v>10</v>
      </c>
      <c r="Q21" s="27" t="s">
        <v>110</v>
      </c>
      <c r="R21" s="40">
        <v>2</v>
      </c>
      <c r="S21" s="40"/>
      <c r="T21" s="40"/>
      <c r="U21" s="40"/>
      <c r="W21" s="27" t="s">
        <v>110</v>
      </c>
      <c r="X21" s="40"/>
      <c r="Y21" s="40"/>
      <c r="Z21" s="40"/>
      <c r="AA21" s="40"/>
    </row>
    <row r="22" spans="3:27">
      <c r="C22" s="17">
        <v>10</v>
      </c>
      <c r="D22" s="40"/>
      <c r="E22" s="40"/>
      <c r="Q22" s="17">
        <v>10</v>
      </c>
      <c r="R22" s="40"/>
      <c r="S22" s="40"/>
      <c r="T22" s="40"/>
      <c r="U22" s="40"/>
      <c r="W22" s="17">
        <v>10</v>
      </c>
      <c r="X22" s="40"/>
      <c r="Y22" s="40"/>
      <c r="Z22" s="40"/>
      <c r="AA22" s="40"/>
    </row>
    <row r="23" spans="3:27">
      <c r="C23" s="27" t="s">
        <v>113</v>
      </c>
      <c r="D23" s="40"/>
      <c r="E23" s="40"/>
      <c r="Q23" s="27" t="s">
        <v>113</v>
      </c>
      <c r="R23" s="40"/>
      <c r="S23" s="40"/>
      <c r="T23" s="40"/>
      <c r="U23" s="40"/>
      <c r="W23" s="27" t="s">
        <v>113</v>
      </c>
      <c r="X23" s="40"/>
      <c r="Y23" s="40"/>
      <c r="Z23" s="40"/>
      <c r="AA23" s="40"/>
    </row>
    <row r="24" spans="3:27">
      <c r="C24" s="17" t="s">
        <v>35</v>
      </c>
      <c r="D24" s="40">
        <v>42</v>
      </c>
      <c r="E24" s="40">
        <v>77</v>
      </c>
      <c r="Q24" s="17" t="s">
        <v>35</v>
      </c>
      <c r="R24" s="40">
        <v>5</v>
      </c>
      <c r="S24" s="40"/>
      <c r="T24" s="40"/>
      <c r="U24" s="40"/>
      <c r="W24" s="17" t="s">
        <v>35</v>
      </c>
      <c r="X24" s="40">
        <v>1</v>
      </c>
      <c r="Y24" s="40"/>
      <c r="Z24" s="40"/>
      <c r="AA24" s="40"/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AC1" zoomScale="99" zoomScaleNormal="90" workbookViewId="0">
      <selection activeCell="AL17" sqref="AL17"/>
    </sheetView>
  </sheetViews>
  <sheetFormatPr baseColWidth="10" defaultRowHeight="13.8"/>
  <cols>
    <col min="1" max="1" width="2.796875" customWidth="1"/>
    <col min="3" max="3" width="21.59765625" bestFit="1" customWidth="1"/>
    <col min="4" max="4" width="19.19921875" bestFit="1" customWidth="1"/>
    <col min="5" max="5" width="30.69921875" bestFit="1" customWidth="1"/>
    <col min="6" max="6" width="17.796875" style="31" bestFit="1" customWidth="1"/>
    <col min="7" max="7" width="19.19921875" bestFit="1" customWidth="1"/>
    <col min="8" max="8" width="30.69921875" style="20" bestFit="1" customWidth="1"/>
    <col min="9" max="9" width="17.59765625" style="32" bestFit="1" customWidth="1"/>
    <col min="10" max="10" width="17" bestFit="1" customWidth="1"/>
    <col min="11" max="11" width="21.59765625" bestFit="1" customWidth="1"/>
    <col min="12" max="12" width="16.3984375" bestFit="1" customWidth="1"/>
    <col min="13" max="13" width="20.19921875" bestFit="1" customWidth="1"/>
    <col min="14" max="14" width="25.296875" style="32" bestFit="1" customWidth="1"/>
    <col min="15" max="15" width="24.296875" style="32" customWidth="1"/>
    <col min="16" max="16" width="20.19921875" bestFit="1" customWidth="1"/>
    <col min="17" max="17" width="16.3984375" bestFit="1" customWidth="1"/>
    <col min="18" max="18" width="17.59765625" style="32" bestFit="1" customWidth="1"/>
    <col min="19" max="19" width="10.796875" bestFit="1" customWidth="1"/>
    <col min="20" max="20" width="23.7968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3.7968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2" t="s">
        <v>58</v>
      </c>
      <c r="G2" t="s">
        <v>56</v>
      </c>
      <c r="H2" t="s">
        <v>57</v>
      </c>
      <c r="I2" s="32" t="s">
        <v>59</v>
      </c>
      <c r="L2" t="s">
        <v>61</v>
      </c>
      <c r="M2" t="s">
        <v>60</v>
      </c>
      <c r="N2" s="32" t="s">
        <v>62</v>
      </c>
      <c r="P2" t="s">
        <v>60</v>
      </c>
      <c r="Q2" t="s">
        <v>61</v>
      </c>
      <c r="R2" s="32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MAX(Datos!R:R)</f>
        <v>10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40">
        <v>55</v>
      </c>
      <c r="E3" s="40">
        <v>62</v>
      </c>
      <c r="F3" s="32">
        <v>88.709677419354833</v>
      </c>
      <c r="G3" s="40">
        <v>479</v>
      </c>
      <c r="H3" s="40">
        <v>574</v>
      </c>
      <c r="I3" s="32">
        <v>83.449477351916386</v>
      </c>
      <c r="K3" s="17">
        <v>1</v>
      </c>
      <c r="L3" s="40">
        <v>11</v>
      </c>
      <c r="M3" s="40">
        <v>12</v>
      </c>
      <c r="N3" s="32">
        <v>47.826086956521742</v>
      </c>
      <c r="P3" s="40">
        <v>143</v>
      </c>
      <c r="Q3" s="40">
        <v>118</v>
      </c>
      <c r="R3" s="32">
        <v>45.21072796934866</v>
      </c>
      <c r="T3" s="17">
        <v>1</v>
      </c>
      <c r="U3" s="40">
        <v>29</v>
      </c>
      <c r="V3" s="40">
        <v>2</v>
      </c>
      <c r="W3" s="40">
        <v>1</v>
      </c>
      <c r="X3" s="40">
        <v>26</v>
      </c>
      <c r="Z3" s="17">
        <v>1</v>
      </c>
      <c r="AA3" s="40">
        <v>6</v>
      </c>
      <c r="AB3" s="40">
        <v>1</v>
      </c>
      <c r="AC3" s="40"/>
      <c r="AD3" s="40">
        <v>3</v>
      </c>
      <c r="AH3" t="s">
        <v>65</v>
      </c>
      <c r="AI3">
        <f>GETPIVOTDATA("Suma de goles favor",$G$2)</f>
        <v>479</v>
      </c>
      <c r="AK3" s="40">
        <v>57</v>
      </c>
      <c r="AL3" s="40">
        <v>4</v>
      </c>
      <c r="AM3" s="40">
        <v>14</v>
      </c>
      <c r="AN3" s="40">
        <v>29</v>
      </c>
    </row>
    <row r="4" spans="1:50">
      <c r="A4" s="14"/>
      <c r="C4" s="27" t="s">
        <v>90</v>
      </c>
      <c r="D4" s="40">
        <v>55</v>
      </c>
      <c r="E4" s="40">
        <v>62</v>
      </c>
      <c r="F4" s="32">
        <v>88.709677419354833</v>
      </c>
      <c r="H4"/>
      <c r="K4" s="27" t="s">
        <v>90</v>
      </c>
      <c r="L4" s="40">
        <v>11</v>
      </c>
      <c r="M4" s="40">
        <v>12</v>
      </c>
      <c r="N4" s="32">
        <v>47.826086956521742</v>
      </c>
      <c r="T4" s="27" t="s">
        <v>90</v>
      </c>
      <c r="U4" s="40">
        <v>29</v>
      </c>
      <c r="V4" s="40">
        <v>2</v>
      </c>
      <c r="W4" s="40">
        <v>1</v>
      </c>
      <c r="X4" s="40">
        <v>26</v>
      </c>
      <c r="Z4" s="27" t="s">
        <v>90</v>
      </c>
      <c r="AA4" s="40">
        <v>6</v>
      </c>
      <c r="AB4" s="40">
        <v>1</v>
      </c>
      <c r="AC4" s="40"/>
      <c r="AD4" s="40">
        <v>3</v>
      </c>
      <c r="AH4" t="s">
        <v>66</v>
      </c>
      <c r="AI4">
        <f>GETPIVOTDATA("Suma de goles contra",$P$2)</f>
        <v>143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2</v>
      </c>
      <c r="D5" s="40">
        <v>55</v>
      </c>
      <c r="E5" s="40">
        <v>66</v>
      </c>
      <c r="F5" s="32">
        <v>83.333333333333343</v>
      </c>
      <c r="H5"/>
      <c r="K5" s="17">
        <v>2</v>
      </c>
      <c r="L5" s="40">
        <v>11</v>
      </c>
      <c r="M5" s="40">
        <v>26</v>
      </c>
      <c r="N5" s="32">
        <v>29.72972972972973</v>
      </c>
      <c r="T5" s="17">
        <v>2</v>
      </c>
      <c r="U5" s="40">
        <v>19</v>
      </c>
      <c r="V5" s="40">
        <v>6</v>
      </c>
      <c r="W5" s="40">
        <v>3</v>
      </c>
      <c r="X5" s="40">
        <v>23</v>
      </c>
      <c r="Z5" s="17">
        <v>2</v>
      </c>
      <c r="AA5" s="40">
        <v>9</v>
      </c>
      <c r="AB5" s="40">
        <v>2</v>
      </c>
      <c r="AC5" s="40">
        <v>1</v>
      </c>
      <c r="AD5" s="40"/>
      <c r="AH5" t="s">
        <v>67</v>
      </c>
      <c r="AI5">
        <f>GETPIVOTDATA("Suma de Paradas",$P$2)</f>
        <v>118</v>
      </c>
      <c r="AJ5" s="39">
        <f>AI5/AI2</f>
        <v>11.8</v>
      </c>
      <c r="AK5" t="s">
        <v>45</v>
      </c>
      <c r="AL5" t="s">
        <v>44</v>
      </c>
      <c r="AM5" t="s">
        <v>75</v>
      </c>
      <c r="AP5" s="40">
        <v>261</v>
      </c>
      <c r="AQ5" s="40">
        <v>24</v>
      </c>
      <c r="AR5" s="40">
        <v>13</v>
      </c>
      <c r="AS5" s="40">
        <v>220</v>
      </c>
      <c r="AU5" s="40">
        <v>57</v>
      </c>
      <c r="AV5" s="40">
        <v>4</v>
      </c>
      <c r="AW5" s="40">
        <v>14</v>
      </c>
      <c r="AX5" s="40">
        <v>29</v>
      </c>
    </row>
    <row r="6" spans="1:50">
      <c r="C6" s="27" t="s">
        <v>91</v>
      </c>
      <c r="D6" s="40">
        <v>55</v>
      </c>
      <c r="E6" s="40">
        <v>66</v>
      </c>
      <c r="F6" s="32">
        <v>83.333333333333343</v>
      </c>
      <c r="H6"/>
      <c r="K6" s="27" t="s">
        <v>91</v>
      </c>
      <c r="L6" s="40">
        <v>11</v>
      </c>
      <c r="M6" s="40">
        <v>26</v>
      </c>
      <c r="N6" s="32">
        <v>29.72972972972973</v>
      </c>
      <c r="T6" s="27" t="s">
        <v>91</v>
      </c>
      <c r="U6" s="40">
        <v>19</v>
      </c>
      <c r="V6" s="40">
        <v>6</v>
      </c>
      <c r="W6" s="40">
        <v>3</v>
      </c>
      <c r="X6" s="40">
        <v>23</v>
      </c>
      <c r="Z6" s="27" t="s">
        <v>91</v>
      </c>
      <c r="AA6" s="40">
        <v>9</v>
      </c>
      <c r="AB6" s="40">
        <v>2</v>
      </c>
      <c r="AC6" s="40">
        <v>1</v>
      </c>
      <c r="AD6" s="40"/>
      <c r="AH6" t="s">
        <v>68</v>
      </c>
      <c r="AI6">
        <f>GETPIVOTDATA("Suma de lanzamientos realizados",$G$2)</f>
        <v>574</v>
      </c>
      <c r="AJ6" s="39">
        <f>AI6/AI2</f>
        <v>57.4</v>
      </c>
      <c r="AK6" s="40">
        <v>261</v>
      </c>
      <c r="AL6" s="40">
        <v>220</v>
      </c>
      <c r="AM6" s="40">
        <v>13</v>
      </c>
    </row>
    <row r="7" spans="1:50">
      <c r="C7" s="17">
        <v>3</v>
      </c>
      <c r="D7" s="40">
        <v>52</v>
      </c>
      <c r="E7" s="40">
        <v>60</v>
      </c>
      <c r="F7" s="32">
        <v>86.666666666666671</v>
      </c>
      <c r="H7"/>
      <c r="K7" s="17">
        <v>3</v>
      </c>
      <c r="L7" s="40">
        <v>13</v>
      </c>
      <c r="M7" s="40">
        <v>11</v>
      </c>
      <c r="N7" s="32">
        <v>54.166666666666664</v>
      </c>
      <c r="T7" s="17">
        <v>3</v>
      </c>
      <c r="U7" s="40">
        <v>33</v>
      </c>
      <c r="V7" s="40"/>
      <c r="W7" s="40"/>
      <c r="X7" s="40">
        <v>27</v>
      </c>
      <c r="Z7" s="17">
        <v>3</v>
      </c>
      <c r="AA7" s="40">
        <v>5</v>
      </c>
      <c r="AB7" s="40"/>
      <c r="AC7" s="40"/>
      <c r="AD7" s="40">
        <v>2</v>
      </c>
      <c r="AH7" t="s">
        <v>69</v>
      </c>
      <c r="AI7" s="33">
        <f>GETPIVOTDATA("Suma de Campo11",$G$2)</f>
        <v>83.449477351916386</v>
      </c>
    </row>
    <row r="8" spans="1:50">
      <c r="C8" s="27" t="s">
        <v>92</v>
      </c>
      <c r="D8" s="40">
        <v>52</v>
      </c>
      <c r="E8" s="40">
        <v>60</v>
      </c>
      <c r="F8" s="32">
        <v>86.666666666666671</v>
      </c>
      <c r="H8"/>
      <c r="K8" s="27" t="s">
        <v>92</v>
      </c>
      <c r="L8" s="40">
        <v>13</v>
      </c>
      <c r="M8" s="40">
        <v>11</v>
      </c>
      <c r="N8" s="32">
        <v>54.166666666666664</v>
      </c>
      <c r="T8" s="27" t="s">
        <v>92</v>
      </c>
      <c r="U8" s="40">
        <v>33</v>
      </c>
      <c r="V8" s="40"/>
      <c r="W8" s="40"/>
      <c r="X8" s="40">
        <v>27</v>
      </c>
      <c r="Z8" s="27" t="s">
        <v>92</v>
      </c>
      <c r="AA8" s="40">
        <v>5</v>
      </c>
      <c r="AB8" s="40"/>
      <c r="AC8" s="40"/>
      <c r="AD8" s="40">
        <v>2</v>
      </c>
      <c r="AH8" t="s">
        <v>72</v>
      </c>
      <c r="AI8" s="33">
        <f>AI3/AI2</f>
        <v>47.9</v>
      </c>
    </row>
    <row r="9" spans="1:50">
      <c r="C9" s="17">
        <v>4</v>
      </c>
      <c r="D9" s="40">
        <v>50</v>
      </c>
      <c r="E9" s="40">
        <v>60</v>
      </c>
      <c r="F9" s="32">
        <v>83.333333333333343</v>
      </c>
      <c r="H9"/>
      <c r="K9" s="17">
        <v>4</v>
      </c>
      <c r="L9" s="40">
        <v>7</v>
      </c>
      <c r="M9" s="40">
        <v>9</v>
      </c>
      <c r="N9" s="32">
        <v>43.75</v>
      </c>
      <c r="O9"/>
      <c r="T9" s="17">
        <v>4</v>
      </c>
      <c r="U9" s="40">
        <v>24</v>
      </c>
      <c r="V9" s="40"/>
      <c r="W9" s="40"/>
      <c r="X9" s="40">
        <v>32</v>
      </c>
      <c r="Z9" s="17">
        <v>4</v>
      </c>
      <c r="AA9" s="40">
        <v>4</v>
      </c>
      <c r="AB9" s="40"/>
      <c r="AC9" s="40">
        <v>4</v>
      </c>
      <c r="AD9" s="40">
        <v>2</v>
      </c>
      <c r="AH9" t="s">
        <v>70</v>
      </c>
      <c r="AI9" s="30">
        <f>GETPIVOTDATA("Suma de Paradas",$P$2)/(AI4+AI5)</f>
        <v>0.45210727969348657</v>
      </c>
    </row>
    <row r="10" spans="1:50">
      <c r="C10" s="27" t="s">
        <v>112</v>
      </c>
      <c r="D10" s="40">
        <v>50</v>
      </c>
      <c r="E10" s="40">
        <v>60</v>
      </c>
      <c r="F10" s="32">
        <v>83.333333333333343</v>
      </c>
      <c r="G10" s="19"/>
      <c r="K10" s="27" t="s">
        <v>112</v>
      </c>
      <c r="L10" s="40">
        <v>7</v>
      </c>
      <c r="M10" s="40">
        <v>9</v>
      </c>
      <c r="N10" s="32">
        <v>43.75</v>
      </c>
      <c r="T10" s="27" t="s">
        <v>112</v>
      </c>
      <c r="U10" s="40">
        <v>24</v>
      </c>
      <c r="V10" s="40"/>
      <c r="W10" s="40"/>
      <c r="X10" s="40">
        <v>32</v>
      </c>
      <c r="Z10" s="27" t="s">
        <v>112</v>
      </c>
      <c r="AA10" s="40">
        <v>4</v>
      </c>
      <c r="AB10" s="40"/>
      <c r="AC10" s="40">
        <v>4</v>
      </c>
      <c r="AD10" s="40">
        <v>2</v>
      </c>
      <c r="AH10" t="s">
        <v>71</v>
      </c>
      <c r="AI10" s="33">
        <f>AI4/AI2</f>
        <v>14.3</v>
      </c>
    </row>
    <row r="11" spans="1:50">
      <c r="C11" s="17">
        <v>5</v>
      </c>
      <c r="D11" s="40">
        <v>38</v>
      </c>
      <c r="E11" s="40">
        <v>52</v>
      </c>
      <c r="F11" s="32">
        <v>73.076923076923066</v>
      </c>
      <c r="G11" s="19"/>
      <c r="K11" s="17">
        <v>5</v>
      </c>
      <c r="L11" s="40">
        <v>9</v>
      </c>
      <c r="M11" s="40">
        <v>25</v>
      </c>
      <c r="N11" s="32">
        <v>26.47058823529412</v>
      </c>
      <c r="T11" s="17">
        <v>5</v>
      </c>
      <c r="U11" s="40">
        <v>17</v>
      </c>
      <c r="V11" s="40">
        <v>4</v>
      </c>
      <c r="W11" s="40">
        <v>2</v>
      </c>
      <c r="X11" s="40">
        <v>11</v>
      </c>
      <c r="Z11" s="17">
        <v>5</v>
      </c>
      <c r="AA11" s="40">
        <v>7</v>
      </c>
      <c r="AB11" s="40"/>
      <c r="AC11" s="40">
        <v>1</v>
      </c>
      <c r="AD11" s="40">
        <v>8</v>
      </c>
      <c r="AH11" t="s">
        <v>73</v>
      </c>
      <c r="AI11">
        <f>GETPIVOTDATA("Asistencias",$AK$5)</f>
        <v>261</v>
      </c>
      <c r="AJ11" s="33">
        <f>AI11/AI2</f>
        <v>26.1</v>
      </c>
    </row>
    <row r="12" spans="1:50">
      <c r="C12" s="27" t="s">
        <v>111</v>
      </c>
      <c r="D12" s="40">
        <v>38</v>
      </c>
      <c r="E12" s="40">
        <v>52</v>
      </c>
      <c r="F12" s="32">
        <v>73.076923076923066</v>
      </c>
      <c r="G12" s="19"/>
      <c r="K12" s="27" t="s">
        <v>111</v>
      </c>
      <c r="L12" s="40">
        <v>9</v>
      </c>
      <c r="M12" s="40">
        <v>25</v>
      </c>
      <c r="N12" s="32">
        <v>26.47058823529412</v>
      </c>
      <c r="T12" s="27" t="s">
        <v>111</v>
      </c>
      <c r="U12" s="40">
        <v>17</v>
      </c>
      <c r="V12" s="40">
        <v>4</v>
      </c>
      <c r="W12" s="40">
        <v>2</v>
      </c>
      <c r="X12" s="40">
        <v>11</v>
      </c>
      <c r="Z12" s="27" t="s">
        <v>111</v>
      </c>
      <c r="AA12" s="40">
        <v>7</v>
      </c>
      <c r="AB12" s="40"/>
      <c r="AC12" s="40">
        <v>1</v>
      </c>
      <c r="AD12" s="40">
        <v>8</v>
      </c>
      <c r="AH12" t="s">
        <v>74</v>
      </c>
      <c r="AI12">
        <f>GETPIVOTDATA("Pérdidas pase",$AK$2)+GETPIVOTDATA("Áreas",$AK$2)+GETPIVOTDATA("Perdidas otros",$AK$2)</f>
        <v>75</v>
      </c>
      <c r="AJ12" s="33">
        <f>AI12/$AI$2</f>
        <v>7.5</v>
      </c>
    </row>
    <row r="13" spans="1:50">
      <c r="C13" s="17">
        <v>6</v>
      </c>
      <c r="D13" s="40">
        <v>45</v>
      </c>
      <c r="E13" s="40">
        <v>54</v>
      </c>
      <c r="F13" s="32">
        <v>83.333333333333343</v>
      </c>
      <c r="K13" s="17">
        <v>6</v>
      </c>
      <c r="L13" s="40">
        <v>11</v>
      </c>
      <c r="M13" s="40">
        <v>12</v>
      </c>
      <c r="N13" s="32">
        <v>47.826086956521742</v>
      </c>
      <c r="T13" s="17">
        <v>6</v>
      </c>
      <c r="U13" s="40">
        <v>33</v>
      </c>
      <c r="V13" s="40">
        <v>4</v>
      </c>
      <c r="W13" s="40">
        <v>1</v>
      </c>
      <c r="X13" s="40">
        <v>19</v>
      </c>
      <c r="Z13" s="17">
        <v>6</v>
      </c>
      <c r="AA13" s="40">
        <v>5</v>
      </c>
      <c r="AB13" s="40"/>
      <c r="AC13" s="40">
        <v>1</v>
      </c>
      <c r="AD13" s="40">
        <v>1</v>
      </c>
      <c r="AH13" t="s">
        <v>76</v>
      </c>
      <c r="AI13">
        <f>GETPIVOTDATA("Recuperaciones",$AK$5)</f>
        <v>220</v>
      </c>
      <c r="AJ13" s="33">
        <f>AI13/$AI$2</f>
        <v>22</v>
      </c>
    </row>
    <row r="14" spans="1:50">
      <c r="C14" s="27" t="s">
        <v>104</v>
      </c>
      <c r="D14" s="40">
        <v>45</v>
      </c>
      <c r="E14" s="40">
        <v>54</v>
      </c>
      <c r="F14" s="32">
        <v>83.333333333333343</v>
      </c>
      <c r="K14" s="27" t="s">
        <v>104</v>
      </c>
      <c r="L14" s="40">
        <v>11</v>
      </c>
      <c r="M14" s="40">
        <v>12</v>
      </c>
      <c r="N14" s="32">
        <v>47.826086956521742</v>
      </c>
      <c r="T14" s="27" t="s">
        <v>104</v>
      </c>
      <c r="U14" s="40">
        <v>33</v>
      </c>
      <c r="V14" s="40">
        <v>4</v>
      </c>
      <c r="W14" s="40">
        <v>1</v>
      </c>
      <c r="X14" s="40">
        <v>19</v>
      </c>
      <c r="Z14" s="27" t="s">
        <v>104</v>
      </c>
      <c r="AA14" s="40">
        <v>5</v>
      </c>
      <c r="AB14" s="40"/>
      <c r="AC14" s="40">
        <v>1</v>
      </c>
      <c r="AD14" s="40">
        <v>1</v>
      </c>
      <c r="AH14" t="s">
        <v>77</v>
      </c>
      <c r="AI14">
        <f>GETPIVOTDATA("Suma de Exclusión +",$AK$5)</f>
        <v>13</v>
      </c>
      <c r="AJ14" s="33">
        <f>AI14/$AI$2</f>
        <v>1.3</v>
      </c>
    </row>
    <row r="15" spans="1:50">
      <c r="C15" s="17">
        <v>7</v>
      </c>
      <c r="D15" s="40">
        <v>55</v>
      </c>
      <c r="E15" s="40">
        <v>64</v>
      </c>
      <c r="F15" s="32">
        <v>85.9375</v>
      </c>
      <c r="K15" s="17">
        <v>7</v>
      </c>
      <c r="L15" s="40">
        <v>14</v>
      </c>
      <c r="M15" s="40">
        <v>10</v>
      </c>
      <c r="N15" s="32">
        <v>58.333333333333336</v>
      </c>
      <c r="T15" s="17">
        <v>7</v>
      </c>
      <c r="U15" s="40">
        <v>31</v>
      </c>
      <c r="V15" s="40">
        <v>2</v>
      </c>
      <c r="W15" s="40">
        <v>2</v>
      </c>
      <c r="X15" s="40">
        <v>26</v>
      </c>
      <c r="Z15" s="17">
        <v>7</v>
      </c>
      <c r="AA15" s="40">
        <v>4</v>
      </c>
      <c r="AB15" s="40"/>
      <c r="AC15" s="40">
        <v>1</v>
      </c>
      <c r="AD15" s="40">
        <v>5</v>
      </c>
      <c r="AH15" t="s">
        <v>78</v>
      </c>
      <c r="AI15">
        <f>GETPIVOTDATA("Exclusiones",$AK$2)</f>
        <v>29</v>
      </c>
      <c r="AJ15" s="33">
        <f>AI15/$AI$2</f>
        <v>2.9</v>
      </c>
    </row>
    <row r="16" spans="1:50">
      <c r="C16" s="27" t="s">
        <v>105</v>
      </c>
      <c r="D16" s="40">
        <v>55</v>
      </c>
      <c r="E16" s="40">
        <v>64</v>
      </c>
      <c r="F16" s="32">
        <v>85.9375</v>
      </c>
      <c r="K16" s="27" t="s">
        <v>105</v>
      </c>
      <c r="L16" s="40">
        <v>14</v>
      </c>
      <c r="M16" s="40">
        <v>10</v>
      </c>
      <c r="N16" s="32">
        <v>58.333333333333336</v>
      </c>
      <c r="T16" s="27" t="s">
        <v>105</v>
      </c>
      <c r="U16" s="40">
        <v>31</v>
      </c>
      <c r="V16" s="40">
        <v>2</v>
      </c>
      <c r="W16" s="40">
        <v>2</v>
      </c>
      <c r="X16" s="40">
        <v>26</v>
      </c>
      <c r="Z16" s="27" t="s">
        <v>105</v>
      </c>
      <c r="AA16" s="40">
        <v>4</v>
      </c>
      <c r="AB16" s="40"/>
      <c r="AC16" s="40">
        <v>1</v>
      </c>
      <c r="AD16" s="40">
        <v>5</v>
      </c>
      <c r="AH16" t="s">
        <v>80</v>
      </c>
      <c r="AI16">
        <f>GETPIVOTDATA("Penaltis provocados",$T$2)</f>
        <v>24</v>
      </c>
    </row>
    <row r="17" spans="3:35">
      <c r="C17" s="17">
        <v>8</v>
      </c>
      <c r="D17" s="40">
        <v>51</v>
      </c>
      <c r="E17" s="40">
        <v>60</v>
      </c>
      <c r="F17" s="32">
        <v>85</v>
      </c>
      <c r="K17" s="17">
        <v>8</v>
      </c>
      <c r="L17" s="40">
        <v>19</v>
      </c>
      <c r="M17" s="40">
        <v>12</v>
      </c>
      <c r="N17" s="32">
        <v>61.29032258064516</v>
      </c>
      <c r="T17" s="17">
        <v>8</v>
      </c>
      <c r="U17" s="40">
        <v>32</v>
      </c>
      <c r="V17" s="40">
        <v>4</v>
      </c>
      <c r="W17" s="40">
        <v>2</v>
      </c>
      <c r="X17" s="40">
        <v>16</v>
      </c>
      <c r="Z17" s="17">
        <v>8</v>
      </c>
      <c r="AA17" s="40">
        <v>4</v>
      </c>
      <c r="AB17" s="40"/>
      <c r="AC17" s="40">
        <v>3</v>
      </c>
      <c r="AD17" s="40">
        <v>2</v>
      </c>
      <c r="AH17" t="s">
        <v>81</v>
      </c>
      <c r="AI17">
        <f>GETPIVOTDATA("Pérdidas pase",$Z$2)</f>
        <v>57</v>
      </c>
    </row>
    <row r="18" spans="3:35">
      <c r="C18" s="27" t="s">
        <v>106</v>
      </c>
      <c r="D18" s="40">
        <v>51</v>
      </c>
      <c r="E18" s="40">
        <v>60</v>
      </c>
      <c r="F18" s="32">
        <v>85</v>
      </c>
      <c r="K18" s="27" t="s">
        <v>106</v>
      </c>
      <c r="L18" s="40">
        <v>19</v>
      </c>
      <c r="M18" s="40">
        <v>12</v>
      </c>
      <c r="N18" s="32">
        <v>61.29032258064516</v>
      </c>
      <c r="T18" s="27" t="s">
        <v>106</v>
      </c>
      <c r="U18" s="40">
        <v>32</v>
      </c>
      <c r="V18" s="40">
        <v>4</v>
      </c>
      <c r="W18" s="40">
        <v>2</v>
      </c>
      <c r="X18" s="40">
        <v>16</v>
      </c>
      <c r="Z18" s="27" t="s">
        <v>106</v>
      </c>
      <c r="AA18" s="40">
        <v>4</v>
      </c>
      <c r="AB18" s="40"/>
      <c r="AC18" s="40">
        <v>3</v>
      </c>
      <c r="AD18" s="40">
        <v>2</v>
      </c>
      <c r="AH18" t="s">
        <v>82</v>
      </c>
      <c r="AI18">
        <f>GETPIVOTDATA("Perdidas otros",$Z$2)</f>
        <v>14</v>
      </c>
    </row>
    <row r="19" spans="3:35">
      <c r="C19" s="17">
        <v>9</v>
      </c>
      <c r="D19" s="40">
        <v>43</v>
      </c>
      <c r="E19" s="40">
        <v>51</v>
      </c>
      <c r="F19" s="32">
        <v>84.313725490196077</v>
      </c>
      <c r="K19" s="17">
        <v>9</v>
      </c>
      <c r="L19" s="40">
        <v>12</v>
      </c>
      <c r="M19" s="40">
        <v>10</v>
      </c>
      <c r="N19" s="32">
        <v>54.54545454545454</v>
      </c>
      <c r="T19" s="17">
        <v>9</v>
      </c>
      <c r="U19" s="40">
        <v>29</v>
      </c>
      <c r="V19" s="40"/>
      <c r="W19" s="40"/>
      <c r="X19" s="40">
        <v>25</v>
      </c>
      <c r="Z19" s="17">
        <v>9</v>
      </c>
      <c r="AA19" s="40">
        <v>6</v>
      </c>
      <c r="AB19" s="40"/>
      <c r="AC19" s="40"/>
      <c r="AD19" s="40">
        <v>1</v>
      </c>
      <c r="AH19" t="s">
        <v>83</v>
      </c>
      <c r="AI19">
        <f>GETPIVOTDATA("Áreas",$Z$2)</f>
        <v>4</v>
      </c>
    </row>
    <row r="20" spans="3:35">
      <c r="C20" s="27" t="s">
        <v>110</v>
      </c>
      <c r="D20" s="40">
        <v>43</v>
      </c>
      <c r="E20" s="40">
        <v>51</v>
      </c>
      <c r="F20" s="32">
        <v>84.313725490196077</v>
      </c>
      <c r="K20" s="27" t="s">
        <v>110</v>
      </c>
      <c r="L20" s="40">
        <v>12</v>
      </c>
      <c r="M20" s="40">
        <v>10</v>
      </c>
      <c r="N20" s="32">
        <v>54.54545454545454</v>
      </c>
      <c r="T20" s="27" t="s">
        <v>110</v>
      </c>
      <c r="U20" s="40">
        <v>29</v>
      </c>
      <c r="V20" s="40"/>
      <c r="W20" s="40"/>
      <c r="X20" s="40">
        <v>25</v>
      </c>
      <c r="Z20" s="27" t="s">
        <v>110</v>
      </c>
      <c r="AA20" s="40">
        <v>6</v>
      </c>
      <c r="AB20" s="40"/>
      <c r="AC20" s="40"/>
      <c r="AD20" s="40">
        <v>1</v>
      </c>
    </row>
    <row r="21" spans="3:35">
      <c r="C21" s="17">
        <v>10</v>
      </c>
      <c r="D21" s="40">
        <v>35</v>
      </c>
      <c r="E21" s="40">
        <v>45</v>
      </c>
      <c r="F21" s="32">
        <v>77.777777777777786</v>
      </c>
      <c r="K21" s="17">
        <v>10</v>
      </c>
      <c r="L21" s="40">
        <v>11</v>
      </c>
      <c r="M21" s="40">
        <v>16</v>
      </c>
      <c r="N21" s="32">
        <v>40.74074074074074</v>
      </c>
      <c r="T21" s="17">
        <v>10</v>
      </c>
      <c r="U21" s="40">
        <v>14</v>
      </c>
      <c r="V21" s="40">
        <v>2</v>
      </c>
      <c r="W21" s="40">
        <v>2</v>
      </c>
      <c r="X21" s="40">
        <v>15</v>
      </c>
      <c r="Z21" s="17">
        <v>10</v>
      </c>
      <c r="AA21" s="40">
        <v>7</v>
      </c>
      <c r="AB21" s="40">
        <v>1</v>
      </c>
      <c r="AC21" s="40">
        <v>3</v>
      </c>
      <c r="AD21" s="40">
        <v>5</v>
      </c>
    </row>
    <row r="22" spans="3:35">
      <c r="C22" s="27" t="s">
        <v>113</v>
      </c>
      <c r="D22" s="40">
        <v>35</v>
      </c>
      <c r="E22" s="40">
        <v>45</v>
      </c>
      <c r="F22" s="32">
        <v>77.777777777777786</v>
      </c>
      <c r="K22" s="27" t="s">
        <v>113</v>
      </c>
      <c r="L22" s="40">
        <v>11</v>
      </c>
      <c r="M22" s="40">
        <v>16</v>
      </c>
      <c r="N22" s="32">
        <v>40.74074074074074</v>
      </c>
      <c r="T22" s="27" t="s">
        <v>113</v>
      </c>
      <c r="U22" s="40">
        <v>14</v>
      </c>
      <c r="V22" s="40">
        <v>2</v>
      </c>
      <c r="W22" s="40">
        <v>2</v>
      </c>
      <c r="X22" s="40">
        <v>15</v>
      </c>
      <c r="Z22" s="27" t="s">
        <v>113</v>
      </c>
      <c r="AA22" s="40">
        <v>7</v>
      </c>
      <c r="AB22" s="40">
        <v>1</v>
      </c>
      <c r="AC22" s="40">
        <v>3</v>
      </c>
      <c r="AD22" s="40">
        <v>5</v>
      </c>
    </row>
    <row r="23" spans="3:35">
      <c r="C23" s="17" t="s">
        <v>35</v>
      </c>
      <c r="D23" s="40">
        <v>479</v>
      </c>
      <c r="E23" s="40">
        <v>574</v>
      </c>
      <c r="F23" s="32">
        <v>83.449477351916386</v>
      </c>
      <c r="K23" s="17" t="s">
        <v>35</v>
      </c>
      <c r="L23" s="40">
        <v>118</v>
      </c>
      <c r="M23" s="40">
        <v>143</v>
      </c>
      <c r="N23" s="32">
        <v>45.21072796934866</v>
      </c>
      <c r="T23" s="17" t="s">
        <v>35</v>
      </c>
      <c r="U23" s="40">
        <v>261</v>
      </c>
      <c r="V23" s="40">
        <v>24</v>
      </c>
      <c r="W23" s="40">
        <v>13</v>
      </c>
      <c r="X23" s="40">
        <v>220</v>
      </c>
      <c r="Z23" s="17" t="s">
        <v>35</v>
      </c>
      <c r="AA23" s="40">
        <v>57</v>
      </c>
      <c r="AB23" s="40">
        <v>4</v>
      </c>
      <c r="AC23" s="40">
        <v>14</v>
      </c>
      <c r="AD23" s="40">
        <v>29</v>
      </c>
    </row>
    <row r="24" spans="3:35">
      <c r="F24"/>
      <c r="N24"/>
    </row>
    <row r="25" spans="3:35">
      <c r="F25"/>
      <c r="N25"/>
    </row>
    <row r="26" spans="3:35">
      <c r="F26"/>
      <c r="N26"/>
    </row>
    <row r="27" spans="3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4" zoomScaleNormal="21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4" zoomScaleNormal="144" workbookViewId="0">
      <selection activeCell="E29" sqref="E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zoomScale="142" zoomScaleNormal="142" workbookViewId="0">
      <selection activeCell="D2" sqref="D2:E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97</v>
      </c>
      <c r="B2" s="15"/>
      <c r="C2" s="15"/>
      <c r="D2" s="43" t="s">
        <v>88</v>
      </c>
      <c r="E2" s="44"/>
      <c r="F2" s="38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5" t="s">
        <v>85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97</v>
      </c>
      <c r="B2" s="15"/>
      <c r="C2" s="15"/>
      <c r="D2" s="45" t="s">
        <v>107</v>
      </c>
      <c r="E2" s="46"/>
      <c r="F2" s="47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5" t="s">
        <v>85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6" t="s">
        <v>86</v>
      </c>
      <c r="D4" s="36" t="s">
        <v>87</v>
      </c>
      <c r="E4" s="36" t="s">
        <v>88</v>
      </c>
      <c r="F4" s="36" t="s">
        <v>89</v>
      </c>
      <c r="G4" s="37" t="s">
        <v>96</v>
      </c>
    </row>
    <row r="8" spans="3:7">
      <c r="C8" t="s">
        <v>107</v>
      </c>
      <c r="D8" t="s">
        <v>108</v>
      </c>
      <c r="E8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2026-08-25T20:09:01Z</dcterms:modified>
</cp:coreProperties>
</file>