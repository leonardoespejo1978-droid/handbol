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slicers/slicer1.xml" ContentType="application/vnd.ms-excel.slicer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ml.chartshapes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slicers/slicer2.xml" ContentType="application/vnd.ms-excel.slicer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slicers/slicer3.xml" ContentType="application/vnd.ms-excel.slicer+xml"/>
  <Override PartName="/xl/charts/chart2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7.xml" ContentType="application/vnd.openxmlformats-officedocument.drawing+xml"/>
  <Override PartName="/xl/slicers/slicer4.xml" ContentType="application/vnd.ms-excel.slicer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7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8.xml" ContentType="application/vnd.openxmlformats-officedocument.drawing+xml"/>
  <Override PartName="/xl/slicers/slicer5.xml" ContentType="application/vnd.ms-excel.slicer+xml"/>
  <Override PartName="/xl/charts/chart4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9.xml" ContentType="application/vnd.openxmlformats-officedocument.drawingml.chartshapes+xml"/>
  <Override PartName="/xl/charts/chart4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prueba\public\"/>
    </mc:Choice>
  </mc:AlternateContent>
  <xr:revisionPtr revIDLastSave="0" documentId="13_ncr:80001_{3A923BC5-986D-4A3F-A2FF-923E319059CA}" xr6:coauthVersionLast="36" xr6:coauthVersionMax="47" xr10:uidLastSave="{00000000-0000-0000-0000-000000000000}"/>
  <bookViews>
    <workbookView xWindow="0" yWindow="0" windowWidth="23040" windowHeight="8940" firstSheet="1" activeTab="1" xr2:uid="{3B2EC4C0-8558-47FA-8786-A516E5352AED}"/>
  </bookViews>
  <sheets>
    <sheet name="PORTADA" sheetId="11" r:id="rId1"/>
    <sheet name="Datos" sheetId="1" r:id="rId2"/>
    <sheet name="Analisis" sheetId="2" r:id="rId3"/>
    <sheet name="Analisis_Equipo" sheetId="6" r:id="rId4"/>
    <sheet name="Individual" sheetId="3" r:id="rId5"/>
    <sheet name="Equipo" sheetId="4" r:id="rId6"/>
    <sheet name="fitlro_individual" sheetId="7" r:id="rId7"/>
    <sheet name="filtro_equipo" sheetId="9" r:id="rId8"/>
    <sheet name="cuadro desplegable" sheetId="8" r:id="rId9"/>
    <sheet name="J1_Individual" sheetId="10" r:id="rId10"/>
  </sheets>
  <definedNames>
    <definedName name="_xlnm._FilterDatabase" localSheetId="1" hidden="1">Datos!$A$1:$S$58</definedName>
    <definedName name="SegmentaciónDeDatos_Jugador" localSheetId="0">#N/A</definedName>
    <definedName name="SegmentaciónDeDatos_Jugador">#N/A</definedName>
    <definedName name="SegmentaciónDeDatos_Jugador1">""</definedName>
    <definedName name="SegmentaciónDeDatos_POSICION1" localSheetId="0">#N/A</definedName>
    <definedName name="SegmentaciónDeDatos_POSICION1">#N/A</definedName>
    <definedName name="SegmentaciónDeDatos_rival" localSheetId="0">#N/A</definedName>
    <definedName name="SegmentaciónDeDatos_rival">#N/A</definedName>
  </definedNames>
  <calcPr calcId="191029"/>
  <pivotCaches>
    <pivotCache cacheId="6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58" i="1" l="1"/>
  <c r="Y58" i="1" s="1"/>
  <c r="U57" i="1"/>
  <c r="V57" i="1" s="1"/>
  <c r="U56" i="1"/>
  <c r="Y56" i="1" s="1"/>
  <c r="U55" i="1"/>
  <c r="X55" i="1" s="1"/>
  <c r="U54" i="1"/>
  <c r="Y54" i="1" s="1"/>
  <c r="U53" i="1"/>
  <c r="Y53" i="1" s="1"/>
  <c r="U52" i="1"/>
  <c r="Y52" i="1" s="1"/>
  <c r="U51" i="1"/>
  <c r="V51" i="1" s="1"/>
  <c r="U50" i="1"/>
  <c r="Y50" i="1" s="1"/>
  <c r="U49" i="1"/>
  <c r="V49" i="1" s="1"/>
  <c r="U48" i="1"/>
  <c r="Y48" i="1" s="1"/>
  <c r="U47" i="1"/>
  <c r="X47" i="1" s="1"/>
  <c r="U46" i="1"/>
  <c r="V46" i="1" s="1"/>
  <c r="U45" i="1"/>
  <c r="W45" i="1" s="1"/>
  <c r="U44" i="1"/>
  <c r="Y44" i="1" s="1"/>
  <c r="U43" i="1"/>
  <c r="Y43" i="1" s="1"/>
  <c r="U42" i="1"/>
  <c r="Y42" i="1" s="1"/>
  <c r="U41" i="1"/>
  <c r="V41" i="1" s="1"/>
  <c r="U40" i="1"/>
  <c r="Y40" i="1" s="1"/>
  <c r="U39" i="1"/>
  <c r="X39" i="1" s="1"/>
  <c r="Y38" i="1"/>
  <c r="U38" i="1"/>
  <c r="X38" i="1" s="1"/>
  <c r="U37" i="1"/>
  <c r="Y37" i="1" s="1"/>
  <c r="U36" i="1"/>
  <c r="Y36" i="1" s="1"/>
  <c r="U35" i="1"/>
  <c r="Y35" i="1" s="1"/>
  <c r="U34" i="1"/>
  <c r="Y34" i="1" s="1"/>
  <c r="U33" i="1"/>
  <c r="V33" i="1" s="1"/>
  <c r="U32" i="1"/>
  <c r="Y32" i="1" s="1"/>
  <c r="U31" i="1"/>
  <c r="X31" i="1" s="1"/>
  <c r="U30" i="1"/>
  <c r="X30" i="1" s="1"/>
  <c r="U29" i="1"/>
  <c r="W29" i="1" s="1"/>
  <c r="U28" i="1"/>
  <c r="Y28" i="1" s="1"/>
  <c r="U27" i="1"/>
  <c r="Y27" i="1" s="1"/>
  <c r="U26" i="1"/>
  <c r="Y26" i="1" s="1"/>
  <c r="U25" i="1"/>
  <c r="V25" i="1" s="1"/>
  <c r="U24" i="1"/>
  <c r="X24" i="1" s="1"/>
  <c r="U23" i="1"/>
  <c r="X23" i="1" s="1"/>
  <c r="U22" i="1"/>
  <c r="V22" i="1" s="1"/>
  <c r="U21" i="1"/>
  <c r="Y21" i="1" s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U20" i="1"/>
  <c r="Y20" i="1" s="1"/>
  <c r="U19" i="1"/>
  <c r="V19" i="1" s="1"/>
  <c r="U18" i="1"/>
  <c r="Y18" i="1" s="1"/>
  <c r="U17" i="1"/>
  <c r="X17" i="1" s="1"/>
  <c r="U16" i="1"/>
  <c r="X16" i="1" s="1"/>
  <c r="U15" i="1"/>
  <c r="Y15" i="1" s="1"/>
  <c r="U14" i="1"/>
  <c r="V14" i="1" s="1"/>
  <c r="U13" i="1"/>
  <c r="Y13" i="1" s="1"/>
  <c r="U12" i="1"/>
  <c r="Y12" i="1" s="1"/>
  <c r="U11" i="1"/>
  <c r="V11" i="1" s="1"/>
  <c r="U10" i="1"/>
  <c r="Y10" i="1" s="1"/>
  <c r="U9" i="1"/>
  <c r="X9" i="1" s="1"/>
  <c r="U8" i="1"/>
  <c r="X8" i="1" s="1"/>
  <c r="U7" i="1"/>
  <c r="X7" i="1" s="1"/>
  <c r="U6" i="1"/>
  <c r="W6" i="1" s="1"/>
  <c r="U5" i="1"/>
  <c r="Y5" i="1" s="1"/>
  <c r="U4" i="1"/>
  <c r="Y4" i="1" s="1"/>
  <c r="U3" i="1"/>
  <c r="V3" i="1" s="1"/>
  <c r="U2" i="1"/>
  <c r="Y2" i="1" s="1"/>
  <c r="W30" i="1" l="1"/>
  <c r="W49" i="1"/>
  <c r="W46" i="1"/>
  <c r="W53" i="1"/>
  <c r="V29" i="1"/>
  <c r="Y30" i="1"/>
  <c r="X41" i="1"/>
  <c r="X46" i="1"/>
  <c r="Y41" i="1"/>
  <c r="Y25" i="1"/>
  <c r="V38" i="1"/>
  <c r="W22" i="1"/>
  <c r="X22" i="1"/>
  <c r="Y22" i="1"/>
  <c r="V35" i="1"/>
  <c r="V44" i="1"/>
  <c r="Y46" i="1"/>
  <c r="W51" i="1"/>
  <c r="W35" i="1"/>
  <c r="W44" i="1"/>
  <c r="X51" i="1"/>
  <c r="V32" i="1"/>
  <c r="X35" i="1"/>
  <c r="X44" i="1"/>
  <c r="Y51" i="1"/>
  <c r="V56" i="1"/>
  <c r="W32" i="1"/>
  <c r="W56" i="1"/>
  <c r="W25" i="1"/>
  <c r="X32" i="1"/>
  <c r="X25" i="1"/>
  <c r="V30" i="1"/>
  <c r="X49" i="1"/>
  <c r="V53" i="1"/>
  <c r="V28" i="1"/>
  <c r="V37" i="1"/>
  <c r="V40" i="1"/>
  <c r="W28" i="1"/>
  <c r="W33" i="1"/>
  <c r="W40" i="1"/>
  <c r="V43" i="1"/>
  <c r="Y49" i="1"/>
  <c r="V52" i="1"/>
  <c r="V54" i="1"/>
  <c r="X56" i="1"/>
  <c r="X6" i="1"/>
  <c r="X28" i="1"/>
  <c r="X33" i="1"/>
  <c r="X40" i="1"/>
  <c r="W43" i="1"/>
  <c r="W52" i="1"/>
  <c r="W54" i="1"/>
  <c r="V21" i="1"/>
  <c r="V24" i="1"/>
  <c r="V27" i="1"/>
  <c r="Y33" i="1"/>
  <c r="V36" i="1"/>
  <c r="W38" i="1"/>
  <c r="X43" i="1"/>
  <c r="V45" i="1"/>
  <c r="V48" i="1"/>
  <c r="X52" i="1"/>
  <c r="X54" i="1"/>
  <c r="W57" i="1"/>
  <c r="W24" i="1"/>
  <c r="W27" i="1"/>
  <c r="W36" i="1"/>
  <c r="W41" i="1"/>
  <c r="W48" i="1"/>
  <c r="X57" i="1"/>
  <c r="X27" i="1"/>
  <c r="X36" i="1"/>
  <c r="X48" i="1"/>
  <c r="Y57" i="1"/>
  <c r="Y23" i="1"/>
  <c r="Y31" i="1"/>
  <c r="Y39" i="1"/>
  <c r="Y47" i="1"/>
  <c r="Y55" i="1"/>
  <c r="W21" i="1"/>
  <c r="V42" i="1"/>
  <c r="V50" i="1"/>
  <c r="V58" i="1"/>
  <c r="X21" i="1"/>
  <c r="V23" i="1"/>
  <c r="Y24" i="1"/>
  <c r="W26" i="1"/>
  <c r="X29" i="1"/>
  <c r="V31" i="1"/>
  <c r="W34" i="1"/>
  <c r="X37" i="1"/>
  <c r="V39" i="1"/>
  <c r="W42" i="1"/>
  <c r="X45" i="1"/>
  <c r="V47" i="1"/>
  <c r="W50" i="1"/>
  <c r="X53" i="1"/>
  <c r="V55" i="1"/>
  <c r="W58" i="1"/>
  <c r="W37" i="1"/>
  <c r="W23" i="1"/>
  <c r="X26" i="1"/>
  <c r="Y29" i="1"/>
  <c r="W31" i="1"/>
  <c r="X34" i="1"/>
  <c r="W39" i="1"/>
  <c r="X42" i="1"/>
  <c r="Y45" i="1"/>
  <c r="W47" i="1"/>
  <c r="X50" i="1"/>
  <c r="W55" i="1"/>
  <c r="X58" i="1"/>
  <c r="V26" i="1"/>
  <c r="V34" i="1"/>
  <c r="Y6" i="1"/>
  <c r="W10" i="1"/>
  <c r="V16" i="1"/>
  <c r="V7" i="1"/>
  <c r="W11" i="1"/>
  <c r="Y16" i="1"/>
  <c r="W7" i="1"/>
  <c r="V6" i="1"/>
  <c r="V8" i="1"/>
  <c r="W14" i="1"/>
  <c r="Y7" i="1"/>
  <c r="X10" i="1"/>
  <c r="X14" i="1"/>
  <c r="Y14" i="1"/>
  <c r="Y17" i="1"/>
  <c r="W2" i="1"/>
  <c r="X2" i="1"/>
  <c r="Y8" i="1"/>
  <c r="V15" i="1"/>
  <c r="W18" i="1"/>
  <c r="W15" i="1"/>
  <c r="W3" i="1"/>
  <c r="Y9" i="1"/>
  <c r="W19" i="1"/>
  <c r="X3" i="1"/>
  <c r="V5" i="1"/>
  <c r="W8" i="1"/>
  <c r="X11" i="1"/>
  <c r="V13" i="1"/>
  <c r="W16" i="1"/>
  <c r="X19" i="1"/>
  <c r="V2" i="1"/>
  <c r="Y3" i="1"/>
  <c r="W5" i="1"/>
  <c r="V10" i="1"/>
  <c r="Y11" i="1"/>
  <c r="W13" i="1"/>
  <c r="V18" i="1"/>
  <c r="Y19" i="1"/>
  <c r="X13" i="1"/>
  <c r="V12" i="1"/>
  <c r="X18" i="1"/>
  <c r="V20" i="1"/>
  <c r="X5" i="1"/>
  <c r="V4" i="1"/>
  <c r="W4" i="1"/>
  <c r="V9" i="1"/>
  <c r="W12" i="1"/>
  <c r="X15" i="1"/>
  <c r="V17" i="1"/>
  <c r="W20" i="1"/>
  <c r="X4" i="1"/>
  <c r="W9" i="1"/>
  <c r="X12" i="1"/>
  <c r="W17" i="1"/>
  <c r="X20" i="1"/>
  <c r="AI14" i="6"/>
  <c r="AI19" i="6"/>
  <c r="AI6" i="6"/>
  <c r="AI7" i="6"/>
  <c r="AI13" i="6"/>
  <c r="AI5" i="6"/>
  <c r="AI18" i="6"/>
  <c r="AI4" i="6"/>
  <c r="AI12" i="6"/>
  <c r="AI3" i="6"/>
  <c r="AI11" i="6"/>
  <c r="AI16" i="6"/>
  <c r="AI15" i="6"/>
  <c r="AI17" i="6"/>
  <c r="AR5" i="2"/>
  <c r="AJ6" i="6" l="1"/>
  <c r="AJ5" i="6"/>
  <c r="AJ11" i="6"/>
  <c r="AJ12" i="6"/>
  <c r="AI8" i="6"/>
  <c r="AJ13" i="6"/>
  <c r="AI10" i="6"/>
  <c r="AJ14" i="6"/>
  <c r="AJ15" i="6"/>
  <c r="AI9" i="6"/>
  <c r="AR4" i="2"/>
  <c r="AR6" i="2"/>
  <c r="AR7" i="2"/>
</calcChain>
</file>

<file path=xl/sharedStrings.xml><?xml version="1.0" encoding="utf-8"?>
<sst xmlns="http://schemas.openxmlformats.org/spreadsheetml/2006/main" count="404" uniqueCount="126">
  <si>
    <t>Jugador</t>
  </si>
  <si>
    <t>Goles</t>
  </si>
  <si>
    <t>Paradas</t>
  </si>
  <si>
    <t>Lanzam.</t>
  </si>
  <si>
    <t>% lanz</t>
  </si>
  <si>
    <t>Asistencia</t>
  </si>
  <si>
    <t>Exclusión</t>
  </si>
  <si>
    <t>Pase</t>
  </si>
  <si>
    <t>Área</t>
  </si>
  <si>
    <t>Pasos</t>
  </si>
  <si>
    <t>Otro</t>
  </si>
  <si>
    <t>Recup.</t>
  </si>
  <si>
    <t>Exclusión +</t>
  </si>
  <si>
    <t>JORNADA</t>
  </si>
  <si>
    <t>FASE</t>
  </si>
  <si>
    <t>L/V</t>
  </si>
  <si>
    <t>Adai</t>
  </si>
  <si>
    <t>Albert</t>
  </si>
  <si>
    <t>A. Espeso</t>
  </si>
  <si>
    <t>Manel</t>
  </si>
  <si>
    <t>Jordi</t>
  </si>
  <si>
    <t>Roger</t>
  </si>
  <si>
    <t>Maxim</t>
  </si>
  <si>
    <t>Joan Pau</t>
  </si>
  <si>
    <t>Gerard</t>
  </si>
  <si>
    <t>Marçal</t>
  </si>
  <si>
    <t>Unai</t>
  </si>
  <si>
    <t>Leo</t>
  </si>
  <si>
    <t>A. Estapé</t>
  </si>
  <si>
    <t>Jules</t>
  </si>
  <si>
    <t>Eudald</t>
  </si>
  <si>
    <t>Jan</t>
  </si>
  <si>
    <t>rival</t>
  </si>
  <si>
    <t>(Todas)</t>
  </si>
  <si>
    <t>Etiquetas de fila</t>
  </si>
  <si>
    <t>Total general</t>
  </si>
  <si>
    <t>Suma de Goles</t>
  </si>
  <si>
    <t>Suma de Lanzam.</t>
  </si>
  <si>
    <t>POSICION</t>
  </si>
  <si>
    <t>Suma de Campo1</t>
  </si>
  <si>
    <t>Martí</t>
  </si>
  <si>
    <t>Biel</t>
  </si>
  <si>
    <t>David</t>
  </si>
  <si>
    <t>PenaltiProvocado</t>
  </si>
  <si>
    <t>Recuperaciones</t>
  </si>
  <si>
    <t>Asistencias</t>
  </si>
  <si>
    <t>Exclusiones provocadas</t>
  </si>
  <si>
    <t>Penaltis provocados</t>
  </si>
  <si>
    <t>Exclusiones</t>
  </si>
  <si>
    <t>Perdidas otros</t>
  </si>
  <si>
    <t>Áreas</t>
  </si>
  <si>
    <t>Pérdidas pase</t>
  </si>
  <si>
    <t>goles favor</t>
  </si>
  <si>
    <t>lanzamientos realizados</t>
  </si>
  <si>
    <t>lanzamientos recibidos</t>
  </si>
  <si>
    <t>goles contra</t>
  </si>
  <si>
    <t>Suma de goles favor</t>
  </si>
  <si>
    <t>Suma de lanzamientos realizados</t>
  </si>
  <si>
    <t>Suma de eficiencia</t>
  </si>
  <si>
    <t>Suma de Campo11</t>
  </si>
  <si>
    <t>Suma de goles contra</t>
  </si>
  <si>
    <t>Suma de Paradas</t>
  </si>
  <si>
    <t>Suma de eficiencia porteria</t>
  </si>
  <si>
    <t>Suma de Campo12</t>
  </si>
  <si>
    <t>NUMERO JORNADAS:</t>
  </si>
  <si>
    <t>GOLES A FAVOR</t>
  </si>
  <si>
    <t>GOLES EN CONTRA</t>
  </si>
  <si>
    <t>PARADAS</t>
  </si>
  <si>
    <t>LANZ REALIZADOS</t>
  </si>
  <si>
    <t>EFICIENCIA</t>
  </si>
  <si>
    <t>PORCENTAJE PARADAS</t>
  </si>
  <si>
    <t>MEDIA RECIBIDOS</t>
  </si>
  <si>
    <t>MEDIA METIDOS</t>
  </si>
  <si>
    <t>ASISTENCIAS</t>
  </si>
  <si>
    <t>PERDIDAS</t>
  </si>
  <si>
    <t>Suma de Exclusión +</t>
  </si>
  <si>
    <t>RECUPERACIONES</t>
  </si>
  <si>
    <t>EXCLUSION +</t>
  </si>
  <si>
    <t>EXCLUSION -</t>
  </si>
  <si>
    <t>L</t>
  </si>
  <si>
    <t>PENALTIS PROVOCADOS</t>
  </si>
  <si>
    <t>PERDIDAS PASE</t>
  </si>
  <si>
    <t>PERDIDAS OTROS</t>
  </si>
  <si>
    <t>AREA</t>
  </si>
  <si>
    <t>acciones negativas</t>
  </si>
  <si>
    <t>Goles/Lanzamientos</t>
  </si>
  <si>
    <t>Eficiencia</t>
  </si>
  <si>
    <t>Acciones positivas</t>
  </si>
  <si>
    <t>Acciones negativas</t>
  </si>
  <si>
    <t>Suma de Exclusión</t>
  </si>
  <si>
    <t>Suma de Pase</t>
  </si>
  <si>
    <t>Suma de Área</t>
  </si>
  <si>
    <t>"SELECCIONAR TIPO GRÁFICO"</t>
  </si>
  <si>
    <t>SELECCIONAR TIPO GRÁFICO:</t>
  </si>
  <si>
    <t>Suma de Otro</t>
  </si>
  <si>
    <t>PROMEDIO RECUPERACIONES</t>
  </si>
  <si>
    <t>PROMEDIO EXC. PROVOCADAS</t>
  </si>
  <si>
    <t>PROMEDIO PENALTI PROVOCADOS</t>
  </si>
  <si>
    <t>PROMEDIO ASISTENCIAS</t>
  </si>
  <si>
    <t>Goles/Lanzamientos/Eficiencia</t>
  </si>
  <si>
    <t>Acciones Positivas</t>
  </si>
  <si>
    <t>Acciones Negativas</t>
  </si>
  <si>
    <t>V</t>
  </si>
  <si>
    <t>HANDBOL</t>
  </si>
  <si>
    <t>EQUIP:</t>
  </si>
  <si>
    <t>Infantil Masculí A</t>
  </si>
  <si>
    <t>TEMPORADA:</t>
  </si>
  <si>
    <t>2025 / 2026</t>
  </si>
  <si>
    <t>FASE:</t>
  </si>
  <si>
    <t>3a Fase · Lliga</t>
  </si>
  <si>
    <t>COMPETICIÓ:</t>
  </si>
  <si>
    <t>Lliga Infantil Masculina</t>
  </si>
  <si>
    <t>NAVEGACIÓ RÀPIDA</t>
  </si>
  <si>
    <t>📊  ESTADÍSTICAS INDIVIDUALS</t>
  </si>
  <si>
    <t>📊  ESTADÍSTICAS D'EQUIP</t>
  </si>
  <si>
    <t>🔍  FILTRE · INDIVIDUAL</t>
  </si>
  <si>
    <t>🔍  FILTRE · EQUIP</t>
  </si>
  <si>
    <t>📋  DADES</t>
  </si>
  <si>
    <t>Document generat automàticament · Ús intern FC Barcelona Handbol</t>
  </si>
  <si>
    <t>INFANTIL A FC BARCELONA</t>
  </si>
  <si>
    <t>SECTOR_CE</t>
  </si>
  <si>
    <t>CBM VILLAFRANCA</t>
  </si>
  <si>
    <t>SAN FRANCISCO MIJAS</t>
  </si>
  <si>
    <t>BM ALCONBENDAS</t>
  </si>
  <si>
    <t>Goles 7m</t>
  </si>
  <si>
    <t>Lanzam. 7m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</si>
</sst>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0.0"/>
    <numFmt numFmtId="166" formatCode="#,##0.0"/>
  </numFmts>
  <fonts count="15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3"/>
      <color theme="1"/>
      <name val="Wingdings 3"/>
      <family val="1"/>
      <charset val="2"/>
    </font>
    <font>
      <sz val="8"/>
      <color theme="1"/>
      <name val="Verdana Pro Cond Black"/>
      <family val="2"/>
    </font>
    <font>
      <b/>
      <sz val="36"/>
      <color rgb="FFFFFFFF"/>
      <name val="Calibri"/>
    </font>
    <font>
      <b/>
      <sz val="24"/>
      <color rgb="FFEDBB00"/>
      <name val="Calibri"/>
    </font>
    <font>
      <b/>
      <sz val="14"/>
      <color rgb="FFEDBB00"/>
      <name val="Calibri"/>
    </font>
    <font>
      <sz val="14"/>
      <color rgb="FFFFFFFF"/>
      <name val="Calibri"/>
    </font>
    <font>
      <b/>
      <sz val="13"/>
      <color rgb="FFEDBB00"/>
      <name val="Calibri"/>
    </font>
    <font>
      <u/>
      <sz val="11"/>
      <color rgb="FF1A6EBD"/>
      <name val="Calibri"/>
    </font>
    <font>
      <i/>
      <sz val="9"/>
      <color rgb="FFC0C8D8"/>
      <name val="Calibri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2E2F3C"/>
        <bgColor indexed="64"/>
      </patternFill>
    </fill>
    <fill>
      <patternFill patternType="solid">
        <fgColor rgb="FF1391A6"/>
        <bgColor indexed="64"/>
      </patternFill>
    </fill>
    <fill>
      <patternFill patternType="solid">
        <fgColor rgb="FFFE406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50044"/>
      </patternFill>
    </fill>
    <fill>
      <patternFill patternType="solid">
        <fgColor rgb="FF0D0D1A"/>
      </patternFill>
    </fill>
    <fill>
      <patternFill patternType="solid">
        <fgColor rgb="FF004D98"/>
      </patternFill>
    </fill>
    <fill>
      <patternFill patternType="solid">
        <fgColor rgb="FFEDBB00"/>
      </patternFill>
    </fill>
  </fills>
  <borders count="7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</cellStyleXfs>
  <cellXfs count="58">
    <xf numFmtId="0" fontId="0" fillId="0" borderId="0" xfId="0"/>
    <xf numFmtId="9" fontId="2" fillId="2" borderId="0" xfId="1" applyFont="1" applyFill="1" applyAlignment="1">
      <alignment horizontal="center"/>
    </xf>
    <xf numFmtId="0" fontId="2" fillId="2" borderId="0" xfId="2" applyFont="1" applyFill="1" applyAlignment="1">
      <alignment horizontal="center"/>
    </xf>
    <xf numFmtId="0" fontId="0" fillId="2" borderId="0" xfId="3" applyFont="1" applyFill="1" applyAlignment="1">
      <alignment horizontal="center"/>
    </xf>
    <xf numFmtId="0" fontId="0" fillId="2" borderId="0" xfId="3" applyFont="1" applyFill="1" applyAlignment="1">
      <alignment horizontal="center" vertical="center"/>
    </xf>
    <xf numFmtId="0" fontId="0" fillId="2" borderId="0" xfId="2" applyFont="1" applyFill="1" applyAlignment="1">
      <alignment horizontal="center" vertical="center"/>
    </xf>
    <xf numFmtId="0" fontId="0" fillId="0" borderId="0" xfId="2" applyFont="1"/>
    <xf numFmtId="0" fontId="0" fillId="0" borderId="0" xfId="2" applyFont="1" applyAlignment="1">
      <alignment horizontal="center"/>
    </xf>
    <xf numFmtId="9" fontId="1" fillId="0" borderId="0" xfId="1" applyFill="1" applyAlignment="1">
      <alignment horizontal="center"/>
    </xf>
    <xf numFmtId="0" fontId="0" fillId="0" borderId="0" xfId="3" applyFont="1" applyAlignment="1">
      <alignment horizontal="center"/>
    </xf>
    <xf numFmtId="0" fontId="0" fillId="0" borderId="0" xfId="3" applyFont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0" fontId="0" fillId="0" borderId="0" xfId="0" applyNumberFormat="1"/>
    <xf numFmtId="9" fontId="0" fillId="0" borderId="0" xfId="1" applyFont="1"/>
    <xf numFmtId="164" fontId="0" fillId="0" borderId="0" xfId="0" applyNumberFormat="1"/>
    <xf numFmtId="1" fontId="0" fillId="0" borderId="0" xfId="1" applyNumberFormat="1" applyFont="1"/>
    <xf numFmtId="1" fontId="0" fillId="0" borderId="0" xfId="0" applyNumberFormat="1"/>
    <xf numFmtId="165" fontId="0" fillId="0" borderId="0" xfId="0" applyNumberFormat="1"/>
    <xf numFmtId="0" fontId="4" fillId="6" borderId="0" xfId="0" applyFont="1" applyFill="1"/>
    <xf numFmtId="0" fontId="0" fillId="0" borderId="0" xfId="0" applyAlignment="1">
      <alignment horizontal="center" vertical="center"/>
    </xf>
    <xf numFmtId="49" fontId="0" fillId="0" borderId="0" xfId="0" applyNumberFormat="1"/>
    <xf numFmtId="0" fontId="6" fillId="6" borderId="1" xfId="0" applyFont="1" applyFill="1" applyBorder="1"/>
    <xf numFmtId="166" fontId="0" fillId="0" borderId="0" xfId="0" applyNumberFormat="1"/>
    <xf numFmtId="0" fontId="0" fillId="7" borderId="0" xfId="0" applyFill="1"/>
    <xf numFmtId="0" fontId="0" fillId="8" borderId="0" xfId="0" applyFill="1"/>
    <xf numFmtId="0" fontId="0" fillId="9" borderId="0" xfId="0" applyFill="1"/>
    <xf numFmtId="0" fontId="8" fillId="9" borderId="0" xfId="0" applyFont="1" applyFill="1" applyAlignment="1">
      <alignment horizontal="left" vertical="center"/>
    </xf>
    <xf numFmtId="0" fontId="9" fillId="9" borderId="0" xfId="0" applyFont="1" applyFill="1" applyAlignment="1">
      <alignment horizontal="left" vertical="center"/>
    </xf>
    <xf numFmtId="0" fontId="0" fillId="10" borderId="0" xfId="0" applyFill="1"/>
    <xf numFmtId="0" fontId="10" fillId="8" borderId="0" xfId="0" applyFont="1" applyFill="1" applyAlignment="1">
      <alignment horizontal="left" vertical="center"/>
    </xf>
    <xf numFmtId="0" fontId="11" fillId="8" borderId="0" xfId="0" applyFont="1" applyFill="1" applyAlignment="1">
      <alignment horizontal="left" vertical="center"/>
    </xf>
    <xf numFmtId="0" fontId="12" fillId="8" borderId="0" xfId="0" applyFont="1" applyFill="1"/>
    <xf numFmtId="0" fontId="13" fillId="8" borderId="0" xfId="0" applyFont="1" applyFill="1" applyAlignment="1">
      <alignment horizontal="left" vertical="center"/>
    </xf>
    <xf numFmtId="0" fontId="14" fillId="8" borderId="0" xfId="0" applyFont="1" applyFill="1"/>
    <xf numFmtId="0" fontId="0" fillId="0" borderId="0" xfId="0"/>
    <xf numFmtId="9" fontId="1" fillId="0" borderId="0" xfId="1" applyFill="1" applyAlignment="1">
      <alignment horizontal="center"/>
    </xf>
    <xf numFmtId="0" fontId="0" fillId="0" borderId="0" xfId="2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0" fontId="1" fillId="0" borderId="0" xfId="2" applyFont="1" applyAlignment="1" applyProtection="1">
      <alignment horizontal="center"/>
      <protection locked="0"/>
    </xf>
    <xf numFmtId="0" fontId="1" fillId="0" borderId="0" xfId="2" applyFont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0" fillId="0" borderId="0" xfId="2" applyNumberFormat="1" applyFont="1"/>
    <xf numFmtId="0" fontId="0" fillId="0" borderId="0" xfId="0" applyAlignment="1">
      <alignment horizontal="left" indent="1"/>
    </xf>
    <xf numFmtId="1" fontId="0" fillId="0" borderId="0" xfId="0" applyNumberFormat="1"/>
    <xf numFmtId="0" fontId="0" fillId="0" borderId="0" xfId="0" applyNumberFormat="1"/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49" fontId="7" fillId="6" borderId="4" xfId="0" applyNumberFormat="1" applyFont="1" applyFill="1" applyBorder="1" applyAlignment="1">
      <alignment horizontal="center"/>
    </xf>
    <xf numFmtId="49" fontId="7" fillId="6" borderId="5" xfId="0" applyNumberFormat="1" applyFont="1" applyFill="1" applyBorder="1" applyAlignment="1">
      <alignment horizontal="center"/>
    </xf>
    <xf numFmtId="49" fontId="7" fillId="6" borderId="6" xfId="0" applyNumberFormat="1" applyFont="1" applyFill="1" applyBorder="1" applyAlignment="1">
      <alignment horizontal="center"/>
    </xf>
  </cellXfs>
  <cellStyles count="4">
    <cellStyle name="Normal" xfId="0" builtinId="0"/>
    <cellStyle name="Normal 2" xfId="3" xr:uid="{76BF3C10-033F-4626-98A9-DC2660B03DC9}"/>
    <cellStyle name="Normal 3" xfId="2" xr:uid="{19A2E2F7-14D0-4EE3-B29D-8118E0BDC03C}"/>
    <cellStyle name="Porcentaje" xfId="1" builtinId="5"/>
  </cellStyles>
  <dxfs count="51"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z val="5"/>
        <color theme="1"/>
        <name val="Fira Sans"/>
        <family val="2"/>
        <scheme val="none"/>
      </font>
      <fill>
        <patternFill patternType="solid">
          <bgColor theme="0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 patternType="solid">
          <bgColor rgb="FF2E2F3C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rgb="FF2E2F3C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mi estilo personalizado" pivot="0" table="0" count="10" xr9:uid="{5B85AF35-2957-40CD-A523-0274F7DDB75E}">
      <tableStyleElement type="wholeTable" dxfId="50"/>
      <tableStyleElement type="headerRow" dxfId="49"/>
    </tableStyle>
    <tableStyle name="mi estilo personalizado 2" pivot="0" table="0" count="10" xr9:uid="{3D081C6B-30F4-4F84-BB75-048369B2BAFE}">
      <tableStyleElement type="wholeTable" dxfId="48"/>
      <tableStyleElement type="headerRow" dxfId="47"/>
    </tableStyle>
  </tableStyles>
  <colors>
    <mruColors>
      <color rgb="FF008000"/>
      <color rgb="FFC04F15"/>
      <color rgb="FFB4E5A2"/>
      <color rgb="FFA6A6A6"/>
      <color rgb="FFE59EDD"/>
      <color rgb="FF04FCFC"/>
      <color rgb="FF3B7D23"/>
      <color rgb="FF2E2F3C"/>
      <color rgb="FF4E95D9"/>
      <color rgb="FF0F9ED5"/>
    </mruColors>
  </colors>
  <extLst>
    <ext xmlns:x14="http://schemas.microsoft.com/office/spreadsheetml/2009/9/main" uri="{46F421CA-312F-682f-3DD2-61675219B42D}">
      <x14:dxfs count="16"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i estilo personalizad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mi estilo personalizado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[sectores_CE.xlsm]Analisis!TablaDinámica12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Analisis!$X$4:$X$10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24A-4653-8210-9E6A93447B0C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Analisis!$Y$4:$Y$10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424A-4653-8210-9E6A93447B0C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Analisis!$Z$4:$Z$10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424A-4653-8210-9E6A93447B0C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Analisis!$AA$4:$AA$10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424A-4653-8210-9E6A93447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4B76-4D6D-BD7A-1F45CA46AB55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4B76-4D6D-BD7A-1F45CA46AB55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4B76-4D6D-BD7A-1F45CA46AB55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C-4B76-4D6D-BD7A-1F45CA46A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[sectores_CE.xlsm]Analisis!TablaDinámica7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310148731408575E-2"/>
          <c:y val="0.12589712744240303"/>
          <c:w val="0.4750321895575485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6CD9-4FC0-8887-D05253898C3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6CD9-4FC0-8887-D05253898C3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6CD9-4FC0-8887-D05253898C3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D-6CD9-4FC0-8887-D05253898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[sectores_CE.xlsm]Analisis_Equipo!TablaDinámica2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686534120508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FE9-4C15-B084-1F3F64206620}"/>
              </c:ext>
            </c:extLst>
          </c:dPt>
          <c:dLbls>
            <c:dLbl>
              <c:idx val="0"/>
              <c:layout>
                <c:manualLayout>
                  <c:x val="-6.944444444444444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9-4C15-B084-1F3F64206620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FE9-4C15-B084-1F3F64206620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9.25925925925925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9-4C15-B084-1F3F64206620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FE9-4C15-B084-1F3F64206620}"/>
              </c:ext>
            </c:extLst>
          </c:dPt>
          <c:dLbls>
            <c:dLbl>
              <c:idx val="0"/>
              <c:layout>
                <c:manualLayout>
                  <c:x val="-5.8333333333333383E-2"/>
                  <c:y val="-4.243778136006664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E9-4C15-B084-1F3F64206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[sectores_CE.xlsm]Analisis_Equipo!TablaDinámica3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Analisis_Equipo!$L$3:$L$9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6B2-4FB5-85CB-B495409E2A78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Analisis_Equipo!$M$3:$M$9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B2-4FB5-85CB-B495409E2A78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Analisis_Equipo!$N$3:$N$9</c:f>
              <c:numCache>
                <c:formatCode>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6B2-4FB5-85CB-B495409E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[sectores_CE.xlsm]Analisis_Equipo!TablaDinámica4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97B-4FA2-8CCC-B667E0A26CE1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7B-4FA2-8CCC-B667E0A26CE1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C97B-4FA2-8CCC-B667E0A26CE1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1-C97B-4FA2-8CCC-B667E0A26CE1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C97B-4FA2-8CCC-B667E0A26CE1}"/>
              </c:ext>
            </c:extLst>
          </c:dPt>
          <c:dLbls>
            <c:dLbl>
              <c:idx val="0"/>
              <c:layout>
                <c:manualLayout>
                  <c:x val="-4.7926733957517474E-2"/>
                  <c:y val="2.4331906672538767E-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97B-4FA2-8CCC-B667E0A26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[sectores_CE.xlsm]Analisis_Equipo!TablaDinámica6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Analisis_Equipo!$U$3:$U$9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16-230C-42C0-A300-330AEF5263CF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Analisis_Equipo!$V$3:$V$9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18-230C-42C0-A300-330AEF5263CF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Analisis_Equipo!$T$3:$T$9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Analisis_Equipo!$W$3:$W$9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1A-230C-42C0-A300-330AEF5263CF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Analisis_Equipo!$X$3:$X$9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1C-230C-42C0-A300-330AEF526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[sectores_CE.xlsm]Analisis_Equipo!TablaDinámica7</c:name>
    <c:fmtId val="2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Analisis_Equipo!$AA$3:$AA$9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FD16-482E-8324-0D2D8096D36E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Analisis_Equipo!$AB$3:$AB$9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8-FD16-482E-8324-0D2D8096D36E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Analisis_Equipo!$Z$3:$Z$9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Analisis_Equipo!$AC$3:$AC$9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A-FD16-482E-8324-0D2D8096D36E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Analisis_Equipo!$AD$3:$AD$9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C-FD16-482E-8324-0D2D8096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[sectores_CE.xlsm]Analisis_Equipo!TablaDinámica5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8862-4DE1-B8A7-5855DF01C0DF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8862-4DE1-B8A7-5855DF01C0DF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8862-4DE1-B8A7-5855DF01C0DF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C-8862-4DE1-B8A7-5855DF01C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[sectores_CE.xlsm]Analisis_Equipo!TablaDinámica10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0413-4252-8849-EC0CD249B772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0413-4252-8849-EC0CD249B772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0413-4252-8849-EC0CD249B772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C-0413-4252-8849-EC0CD249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Analisis!$D$4:$D$10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0DEA-4E0F-A115-1873A43D348D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Analisis!$E$4:$E$10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0DEA-4E0F-A115-1873A43D3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rgbClr val="008000"/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B8CA-43FB-8468-74B23A51F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Analisis!$H$4:$H$7</c:f>
              <c:numCache>
                <c:formatCode>0%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A-4CE8-9E33-4A5D54EBC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[sectores_CE.xlsm]Analisis!TablaDinámica3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EEE-4286-BA13-A1BDB625F3EF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6EEE-4286-BA13-A1BDB625F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[sectores_CE.xlsm]Analisis!TablaDinámica11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Analisis!$R$4:$R$10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5AEB-445E-8EA5-D2DABA348B7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Analisis!$S$4:$S$10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5AEB-445E-8EA5-D2DABA348B7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Analisis!$T$4:$T$10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5AEB-445E-8EA5-D2DABA348B7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Analisis!$U$4:$U$10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5AEB-445E-8EA5-D2DABA34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[sectores_CE.xlsm]Analisis!TablaDinámica12</c:name>
    <c:fmtId val="2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Analisis!$X$4:$X$10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98A5-4A01-9AE8-B9191626BC81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Analisis!$Y$4:$Y$10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98A5-4A01-9AE8-B9191626BC81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Analisis!$Z$4:$Z$10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98A5-4A01-9AE8-B9191626BC81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Analisis!$AA$4:$AA$10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98A5-4A01-9AE8-B9191626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Analisis_Equipo!$D$3:$D$9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9-4CC2-8CFD-86B64C9FAF13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Analisis_Equipo!$E$3:$E$9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9-4CC2-8CFD-86B64C9FAF13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Analisis_Equipo!$F$3:$F$9</c:f>
              <c:numCache>
                <c:formatCode>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B6-493C-84FF-F2F6545BF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[sectores_CE.xlsm]Analisis_Equipo!TablaDinámica2</c:name>
    <c:fmtId val="3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2C0-4895-9EC3-105CD210DDDE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0-4895-9EC3-105CD210DDDE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2C0-4895-9EC3-105CD210DDDE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C0-4895-9EC3-105CD210DDDE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BF2-4978-A78F-1A03DB59A3E9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BF2-4978-A78F-1A03DB59A3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2-4978-A78F-1A03DB59A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[sectores_CE.xlsm]Analisis_Equipo!TablaDinámica3</c:name>
    <c:fmtId val="4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Analisis_Equipo!$L$3:$L$9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7-4D6E-9A3B-B99C4EC33B27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Analisis_Equipo!$M$3:$M$9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7-4D6E-9A3B-B99C4EC33B27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Analisis_Equipo!$N$3:$N$9</c:f>
              <c:numCache>
                <c:formatCode>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7-4D6E-9A3B-B99C4EC33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[sectores_CE.xlsm]Analisis_Equipo!TablaDinámica4</c:name>
    <c:fmtId val="4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2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8.2163597591983411E-7"/>
              <c:y val="4.63140254758766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141594170985733"/>
                  <c:h val="0.33642619304942117"/>
                </c:manualLayout>
              </c15:layout>
            </c:ext>
          </c:extLst>
        </c:dLbl>
      </c:pivotFmt>
      <c:pivotFmt>
        <c:idx val="5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0B0F0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3.8769504631315892E-3"/>
              <c:y val="-3.033684608942112E-2"/>
            </c:manualLayout>
          </c:layout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71295325548602"/>
                  <c:h val="0.4242814216013943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5786749312290688"/>
          <c:y val="0.1278166836380901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407-4A9F-9913-9706911902D2}"/>
              </c:ext>
            </c:extLst>
          </c:dPt>
          <c:dLbls>
            <c:dLbl>
              <c:idx val="0"/>
              <c:layout>
                <c:manualLayout>
                  <c:x val="-8.2163597591983411E-7"/>
                  <c:y val="4.631402547587663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C04F1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141594170985733"/>
                      <c:h val="0.33642619304942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07-4A9F-9913-9706911902D2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407-4A9F-9913-9706911902D2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C407-4A9F-9913-9706911902D2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407-4A9F-9913-9706911902D2}"/>
              </c:ext>
            </c:extLst>
          </c:dPt>
          <c:dLbls>
            <c:dLbl>
              <c:idx val="0"/>
              <c:layout>
                <c:manualLayout>
                  <c:x val="3.8769504631315892E-3"/>
                  <c:y val="-3.0336846089421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71295325548602"/>
                      <c:h val="0.424281421601394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407-4A9F-9913-9706911902D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07-4A9F-9913-970691190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[sectores_CE.xlsm]Analisis_Equipo!TablaDinámica6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Analisis_Equipo!$U$3:$U$9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CA06-468C-97D9-5F7E10D906FB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Analisis_Equipo!$V$3:$V$9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CA06-468C-97D9-5F7E10D906FB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Analisis_Equipo!$W$3:$W$9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CA06-468C-97D9-5F7E10D906FB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Analisis_Equipo!$X$3:$X$9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CA06-468C-97D9-5F7E10D90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[sectores_CE.xlsm]Analisis_Equipo!TablaDinámica7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351758157581635"/>
          <c:y val="7.292802784279604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Analisis_Equipo!$AA$3:$AA$9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8C92-4FCA-AA66-874AF4E1C33B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Analisis_Equipo!$AB$3:$AB$9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8C92-4FCA-AA66-874AF4E1C33B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Analisis_Equipo!$AC$3:$AC$9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8C92-4FCA-AA66-874AF4E1C33B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Analisis_Equipo!$AD$3:$AD$9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8C92-4FCA-AA66-874AF4E1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16111859178482E-2"/>
          <c:y val="5.1900823647078972E-2"/>
          <c:w val="0.80760208808133394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Analisis!$D$4:$D$10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A162-4582-90BD-23787C0881BE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Analisis!$E$4:$E$10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A162-4582-90BD-23787C088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6661440606678652"/>
          <c:y val="0.38598375393725709"/>
          <c:w val="0.13248988704441755"/>
          <c:h val="0.176876346975375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[sectores_CE.xlsm]Analisis!TablaDinámica3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4E95D9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</c:pivotFmts>
    <c:plotArea>
      <c:layout>
        <c:manualLayout>
          <c:layoutTarget val="inner"/>
          <c:xMode val="edge"/>
          <c:yMode val="edge"/>
          <c:x val="2.1210613587417253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4E95D9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4-34F2-40CC-98D7-AE418CDADF39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34F2-40CC-98D7-AE418CDAD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[sectores_CE.xlsm]Analisis!TablaDinámica4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A5D-4502-8D0F-FA1977F740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Analisis!$H$4:$H$7</c:f>
              <c:numCache>
                <c:formatCode>0%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D-4502-8D0F-FA1977F74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[sectores_CE.xlsm]Analisis!TablaDinámica6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656-4B75-9947-C71385607E0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656-4B75-9947-C71385607E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656-4B75-9947-C71385607E0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656-4B75-9947-C71385607E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56-4B75-9947-C71385607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[sectores_CE.xlsm]Analisis!TablaDinámica11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Analisis!$R$4:$R$10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074F-4B5E-ABD2-39A410D14F9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Analisis!$S$4:$S$10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074F-4B5E-ABD2-39A410D14F9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Analisis!$T$4:$T$10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074F-4B5E-ABD2-39A410D14F9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Analisis!$U$4:$U$10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074F-4B5E-ABD2-39A410D1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36A8-436A-A80D-3937FA7286C9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36A8-436A-A80D-3937FA7286C9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36A8-436A-A80D-3937FA7286C9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36A8-436A-A80D-3937FA728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[sectores_CE.xlsm]Analisis!TablaDinámica12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Analisis!$X$4:$X$10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3667-4F6E-93D9-744260362916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Analisis!$Y$4:$Y$10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3667-4F6E-93D9-744260362916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Analisis!$Z$4:$Z$10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3667-4F6E-93D9-744260362916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Analisis!$AA$4:$AA$10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3667-4F6E-93D9-744260362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[sectores_CE.xlsm]Analisis!TablaDinámica7</c:name>
    <c:fmtId val="4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802-4DF1-AD87-FEBEC0DCDD1A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0802-4DF1-AD87-FEBEC0DCDD1A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0802-4DF1-AD87-FEBEC0DCDD1A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0802-4DF1-AD87-FEBEC0DC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[sectores_CE.xlsm]Analisis!TablaDinámica4</c:name>
    <c:fmtId val="2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1C-4AF0-BDC3-22467546BF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Analisis!$H$4:$H$7</c:f>
              <c:numCache>
                <c:formatCode>0%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C-4AF0-BDC3-22467546B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[sectores_CE.xlsm]Analisis!TablaDinámica6</c:name>
    <c:fmtId val="2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573-4DAB-9CE0-0E49137567F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573-4DAB-9CE0-0E49137567F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573-4DAB-9CE0-0E49137567F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573-4DAB-9CE0-0E49137567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73-4DAB-9CE0-0E491375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[sectores_CE.xlsm]Analisis!TablaDinámica11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Analisis!$R$4:$R$10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0F28-4EF3-B4B1-D1C0A6A4832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Analisis!$S$4:$S$10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0F28-4EF3-B4B1-D1C0A6A4832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Analisis!$T$4:$T$10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0F28-4EF3-B4B1-D1C0A6A4832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Analisis!$U$4:$U$10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0F28-4EF3-B4B1-D1C0A6A48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[sectores_CE.xlsm]Analisis!TablaDinámica1</c:name>
    <c:fmtId val="4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F2E6-479B-850D-84B46430675C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F2E6-479B-850D-84B46430675C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F2E6-479B-850D-84B46430675C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F2E6-479B-850D-84B464306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[sectores_CE.xlsm]Analisis!TablaDinámica12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Analisis!$X$4:$X$10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A444-46E8-9FBC-612F9926ED99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Analisis!$Y$4:$Y$10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A444-46E8-9FBC-612F9926ED99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Analisis!$Z$4:$Z$10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A444-46E8-9FBC-612F9926ED99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Analisis!$AA$4:$AA$10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A444-46E8-9FBC-612F9926E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[sectores_CE.xlsm]Analisis!TablaDinámica7</c:name>
    <c:fmtId val="4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DCA-4338-9FAD-5A7F6CBF215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6DCA-4338-9FAD-5A7F6CBF215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6DCA-4338-9FAD-5A7F6CBF215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6DCA-4338-9FAD-5A7F6CBF2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[sectores_CE.xlsm]Analisis_Equipo!TablaDinámica1</c:name>
    <c:fmtId val="5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513161733746789E-2"/>
          <c:y val="1.1518499685606164E-2"/>
          <c:w val="0.84095795154687014"/>
          <c:h val="0.85462259966295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Analisis_Equipo!$D$3:$D$9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2-46EF-A8D0-B4D84E1D2238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Analisis_Equipo!$E$3:$E$9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2-46EF-A8D0-B4D84E1D2238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Analisis_Equipo!$F$3:$F$9</c:f>
              <c:numCache>
                <c:formatCode>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32-46EF-A8D0-B4D84E1D2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191943689181316"/>
          <c:y val="0.23557146941556134"/>
          <c:w val="0.13620496898385673"/>
          <c:h val="0.501934986058296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[sectores_CE.xlsm]Analisis_Equipo!TablaDinámica2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A4F-4E97-A698-01478EC01AB5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4F-4E97-A698-01478EC01AB5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A4F-4E97-A698-01478EC01AB5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4F-4E97-A698-01478EC01AB5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A4F-4E97-A698-01478EC01AB5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A4F-4E97-A698-01478EC01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[sectores_CE.xlsm]Analisis_Equipo!TablaDinámica6</c:name>
    <c:fmtId val="3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solidFill>
              <a:schemeClr val="bg1">
                <a:lumMod val="9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659058052225256E-2"/>
          <c:y val="2.5402661541859096E-2"/>
          <c:w val="0.81239222481057205"/>
          <c:h val="0.885853253188700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Analisis_Equipo!$U$3:$U$9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6A8E-42FA-96CC-ACC769899D44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Analisis_Equipo!$V$3:$V$9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6A8E-42FA-96CC-ACC769899D44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Analisis_Equipo!$W$3:$W$9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6A8E-42FA-96CC-ACC769899D44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9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Analisis_Equipo!$X$3:$X$9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6A8E-42FA-96CC-ACC769899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584364074125952"/>
          <c:y val="0.15193017128856506"/>
          <c:w val="0.13415624116512109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[sectores_CE.xlsm]Analisis_Equipo!TablaDinámica5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7B2-42BD-AFBF-1E52F47A2E33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E7B2-42BD-AFBF-1E52F47A2E33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E7B2-42BD-AFBF-1E52F47A2E33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E7B2-42BD-AFBF-1E52F47A2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[sectores_CE.xlsm]Analisis_Equipo!TablaDinámica7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Analisis_Equipo!$AA$3:$AA$9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2ECE-43EC-91AE-D48D5A151417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Analisis_Equipo!$AB$3:$AB$9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2ECE-43EC-91AE-D48D5A151417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Analisis_Equipo!$AC$3:$AC$9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2ECE-43EC-91AE-D48D5A151417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Analisis_Equipo!$AD$3:$AD$9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2ECE-43EC-91AE-D48D5A151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89571482139685354"/>
          <c:y val="0.15193024786709841"/>
          <c:w val="0.10428506112889932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[sectores_CE.xlsm]Analisis_Equipo!TablaDinámica10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CECE-4F46-82BA-BFD03AF21C19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CECE-4F46-82BA-BFD03AF21C19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CECE-4F46-82BA-BFD03AF21C19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CECE-4F46-82BA-BFD03AF21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[sectores_CE.xlsm]Analisis!TablaDinámica2</c:name>
    <c:fmtId val="3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Analisis!$D$4:$D$10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805F-43AB-BD19-A9924A69159B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Analisis!$E$4:$E$10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805F-43AB-BD19-A9924A691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[sectores_CE.xlsm]Analisis!TablaDinámica4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</c:pivotFmt>
      <c:pivotFmt>
        <c:idx val="18"/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</c:pivotFmt>
      <c:pivotFmt>
        <c:idx val="21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65-4A5C-9B8B-6BAB2382ED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Analisis!$H$4:$H$7</c:f>
              <c:numCache>
                <c:formatCode>0%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65-4A5C-9B8B-6BAB2382E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[sectores_CE.xlsm]Analisis!TablaDinámica3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</c:pivotFmt>
      <c:pivotFmt>
        <c:idx val="22"/>
      </c:pivotFmt>
      <c:pivotFmt>
        <c:idx val="23"/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4-8584-43E6-A76E-35306EBC337D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8584-43E6-A76E-35306EBC3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[sectores_CE.xlsm]Analisis!TablaDinámica11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Analisis!$R$4:$R$10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02A9-4FD2-AC20-37E3E1FAD8ED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Analisis!$S$4:$S$10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02A9-4FD2-AC20-37E3E1FAD8ED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Analisis!$T$4:$T$10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02A9-4FD2-AC20-37E3E1FAD8ED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Analisis!$U$4:$U$10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02A9-4FD2-AC20-37E3E1FAD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[sectores_CE.xlsm]Analisis!TablaDinámica12</c:name>
    <c:fmtId val="3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Analisis!$X$4:$X$10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002C-48AE-8316-89B309DF07CE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Analisis!$Y$4:$Y$10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002C-48AE-8316-89B309DF07CE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Analisis!$Z$4:$Z$10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002C-48AE-8316-89B309DF07CE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Analisis!$AA$4:$AA$10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002C-48AE-8316-89B309DF0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PORTADA!A1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hyperlink" Target="#PORTAD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25.xml"/><Relationship Id="rId11" Type="http://schemas.openxmlformats.org/officeDocument/2006/relationships/hyperlink" Target="#PORTADA!A1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45.xml"/><Relationship Id="rId5" Type="http://schemas.openxmlformats.org/officeDocument/2006/relationships/chart" Target="../charts/chart44.xml"/><Relationship Id="rId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480392</xdr:colOff>
      <xdr:row>26</xdr:row>
      <xdr:rowOff>65433</xdr:rowOff>
    </xdr:from>
    <xdr:to>
      <xdr:col>15</xdr:col>
      <xdr:colOff>0</xdr:colOff>
      <xdr:row>41</xdr:row>
      <xdr:rowOff>75372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AA5AF7B-28EA-E9A4-2269-99D8709DD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637760</xdr:colOff>
      <xdr:row>10</xdr:row>
      <xdr:rowOff>52158</xdr:rowOff>
    </xdr:from>
    <xdr:to>
      <xdr:col>32</xdr:col>
      <xdr:colOff>521804</xdr:colOff>
      <xdr:row>25</xdr:row>
      <xdr:rowOff>62098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C91689A-12F2-7C8F-32E9-434ABA2EE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559443</xdr:colOff>
      <xdr:row>16</xdr:row>
      <xdr:rowOff>152400</xdr:rowOff>
    </xdr:from>
    <xdr:to>
      <xdr:col>40</xdr:col>
      <xdr:colOff>315576</xdr:colOff>
      <xdr:row>31</xdr:row>
      <xdr:rowOff>138546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F321F4B-E1D5-6ABB-08F5-AE9A3771A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7</xdr:col>
      <xdr:colOff>1474304</xdr:colOff>
      <xdr:row>9</xdr:row>
      <xdr:rowOff>9111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CC14EE7-9D46-456E-BB17-979633476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985631</xdr:colOff>
      <xdr:row>16</xdr:row>
      <xdr:rowOff>48868</xdr:rowOff>
    </xdr:from>
    <xdr:to>
      <xdr:col>13</xdr:col>
      <xdr:colOff>1656523</xdr:colOff>
      <xdr:row>28</xdr:row>
      <xdr:rowOff>74543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41324CA-CC35-13B3-3271-F8BA4A72A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861392</xdr:colOff>
      <xdr:row>13</xdr:row>
      <xdr:rowOff>24848</xdr:rowOff>
    </xdr:from>
    <xdr:to>
      <xdr:col>17</xdr:col>
      <xdr:colOff>74544</xdr:colOff>
      <xdr:row>17</xdr:row>
      <xdr:rowOff>165652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02BD238-1865-D604-7359-8618E910F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538370</xdr:colOff>
      <xdr:row>20</xdr:row>
      <xdr:rowOff>106846</xdr:rowOff>
    </xdr:from>
    <xdr:to>
      <xdr:col>22</xdr:col>
      <xdr:colOff>1250675</xdr:colOff>
      <xdr:row>35</xdr:row>
      <xdr:rowOff>116785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A00F6D6-7B12-EDE3-43C5-11D9C0727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637259</xdr:colOff>
      <xdr:row>21</xdr:row>
      <xdr:rowOff>98563</xdr:rowOff>
    </xdr:from>
    <xdr:to>
      <xdr:col>30</xdr:col>
      <xdr:colOff>347368</xdr:colOff>
      <xdr:row>36</xdr:row>
      <xdr:rowOff>108502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EA4E49A-4D9D-EA71-B50F-043DF2193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132774</xdr:colOff>
      <xdr:row>6</xdr:row>
      <xdr:rowOff>160180</xdr:rowOff>
    </xdr:from>
    <xdr:to>
      <xdr:col>43</xdr:col>
      <xdr:colOff>738911</xdr:colOff>
      <xdr:row>12</xdr:row>
      <xdr:rowOff>15394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4468D-05F4-2375-AB3A-FABC9B229B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377153</xdr:colOff>
      <xdr:row>5</xdr:row>
      <xdr:rowOff>179340</xdr:rowOff>
    </xdr:from>
    <xdr:to>
      <xdr:col>50</xdr:col>
      <xdr:colOff>30788</xdr:colOff>
      <xdr:row>12</xdr:row>
      <xdr:rowOff>138546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012FDC0-93B3-838C-DF7F-B656F5549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A4086E9-605C-6FAC-67B0-7EBC06BE9A0D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10D40FA-4FE1-B6C5-F90F-67F6F93DD85B}"/>
            </a:ext>
          </a:extLst>
        </xdr:cNvPr>
        <xdr:cNvSpPr/>
      </xdr:nvSpPr>
      <xdr:spPr>
        <a:xfrm>
          <a:off x="1195917" y="66040"/>
          <a:ext cx="6761268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DB73DE7A-CFF9-4942-9697-EDA4E42116D2}"/>
            </a:ext>
          </a:extLst>
        </xdr:cNvPr>
        <xdr:cNvSpPr/>
      </xdr:nvSpPr>
      <xdr:spPr>
        <a:xfrm>
          <a:off x="1169670" y="1157392"/>
          <a:ext cx="4612666" cy="221742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8EDAD7C9-1305-D5CC-8AA0-C4278CADCF5E}"/>
            </a:ext>
          </a:extLst>
        </xdr:cNvPr>
        <xdr:cNvSpPr/>
      </xdr:nvSpPr>
      <xdr:spPr>
        <a:xfrm>
          <a:off x="1793240" y="177800"/>
          <a:ext cx="360000" cy="36000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15" name="Gráfico 14" descr="Diagrama de flujo circular contorno">
          <a:extLst>
            <a:ext uri="{FF2B5EF4-FFF2-40B4-BE49-F238E27FC236}">
              <a16:creationId xmlns:a16="http://schemas.microsoft.com/office/drawing/2014/main" id="{E323E5F0-4B05-B161-5161-B553BAE57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93240" y="167640"/>
          <a:ext cx="360000" cy="36000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D7276A4D-5A93-7578-880A-E12AC91A4005}"/>
            </a:ext>
          </a:extLst>
        </xdr:cNvPr>
        <xdr:cNvSpPr txBox="1"/>
      </xdr:nvSpPr>
      <xdr:spPr>
        <a:xfrm>
          <a:off x="2092960" y="13716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C23981B-622E-4960-AC0D-4538A02D41B1}"/>
            </a:ext>
          </a:extLst>
        </xdr:cNvPr>
        <xdr:cNvSpPr txBox="1"/>
      </xdr:nvSpPr>
      <xdr:spPr>
        <a:xfrm>
          <a:off x="2092960" y="29464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1">
              <a:extLst>
                <a:ext uri="{FF2B5EF4-FFF2-40B4-BE49-F238E27FC236}">
                  <a16:creationId xmlns:a16="http://schemas.microsoft.com/office/drawing/2014/main" id="{13362F50-6A3D-4DB8-8310-1DAE145FBE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33720" y="66040"/>
              <a:ext cx="2805750" cy="10332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75051DC6-5C66-456B-9EEB-81F9D58DB24F}"/>
            </a:ext>
          </a:extLst>
        </xdr:cNvPr>
        <xdr:cNvSpPr txBox="1"/>
      </xdr:nvSpPr>
      <xdr:spPr>
        <a:xfrm>
          <a:off x="561086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ICION 2">
              <a:extLst>
                <a:ext uri="{FF2B5EF4-FFF2-40B4-BE49-F238E27FC236}">
                  <a16:creationId xmlns:a16="http://schemas.microsoft.com/office/drawing/2014/main" id="{674D8262-CD9B-4031-A368-A30497F6C2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9480" y="121921"/>
              <a:ext cx="675450" cy="97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F40A34B-ADDB-4186-8793-6F025E0F21BA}"/>
            </a:ext>
          </a:extLst>
        </xdr:cNvPr>
        <xdr:cNvSpPr txBox="1"/>
      </xdr:nvSpPr>
      <xdr:spPr>
        <a:xfrm>
          <a:off x="8600229" y="946362"/>
          <a:ext cx="109918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139118F6-4D7C-F909-16A4-CCBEF3A1FB92}"/>
            </a:ext>
          </a:extLst>
        </xdr:cNvPr>
        <xdr:cNvGrpSpPr/>
      </xdr:nvGrpSpPr>
      <xdr:grpSpPr>
        <a:xfrm>
          <a:off x="1312731" y="1050590"/>
          <a:ext cx="4955836" cy="2232080"/>
          <a:chOff x="2500907" y="1313308"/>
          <a:chExt cx="3098800" cy="2280693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2850616D-2C9F-4F0C-A00C-9C4344EA04DA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9C10DC89-C189-3227-B800-8226B9622EBF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28" name="CuadroTexto 27">
            <a:extLst>
              <a:ext uri="{FF2B5EF4-FFF2-40B4-BE49-F238E27FC236}">
                <a16:creationId xmlns:a16="http://schemas.microsoft.com/office/drawing/2014/main" id="{4E66152B-0460-4B21-A3B8-E15CCEE4E1C0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900530CE-0D55-4A65-B35E-A262A86B8CD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C4429368-C36F-405D-AD42-4874ECF688B8}"/>
            </a:ext>
          </a:extLst>
        </xdr:cNvPr>
        <xdr:cNvSpPr/>
      </xdr:nvSpPr>
      <xdr:spPr>
        <a:xfrm>
          <a:off x="1217083" y="3396009"/>
          <a:ext cx="4577292" cy="1694574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52786FA4-DDD2-4E89-97C4-DAFCC4BC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rival 1">
              <a:extLst>
                <a:ext uri="{FF2B5EF4-FFF2-40B4-BE49-F238E27FC236}">
                  <a16:creationId xmlns:a16="http://schemas.microsoft.com/office/drawing/2014/main" id="{36D4AF06-B182-43F3-AB9D-2359BFF5D5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EC2A207B-7BE6-456E-8610-B1DA548504B7}"/>
            </a:ext>
          </a:extLst>
        </xdr:cNvPr>
        <xdr:cNvSpPr txBox="1"/>
      </xdr:nvSpPr>
      <xdr:spPr>
        <a:xfrm>
          <a:off x="107103" y="0"/>
          <a:ext cx="110172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1631A360-BD12-411F-91F1-15B1D356F9FA}"/>
            </a:ext>
          </a:extLst>
        </xdr:cNvPr>
        <xdr:cNvSpPr/>
      </xdr:nvSpPr>
      <xdr:spPr>
        <a:xfrm>
          <a:off x="517724" y="2762571"/>
          <a:ext cx="1185545" cy="5829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314038B1-6C63-47F2-A09E-07C697ABA86E}"/>
            </a:ext>
          </a:extLst>
        </xdr:cNvPr>
        <xdr:cNvSpPr txBox="1"/>
      </xdr:nvSpPr>
      <xdr:spPr>
        <a:xfrm>
          <a:off x="502689" y="2630233"/>
          <a:ext cx="1144905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7D29673-DB4F-4415-A294-69FC281F0F74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5C44BF0-A5C0-479B-8CCF-BF3E414762D1}"/>
            </a:ext>
          </a:extLst>
        </xdr:cNvPr>
        <xdr:cNvSpPr txBox="1"/>
      </xdr:nvSpPr>
      <xdr:spPr>
        <a:xfrm>
          <a:off x="427467" y="4358971"/>
          <a:ext cx="1144905" cy="10900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95238AE-70B9-4E9F-941B-6E0B78FB1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0" name="CuadroTexto 19">
          <a:extLst>
            <a:ext uri="{FF2B5EF4-FFF2-40B4-BE49-F238E27FC236}">
              <a16:creationId xmlns:a16="http://schemas.microsoft.com/office/drawing/2014/main" id="{3AF1748F-0436-4D79-948B-5906400C9123}"/>
            </a:ext>
          </a:extLst>
        </xdr:cNvPr>
        <xdr:cNvSpPr txBox="1"/>
      </xdr:nvSpPr>
      <xdr:spPr>
        <a:xfrm>
          <a:off x="1000125" y="4630034"/>
          <a:ext cx="880120" cy="327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#¡DIV/0!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25A6C53-E8CF-45C5-A7FE-84BE5524DE83}"/>
            </a:ext>
          </a:extLst>
        </xdr:cNvPr>
        <xdr:cNvSpPr/>
      </xdr:nvSpPr>
      <xdr:spPr>
        <a:xfrm>
          <a:off x="5825913" y="1169459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BEAB17DA-5F15-4A2A-8C94-7B207ECFC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7BB21C26-CD23-4B0E-BE41-0FB778CB15F6}"/>
            </a:ext>
          </a:extLst>
        </xdr:cNvPr>
        <xdr:cNvSpPr txBox="1"/>
      </xdr:nvSpPr>
      <xdr:spPr>
        <a:xfrm>
          <a:off x="6323332" y="1158160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897385F1-5778-4DD5-A75F-4B6A674BDF33}"/>
            </a:ext>
          </a:extLst>
        </xdr:cNvPr>
        <xdr:cNvSpPr/>
      </xdr:nvSpPr>
      <xdr:spPr>
        <a:xfrm>
          <a:off x="5825913" y="3153118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B9C0C76-9A7D-4582-8701-1857E7BA1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769D6637-1C0B-23EB-4892-E4F0DA85DC67}"/>
            </a:ext>
          </a:extLst>
        </xdr:cNvPr>
        <xdr:cNvSpPr/>
      </xdr:nvSpPr>
      <xdr:spPr>
        <a:xfrm>
          <a:off x="5540374" y="9577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1DBC040F-AEDE-4499-9949-BCBA75E50EBB}"/>
            </a:ext>
          </a:extLst>
        </xdr:cNvPr>
        <xdr:cNvSpPr/>
      </xdr:nvSpPr>
      <xdr:spPr>
        <a:xfrm>
          <a:off x="5789084" y="2973916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17" name="CuadroTexto 16">
          <a:extLst>
            <a:ext uri="{FF2B5EF4-FFF2-40B4-BE49-F238E27FC236}">
              <a16:creationId xmlns:a16="http://schemas.microsoft.com/office/drawing/2014/main" id="{F3BCE826-9A3B-4FAF-993A-F59A27F193CE}"/>
            </a:ext>
          </a:extLst>
        </xdr:cNvPr>
        <xdr:cNvSpPr txBox="1"/>
      </xdr:nvSpPr>
      <xdr:spPr>
        <a:xfrm>
          <a:off x="9440123" y="1523286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53066414-08AB-C860-749E-D956434D72CB}"/>
            </a:ext>
          </a:extLst>
        </xdr:cNvPr>
        <xdr:cNvSpPr txBox="1"/>
      </xdr:nvSpPr>
      <xdr:spPr>
        <a:xfrm>
          <a:off x="9321800" y="1519236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41" name="CuadroTexto 40">
          <a:extLst>
            <a:ext uri="{FF2B5EF4-FFF2-40B4-BE49-F238E27FC236}">
              <a16:creationId xmlns:a16="http://schemas.microsoft.com/office/drawing/2014/main" id="{980BFD64-4A16-4A66-94E7-5244CC6184AC}"/>
            </a:ext>
          </a:extLst>
        </xdr:cNvPr>
        <xdr:cNvSpPr txBox="1"/>
      </xdr:nvSpPr>
      <xdr:spPr>
        <a:xfrm>
          <a:off x="9445415" y="1889124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A584AE6-03DA-472D-B4F0-EE53DDAFAA0F}"/>
            </a:ext>
          </a:extLst>
        </xdr:cNvPr>
        <xdr:cNvSpPr txBox="1"/>
      </xdr:nvSpPr>
      <xdr:spPr>
        <a:xfrm>
          <a:off x="9350375" y="1894417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12" name="CuadroTexto 11">
          <a:extLst>
            <a:ext uri="{FF2B5EF4-FFF2-40B4-BE49-F238E27FC236}">
              <a16:creationId xmlns:a16="http://schemas.microsoft.com/office/drawing/2014/main" id="{39907E28-9590-49F4-9279-AFD4AA69C29D}"/>
            </a:ext>
          </a:extLst>
        </xdr:cNvPr>
        <xdr:cNvSpPr txBox="1"/>
      </xdr:nvSpPr>
      <xdr:spPr>
        <a:xfrm>
          <a:off x="9440333" y="22066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32" name="CuadroTexto 31">
          <a:extLst>
            <a:ext uri="{FF2B5EF4-FFF2-40B4-BE49-F238E27FC236}">
              <a16:creationId xmlns:a16="http://schemas.microsoft.com/office/drawing/2014/main" id="{DD8553D0-6D2B-4EF3-88B1-1BF3BA5F346C}"/>
            </a:ext>
          </a:extLst>
        </xdr:cNvPr>
        <xdr:cNvSpPr txBox="1"/>
      </xdr:nvSpPr>
      <xdr:spPr>
        <a:xfrm>
          <a:off x="9445625" y="2582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BFC841A5-A98C-45D4-B661-2607694104AD}"/>
            </a:ext>
          </a:extLst>
        </xdr:cNvPr>
        <xdr:cNvSpPr txBox="1"/>
      </xdr:nvSpPr>
      <xdr:spPr>
        <a:xfrm>
          <a:off x="9281584" y="2582334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  <xdr:twoCellAnchor>
    <xdr:from>
      <xdr:col>11</xdr:col>
      <xdr:colOff>691662</xdr:colOff>
      <xdr:row>26</xdr:row>
      <xdr:rowOff>134815</xdr:rowOff>
    </xdr:from>
    <xdr:to>
      <xdr:col>13</xdr:col>
      <xdr:colOff>550985</xdr:colOff>
      <xdr:row>28</xdr:row>
      <xdr:rowOff>82062</xdr:rowOff>
    </xdr:to>
    <xdr:sp macro="" textlink="">
      <xdr:nvSpPr>
        <xdr:cNvPr id="46" name="Rectángulo: esquinas redondeadas 4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16E7FD7-57BA-461D-B48D-8F51400BECB0}"/>
            </a:ext>
          </a:extLst>
        </xdr:cNvPr>
        <xdr:cNvSpPr/>
      </xdr:nvSpPr>
      <xdr:spPr>
        <a:xfrm>
          <a:off x="8974016" y="4859215"/>
          <a:ext cx="861646" cy="31066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9388DB6-24AE-405E-8DB4-04E3B293BB45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195791</xdr:colOff>
      <xdr:row>0</xdr:row>
      <xdr:rowOff>66040</xdr:rowOff>
    </xdr:from>
    <xdr:to>
      <xdr:col>13</xdr:col>
      <xdr:colOff>301624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16D4399-25E0-4B65-AB43-7C604C353DD0}"/>
            </a:ext>
          </a:extLst>
        </xdr:cNvPr>
        <xdr:cNvSpPr/>
      </xdr:nvSpPr>
      <xdr:spPr>
        <a:xfrm>
          <a:off x="1195916" y="66040"/>
          <a:ext cx="8392583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5CBB8F1-B9D0-4D15-B75E-99756785FCA6}"/>
            </a:ext>
          </a:extLst>
        </xdr:cNvPr>
        <xdr:cNvSpPr/>
      </xdr:nvSpPr>
      <xdr:spPr>
        <a:xfrm>
          <a:off x="1167765" y="1143422"/>
          <a:ext cx="4603141" cy="218948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268605</xdr:colOff>
      <xdr:row>0</xdr:row>
      <xdr:rowOff>114300</xdr:rowOff>
    </xdr:from>
    <xdr:to>
      <xdr:col>2</xdr:col>
      <xdr:colOff>630510</xdr:colOff>
      <xdr:row>2</xdr:row>
      <xdr:rowOff>108540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C134E301-422B-4E4C-94B6-465D8B4D8361}"/>
            </a:ext>
          </a:extLst>
        </xdr:cNvPr>
        <xdr:cNvSpPr/>
      </xdr:nvSpPr>
      <xdr:spPr>
        <a:xfrm>
          <a:off x="1268730" y="114300"/>
          <a:ext cx="361905" cy="364657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258022</xdr:colOff>
      <xdr:row>0</xdr:row>
      <xdr:rowOff>98849</xdr:rowOff>
    </xdr:from>
    <xdr:to>
      <xdr:col>2</xdr:col>
      <xdr:colOff>619927</xdr:colOff>
      <xdr:row>2</xdr:row>
      <xdr:rowOff>93089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517F84B-CE1B-43EC-B83A-1BFBED5E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58147" y="98849"/>
          <a:ext cx="361905" cy="364657"/>
        </a:xfrm>
        <a:prstGeom prst="rect">
          <a:avLst/>
        </a:prstGeom>
      </xdr:spPr>
    </xdr:pic>
    <xdr:clientData/>
  </xdr:twoCellAnchor>
  <xdr:twoCellAnchor>
    <xdr:from>
      <xdr:col>2</xdr:col>
      <xdr:colOff>633730</xdr:colOff>
      <xdr:row>0</xdr:row>
      <xdr:rowOff>94827</xdr:rowOff>
    </xdr:from>
    <xdr:to>
      <xdr:col>6</xdr:col>
      <xdr:colOff>266065</xdr:colOff>
      <xdr:row>1</xdr:row>
      <xdr:rowOff>173356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C691980-E1C1-4D90-8E93-E01AF0C49B6A}"/>
            </a:ext>
          </a:extLst>
        </xdr:cNvPr>
        <xdr:cNvSpPr txBox="1"/>
      </xdr:nvSpPr>
      <xdr:spPr>
        <a:xfrm>
          <a:off x="1633855" y="94827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633730</xdr:colOff>
      <xdr:row>1</xdr:row>
      <xdr:rowOff>69427</xdr:rowOff>
    </xdr:from>
    <xdr:to>
      <xdr:col>6</xdr:col>
      <xdr:colOff>266065</xdr:colOff>
      <xdr:row>2</xdr:row>
      <xdr:rowOff>147955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8E866ADC-A27C-44AD-8289-D91FE003B71F}"/>
            </a:ext>
          </a:extLst>
        </xdr:cNvPr>
        <xdr:cNvSpPr txBox="1"/>
      </xdr:nvSpPr>
      <xdr:spPr>
        <a:xfrm>
          <a:off x="1633855" y="254635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4DF22D53-D4CD-4A83-8DD3-FDF92B6D5DF0}"/>
            </a:ext>
          </a:extLst>
        </xdr:cNvPr>
        <xdr:cNvSpPr/>
      </xdr:nvSpPr>
      <xdr:spPr>
        <a:xfrm>
          <a:off x="1215178" y="3354099"/>
          <a:ext cx="4567767" cy="167361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2">
              <a:extLst>
                <a:ext uri="{FF2B5EF4-FFF2-40B4-BE49-F238E27FC236}">
                  <a16:creationId xmlns:a16="http://schemas.microsoft.com/office/drawing/2014/main" id="{20998937-4573-4236-B3D4-390C5C9FB9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E1CEB997-AD2F-4000-9C00-C5DF3783E37E}"/>
            </a:ext>
          </a:extLst>
        </xdr:cNvPr>
        <xdr:cNvSpPr txBox="1"/>
      </xdr:nvSpPr>
      <xdr:spPr>
        <a:xfrm>
          <a:off x="107103" y="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86CEBF3-5F02-4D37-9CAE-D32E09A4B1F5}"/>
            </a:ext>
          </a:extLst>
        </xdr:cNvPr>
        <xdr:cNvSpPr/>
      </xdr:nvSpPr>
      <xdr:spPr>
        <a:xfrm>
          <a:off x="517724" y="2729974"/>
          <a:ext cx="1183640" cy="57367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06B2894-E6F4-4EEA-91DB-36A16729F73C}"/>
            </a:ext>
          </a:extLst>
        </xdr:cNvPr>
        <xdr:cNvSpPr txBox="1"/>
      </xdr:nvSpPr>
      <xdr:spPr>
        <a:xfrm>
          <a:off x="502689" y="2597636"/>
          <a:ext cx="1143000" cy="1074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CB0EC200-FB51-4E85-BE9D-6AC45D168ABA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F7F984B-9575-4978-886B-A1A227F280E5}"/>
            </a:ext>
          </a:extLst>
        </xdr:cNvPr>
        <xdr:cNvSpPr/>
      </xdr:nvSpPr>
      <xdr:spPr>
        <a:xfrm>
          <a:off x="5814483" y="1155489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D6AB3E07-737F-4388-8F94-94FFB32F3583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A3A2C440-9968-4553-B9FD-6BF3947B1B4E}"/>
            </a:ext>
          </a:extLst>
        </xdr:cNvPr>
        <xdr:cNvSpPr/>
      </xdr:nvSpPr>
      <xdr:spPr>
        <a:xfrm>
          <a:off x="5814483" y="3113536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243418</xdr:colOff>
      <xdr:row>7</xdr:row>
      <xdr:rowOff>74083</xdr:rowOff>
    </xdr:from>
    <xdr:to>
      <xdr:col>7</xdr:col>
      <xdr:colOff>672041</xdr:colOff>
      <xdr:row>17</xdr:row>
      <xdr:rowOff>142874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2A5890E7-77C0-46F6-9AC2-B01BF78AF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259273</xdr:colOff>
      <xdr:row>15</xdr:row>
      <xdr:rowOff>94677</xdr:rowOff>
    </xdr:from>
    <xdr:to>
      <xdr:col>2</xdr:col>
      <xdr:colOff>375708</xdr:colOff>
      <xdr:row>17</xdr:row>
      <xdr:rowOff>142874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D070F511-ABDA-45E0-8221-82B7CA587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296333</xdr:colOff>
      <xdr:row>5</xdr:row>
      <xdr:rowOff>173910</xdr:rowOff>
    </xdr:from>
    <xdr:to>
      <xdr:col>7</xdr:col>
      <xdr:colOff>560917</xdr:colOff>
      <xdr:row>8</xdr:row>
      <xdr:rowOff>4265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6CA5BB35-1E7A-4748-98DC-5FD345229E00}"/>
            </a:ext>
          </a:extLst>
        </xdr:cNvPr>
        <xdr:cNvSpPr txBox="1"/>
      </xdr:nvSpPr>
      <xdr:spPr>
        <a:xfrm>
          <a:off x="2106083" y="1099952"/>
          <a:ext cx="350308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Goles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Lanzamientos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730042</xdr:colOff>
      <xdr:row>7</xdr:row>
      <xdr:rowOff>37042</xdr:rowOff>
    </xdr:from>
    <xdr:to>
      <xdr:col>3</xdr:col>
      <xdr:colOff>61583</xdr:colOff>
      <xdr:row>13</xdr:row>
      <xdr:rowOff>144188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77B2BF34-77A6-4E19-9050-DEA61B670A65}"/>
            </a:ext>
          </a:extLst>
        </xdr:cNvPr>
        <xdr:cNvSpPr txBox="1"/>
      </xdr:nvSpPr>
      <xdr:spPr>
        <a:xfrm rot="16200000">
          <a:off x="786740" y="1467302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215052</xdr:colOff>
      <xdr:row>18</xdr:row>
      <xdr:rowOff>111125</xdr:rowOff>
    </xdr:from>
    <xdr:to>
      <xdr:col>7</xdr:col>
      <xdr:colOff>709082</xdr:colOff>
      <xdr:row>27</xdr:row>
      <xdr:rowOff>84667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B5151682-0A3D-4834-88E0-9B012BCD4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714167</xdr:colOff>
      <xdr:row>17</xdr:row>
      <xdr:rowOff>110410</xdr:rowOff>
    </xdr:from>
    <xdr:to>
      <xdr:col>3</xdr:col>
      <xdr:colOff>45708</xdr:colOff>
      <xdr:row>24</xdr:row>
      <xdr:rowOff>32348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E2E2D768-E7F9-4534-9FBD-DA794B3CACB0}"/>
            </a:ext>
          </a:extLst>
        </xdr:cNvPr>
        <xdr:cNvSpPr txBox="1"/>
      </xdr:nvSpPr>
      <xdr:spPr>
        <a:xfrm rot="16200000">
          <a:off x="770865" y="3392754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211666</xdr:colOff>
      <xdr:row>24</xdr:row>
      <xdr:rowOff>37041</xdr:rowOff>
    </xdr:from>
    <xdr:to>
      <xdr:col>2</xdr:col>
      <xdr:colOff>619125</xdr:colOff>
      <xdr:row>27</xdr:row>
      <xdr:rowOff>121708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14DC27B4-F606-4E68-8400-E7BC0DE97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312210</xdr:colOff>
      <xdr:row>23</xdr:row>
      <xdr:rowOff>84666</xdr:rowOff>
    </xdr:from>
    <xdr:to>
      <xdr:col>2</xdr:col>
      <xdr:colOff>100543</xdr:colOff>
      <xdr:row>25</xdr:row>
      <xdr:rowOff>31750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57588B84-22C4-4559-93F1-064B794977D3}"/>
            </a:ext>
          </a:extLst>
        </xdr:cNvPr>
        <xdr:cNvSpPr txBox="1"/>
      </xdr:nvSpPr>
      <xdr:spPr>
        <a:xfrm>
          <a:off x="502710" y="4344458"/>
          <a:ext cx="597958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6</xdr:col>
      <xdr:colOff>259292</xdr:colOff>
      <xdr:row>0</xdr:row>
      <xdr:rowOff>79373</xdr:rowOff>
    </xdr:from>
    <xdr:to>
      <xdr:col>13</xdr:col>
      <xdr:colOff>269875</xdr:colOff>
      <xdr:row>6</xdr:row>
      <xdr:rowOff>114299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6BD055DB-FE6B-4350-8DB3-93C795EBBEBA}"/>
            </a:ext>
          </a:extLst>
        </xdr:cNvPr>
        <xdr:cNvSpPr txBox="1"/>
      </xdr:nvSpPr>
      <xdr:spPr>
        <a:xfrm>
          <a:off x="4477506" y="79373"/>
          <a:ext cx="5034340" cy="114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MEDIAS TEMPORADA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EFICIENCIA LANZAMIENTOS :                         MEDIA RECUPERACIONES:             MEDIA PÉRDIDAS: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PORCENTAJES PARADAS:                                MEDIA EXCLUSIONES (+):               MEDIA EXCLUSIONES (-):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FAVOR:                                      MEDIA ASISTENCIAS: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CONTRA: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                                                                                                                                                                                   NÚMERO JORNADAS: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804333</xdr:colOff>
      <xdr:row>18</xdr:row>
      <xdr:rowOff>9867</xdr:rowOff>
    </xdr:from>
    <xdr:to>
      <xdr:col>7</xdr:col>
      <xdr:colOff>481332</xdr:colOff>
      <xdr:row>20</xdr:row>
      <xdr:rowOff>25430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05B5907-47A3-4E2D-BEE3-FAE8197F29D7}"/>
            </a:ext>
          </a:extLst>
        </xdr:cNvPr>
        <xdr:cNvSpPr txBox="1"/>
      </xdr:nvSpPr>
      <xdr:spPr>
        <a:xfrm>
          <a:off x="1804458" y="3343617"/>
          <a:ext cx="372512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Paradas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Goles</a:t>
          </a:r>
          <a:r>
            <a:rPr lang="es-ES" sz="12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encajados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8</xdr:col>
      <xdr:colOff>26459</xdr:colOff>
      <xdr:row>6</xdr:row>
      <xdr:rowOff>121709</xdr:rowOff>
    </xdr:from>
    <xdr:to>
      <xdr:col>13</xdr:col>
      <xdr:colOff>301625</xdr:colOff>
      <xdr:row>16</xdr:row>
      <xdr:rowOff>142876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798C245E-F24F-40D3-A631-1CA05441D9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476249</xdr:colOff>
      <xdr:row>4</xdr:row>
      <xdr:rowOff>153458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7B5C7135-E6C1-427F-B37F-444C6E8CF0B6}"/>
            </a:ext>
          </a:extLst>
        </xdr:cNvPr>
        <xdr:cNvSpPr/>
      </xdr:nvSpPr>
      <xdr:spPr>
        <a:xfrm>
          <a:off x="5524499" y="8942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47624</xdr:colOff>
      <xdr:row>17</xdr:row>
      <xdr:rowOff>60244</xdr:rowOff>
    </xdr:from>
    <xdr:to>
      <xdr:col>13</xdr:col>
      <xdr:colOff>296333</xdr:colOff>
      <xdr:row>27</xdr:row>
      <xdr:rowOff>79375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1FE5537D-12A9-467E-90C3-EB45B68F3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</xdr:col>
      <xdr:colOff>719667</xdr:colOff>
      <xdr:row>15</xdr:row>
      <xdr:rowOff>137583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8D55E4BD-133C-4F49-B492-B6AA98ED8A4D}"/>
            </a:ext>
          </a:extLst>
        </xdr:cNvPr>
        <xdr:cNvSpPr/>
      </xdr:nvSpPr>
      <xdr:spPr>
        <a:xfrm>
          <a:off x="5767917" y="2915708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134584</xdr:colOff>
      <xdr:row>1</xdr:row>
      <xdr:rowOff>138774</xdr:rowOff>
    </xdr:from>
    <xdr:to>
      <xdr:col>8</xdr:col>
      <xdr:colOff>647700</xdr:colOff>
      <xdr:row>3</xdr:row>
      <xdr:rowOff>154649</xdr:rowOff>
    </xdr:to>
    <xdr:sp macro="" textlink="Analisis_Equipo!AI7">
      <xdr:nvSpPr>
        <xdr:cNvPr id="52" name="CuadroTexto 51">
          <a:extLst>
            <a:ext uri="{FF2B5EF4-FFF2-40B4-BE49-F238E27FC236}">
              <a16:creationId xmlns:a16="http://schemas.microsoft.com/office/drawing/2014/main" id="{E4065817-500C-4233-8A91-39DB97CAF2B3}"/>
            </a:ext>
          </a:extLst>
        </xdr:cNvPr>
        <xdr:cNvSpPr txBox="1"/>
      </xdr:nvSpPr>
      <xdr:spPr>
        <a:xfrm>
          <a:off x="5963884" y="323831"/>
          <a:ext cx="51311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#¡DIV/0!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365926</xdr:colOff>
      <xdr:row>1</xdr:row>
      <xdr:rowOff>143178</xdr:rowOff>
    </xdr:from>
    <xdr:to>
      <xdr:col>8</xdr:col>
      <xdr:colOff>628917</xdr:colOff>
      <xdr:row>3</xdr:row>
      <xdr:rowOff>10886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F3376BB-F9DA-41D5-8218-0EC825A43474}"/>
            </a:ext>
          </a:extLst>
        </xdr:cNvPr>
        <xdr:cNvSpPr txBox="1"/>
      </xdr:nvSpPr>
      <xdr:spPr>
        <a:xfrm>
          <a:off x="6195226" y="328235"/>
          <a:ext cx="262991" cy="2378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t>%</a:t>
          </a:r>
        </a:p>
      </xdr:txBody>
    </xdr:sp>
    <xdr:clientData/>
  </xdr:twoCellAnchor>
  <xdr:twoCellAnchor>
    <xdr:from>
      <xdr:col>7</xdr:col>
      <xdr:colOff>724958</xdr:colOff>
      <xdr:row>3</xdr:row>
      <xdr:rowOff>21166</xdr:rowOff>
    </xdr:from>
    <xdr:to>
      <xdr:col>8</xdr:col>
      <xdr:colOff>380999</xdr:colOff>
      <xdr:row>4</xdr:row>
      <xdr:rowOff>26459</xdr:rowOff>
    </xdr:to>
    <xdr:sp macro="" textlink="Analisis_Equipo!AI8">
      <xdr:nvSpPr>
        <xdr:cNvPr id="54" name="CuadroTexto 53">
          <a:extLst>
            <a:ext uri="{FF2B5EF4-FFF2-40B4-BE49-F238E27FC236}">
              <a16:creationId xmlns:a16="http://schemas.microsoft.com/office/drawing/2014/main" id="{82E0CD2D-8C0E-4AF2-A446-87AC09A92306}"/>
            </a:ext>
          </a:extLst>
        </xdr:cNvPr>
        <xdr:cNvSpPr txBox="1"/>
      </xdr:nvSpPr>
      <xdr:spPr>
        <a:xfrm>
          <a:off x="5773208" y="576791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780537</xdr:colOff>
      <xdr:row>2</xdr:row>
      <xdr:rowOff>74970</xdr:rowOff>
    </xdr:from>
    <xdr:to>
      <xdr:col>8</xdr:col>
      <xdr:colOff>413657</xdr:colOff>
      <xdr:row>3</xdr:row>
      <xdr:rowOff>64387</xdr:rowOff>
    </xdr:to>
    <xdr:sp macro="" textlink="Analisis_Equipo!AI9">
      <xdr:nvSpPr>
        <xdr:cNvPr id="57" name="CuadroTexto 56">
          <a:extLst>
            <a:ext uri="{FF2B5EF4-FFF2-40B4-BE49-F238E27FC236}">
              <a16:creationId xmlns:a16="http://schemas.microsoft.com/office/drawing/2014/main" id="{9EE1A680-7DC8-4722-A388-7A7FE5C93E77}"/>
            </a:ext>
          </a:extLst>
        </xdr:cNvPr>
        <xdr:cNvSpPr txBox="1"/>
      </xdr:nvSpPr>
      <xdr:spPr>
        <a:xfrm>
          <a:off x="5804294" y="445084"/>
          <a:ext cx="438663" cy="174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#¡DIV/0!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724961</xdr:colOff>
      <xdr:row>3</xdr:row>
      <xdr:rowOff>132294</xdr:rowOff>
    </xdr:from>
    <xdr:to>
      <xdr:col>8</xdr:col>
      <xdr:colOff>381002</xdr:colOff>
      <xdr:row>5</xdr:row>
      <xdr:rowOff>0</xdr:rowOff>
    </xdr:to>
    <xdr:sp macro="" textlink="Analisis_Equipo!AI10">
      <xdr:nvSpPr>
        <xdr:cNvPr id="58" name="CuadroTexto 57">
          <a:extLst>
            <a:ext uri="{FF2B5EF4-FFF2-40B4-BE49-F238E27FC236}">
              <a16:creationId xmlns:a16="http://schemas.microsoft.com/office/drawing/2014/main" id="{C00DE86D-3633-48FE-8976-B1BF6C9DB127}"/>
            </a:ext>
          </a:extLst>
        </xdr:cNvPr>
        <xdr:cNvSpPr txBox="1"/>
      </xdr:nvSpPr>
      <xdr:spPr>
        <a:xfrm>
          <a:off x="5773211" y="687919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199214</xdr:colOff>
      <xdr:row>4</xdr:row>
      <xdr:rowOff>111397</xdr:rowOff>
    </xdr:from>
    <xdr:to>
      <xdr:col>13</xdr:col>
      <xdr:colOff>452895</xdr:colOff>
      <xdr:row>6</xdr:row>
      <xdr:rowOff>127273</xdr:rowOff>
    </xdr:to>
    <xdr:sp macro="" textlink="Analisis_Equipo!AI2">
      <xdr:nvSpPr>
        <xdr:cNvPr id="59" name="CuadroTexto 58">
          <a:extLst>
            <a:ext uri="{FF2B5EF4-FFF2-40B4-BE49-F238E27FC236}">
              <a16:creationId xmlns:a16="http://schemas.microsoft.com/office/drawing/2014/main" id="{CCED2929-4F8E-4DBC-83D5-F1C775826B64}"/>
            </a:ext>
          </a:extLst>
        </xdr:cNvPr>
        <xdr:cNvSpPr txBox="1"/>
      </xdr:nvSpPr>
      <xdr:spPr>
        <a:xfrm>
          <a:off x="10305740" y="821833"/>
          <a:ext cx="465666" cy="371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DF4BABD-88E0-4643-8DE2-2DB467CA4656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117478</xdr:colOff>
      <xdr:row>3</xdr:row>
      <xdr:rowOff>22145</xdr:rowOff>
    </xdr:from>
    <xdr:to>
      <xdr:col>10</xdr:col>
      <xdr:colOff>587828</xdr:colOff>
      <xdr:row>4</xdr:row>
      <xdr:rowOff>33444</xdr:rowOff>
    </xdr:to>
    <xdr:sp macro="" textlink="Analisis_Equipo!AJ11">
      <xdr:nvSpPr>
        <xdr:cNvPr id="60" name="CuadroTexto 59">
          <a:extLst>
            <a:ext uri="{FF2B5EF4-FFF2-40B4-BE49-F238E27FC236}">
              <a16:creationId xmlns:a16="http://schemas.microsoft.com/office/drawing/2014/main" id="{D55C7C4F-824C-4F4C-8F52-94DE8A88BC82}"/>
            </a:ext>
          </a:extLst>
        </xdr:cNvPr>
        <xdr:cNvSpPr txBox="1"/>
      </xdr:nvSpPr>
      <xdr:spPr>
        <a:xfrm>
          <a:off x="7557864" y="577316"/>
          <a:ext cx="470350" cy="196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291539</xdr:colOff>
      <xdr:row>1</xdr:row>
      <xdr:rowOff>131314</xdr:rowOff>
    </xdr:from>
    <xdr:to>
      <xdr:col>10</xdr:col>
      <xdr:colOff>664205</xdr:colOff>
      <xdr:row>3</xdr:row>
      <xdr:rowOff>147189</xdr:rowOff>
    </xdr:to>
    <xdr:sp macro="" textlink="Analisis_Equipo!AJ13">
      <xdr:nvSpPr>
        <xdr:cNvPr id="61" name="CuadroTexto 60">
          <a:extLst>
            <a:ext uri="{FF2B5EF4-FFF2-40B4-BE49-F238E27FC236}">
              <a16:creationId xmlns:a16="http://schemas.microsoft.com/office/drawing/2014/main" id="{D370444F-A612-4AFF-9B8C-FB83A044E5B5}"/>
            </a:ext>
          </a:extLst>
        </xdr:cNvPr>
        <xdr:cNvSpPr txBox="1"/>
      </xdr:nvSpPr>
      <xdr:spPr>
        <a:xfrm>
          <a:off x="7731925" y="316371"/>
          <a:ext cx="37266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587479</xdr:colOff>
      <xdr:row>1</xdr:row>
      <xdr:rowOff>141293</xdr:rowOff>
    </xdr:from>
    <xdr:to>
      <xdr:col>13</xdr:col>
      <xdr:colOff>150144</xdr:colOff>
      <xdr:row>2</xdr:row>
      <xdr:rowOff>134519</xdr:rowOff>
    </xdr:to>
    <xdr:sp macro="" textlink="Analisis_Equipo!AJ12">
      <xdr:nvSpPr>
        <xdr:cNvPr id="62" name="CuadroTexto 61">
          <a:extLst>
            <a:ext uri="{FF2B5EF4-FFF2-40B4-BE49-F238E27FC236}">
              <a16:creationId xmlns:a16="http://schemas.microsoft.com/office/drawing/2014/main" id="{268ABA42-30ED-440D-990F-E4A6DA1CC620}"/>
            </a:ext>
          </a:extLst>
        </xdr:cNvPr>
        <xdr:cNvSpPr txBox="1"/>
      </xdr:nvSpPr>
      <xdr:spPr>
        <a:xfrm>
          <a:off x="8833408" y="326350"/>
          <a:ext cx="558707" cy="1782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252713</xdr:colOff>
      <xdr:row>2</xdr:row>
      <xdr:rowOff>74607</xdr:rowOff>
    </xdr:from>
    <xdr:to>
      <xdr:col>10</xdr:col>
      <xdr:colOff>625379</xdr:colOff>
      <xdr:row>3</xdr:row>
      <xdr:rowOff>74184</xdr:rowOff>
    </xdr:to>
    <xdr:sp macro="" textlink="Analisis_Equipo!AJ14">
      <xdr:nvSpPr>
        <xdr:cNvPr id="63" name="CuadroTexto 62">
          <a:extLst>
            <a:ext uri="{FF2B5EF4-FFF2-40B4-BE49-F238E27FC236}">
              <a16:creationId xmlns:a16="http://schemas.microsoft.com/office/drawing/2014/main" id="{0C63BE56-D3A9-4905-8C3F-1C3524E4B01A}"/>
            </a:ext>
          </a:extLst>
        </xdr:cNvPr>
        <xdr:cNvSpPr txBox="1"/>
      </xdr:nvSpPr>
      <xdr:spPr>
        <a:xfrm>
          <a:off x="7693099" y="444721"/>
          <a:ext cx="372666" cy="184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92289</xdr:colOff>
      <xdr:row>2</xdr:row>
      <xdr:rowOff>78878</xdr:rowOff>
    </xdr:from>
    <xdr:to>
      <xdr:col>13</xdr:col>
      <xdr:colOff>387589</xdr:colOff>
      <xdr:row>4</xdr:row>
      <xdr:rowOff>94754</xdr:rowOff>
    </xdr:to>
    <xdr:sp macro="" textlink="Analisis_Equipo!AJ15">
      <xdr:nvSpPr>
        <xdr:cNvPr id="64" name="CuadroTexto 63">
          <a:extLst>
            <a:ext uri="{FF2B5EF4-FFF2-40B4-BE49-F238E27FC236}">
              <a16:creationId xmlns:a16="http://schemas.microsoft.com/office/drawing/2014/main" id="{7EF59C93-77BF-4528-9451-0531BAAF1EB8}"/>
            </a:ext>
          </a:extLst>
        </xdr:cNvPr>
        <xdr:cNvSpPr txBox="1"/>
      </xdr:nvSpPr>
      <xdr:spPr>
        <a:xfrm>
          <a:off x="9143760" y="448992"/>
          <a:ext cx="485800" cy="3859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169333</xdr:colOff>
      <xdr:row>14</xdr:row>
      <xdr:rowOff>13122</xdr:rowOff>
    </xdr:from>
    <xdr:to>
      <xdr:col>13</xdr:col>
      <xdr:colOff>404811</xdr:colOff>
      <xdr:row>16</xdr:row>
      <xdr:rowOff>28998</xdr:rowOff>
    </xdr:to>
    <xdr:sp macro="" textlink="Analisis_Equipo!AI11">
      <xdr:nvSpPr>
        <xdr:cNvPr id="65" name="CuadroTexto 64">
          <a:extLst>
            <a:ext uri="{FF2B5EF4-FFF2-40B4-BE49-F238E27FC236}">
              <a16:creationId xmlns:a16="http://schemas.microsoft.com/office/drawing/2014/main" id="{A8F145C3-BD68-4CDA-B9F7-1210C2BE5FA8}"/>
            </a:ext>
          </a:extLst>
        </xdr:cNvPr>
        <xdr:cNvSpPr txBox="1"/>
      </xdr:nvSpPr>
      <xdr:spPr>
        <a:xfrm>
          <a:off x="9265708" y="2606039"/>
          <a:ext cx="42597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B689E83-3B85-46ED-AF6A-716D60CDE3AB}" type="TxLink">
            <a:rPr lang="en-US" sz="1100" b="1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800" b="1">
            <a:solidFill>
              <a:srgbClr val="FFFF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103081</xdr:colOff>
      <xdr:row>12</xdr:row>
      <xdr:rowOff>41618</xdr:rowOff>
    </xdr:from>
    <xdr:to>
      <xdr:col>13</xdr:col>
      <xdr:colOff>367770</xdr:colOff>
      <xdr:row>14</xdr:row>
      <xdr:rowOff>57493</xdr:rowOff>
    </xdr:to>
    <xdr:sp macro="" textlink="Analisis_Equipo!AI16">
      <xdr:nvSpPr>
        <xdr:cNvPr id="9" name="CuadroTexto 8">
          <a:extLst>
            <a:ext uri="{FF2B5EF4-FFF2-40B4-BE49-F238E27FC236}">
              <a16:creationId xmlns:a16="http://schemas.microsoft.com/office/drawing/2014/main" id="{EE7283DD-BE1C-421C-B227-3B225C2FF9E8}"/>
            </a:ext>
          </a:extLst>
        </xdr:cNvPr>
        <xdr:cNvSpPr txBox="1"/>
      </xdr:nvSpPr>
      <xdr:spPr>
        <a:xfrm>
          <a:off x="9389956" y="2264118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13CB7DF-A7D9-4E21-A007-6EFFC7E9ED72}" type="TxLink">
            <a:rPr lang="en-US" sz="1100" b="1" i="0" u="none" strike="noStrike" baseline="0">
              <a:solidFill>
                <a:srgbClr val="E9713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800" b="1">
            <a:solidFill>
              <a:srgbClr val="E9713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116417</xdr:colOff>
      <xdr:row>10</xdr:row>
      <xdr:rowOff>58209</xdr:rowOff>
    </xdr:from>
    <xdr:to>
      <xdr:col>13</xdr:col>
      <xdr:colOff>362425</xdr:colOff>
      <xdr:row>12</xdr:row>
      <xdr:rowOff>74084</xdr:rowOff>
    </xdr:to>
    <xdr:sp macro="" textlink="Analisis_Equipo!AI14">
      <xdr:nvSpPr>
        <xdr:cNvPr id="10" name="CuadroTexto 9">
          <a:extLst>
            <a:ext uri="{FF2B5EF4-FFF2-40B4-BE49-F238E27FC236}">
              <a16:creationId xmlns:a16="http://schemas.microsoft.com/office/drawing/2014/main" id="{1A6C3DAC-AC61-46DA-BD93-CF16E70C6160}"/>
            </a:ext>
          </a:extLst>
        </xdr:cNvPr>
        <xdr:cNvSpPr txBox="1"/>
      </xdr:nvSpPr>
      <xdr:spPr>
        <a:xfrm>
          <a:off x="9403292" y="1910292"/>
          <a:ext cx="24600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0C32460-AA25-48C2-9A9D-20A0A0B32137}" type="TxLink">
            <a:rPr lang="en-US" sz="1100" b="1" i="0" u="none" strike="noStrike" baseline="0">
              <a:solidFill>
                <a:srgbClr val="196B24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800" b="1">
            <a:solidFill>
              <a:srgbClr val="196B24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153458</xdr:colOff>
      <xdr:row>8</xdr:row>
      <xdr:rowOff>63499</xdr:rowOff>
    </xdr:from>
    <xdr:to>
      <xdr:col>13</xdr:col>
      <xdr:colOff>362425</xdr:colOff>
      <xdr:row>10</xdr:row>
      <xdr:rowOff>79375</xdr:rowOff>
    </xdr:to>
    <xdr:sp macro="" textlink="Analisis_Equipo!AI13">
      <xdr:nvSpPr>
        <xdr:cNvPr id="11" name="CuadroTexto 10">
          <a:extLst>
            <a:ext uri="{FF2B5EF4-FFF2-40B4-BE49-F238E27FC236}">
              <a16:creationId xmlns:a16="http://schemas.microsoft.com/office/drawing/2014/main" id="{D3F82773-D4CB-45D9-8FDF-AFB0E8057F89}"/>
            </a:ext>
          </a:extLst>
        </xdr:cNvPr>
        <xdr:cNvSpPr txBox="1"/>
      </xdr:nvSpPr>
      <xdr:spPr>
        <a:xfrm>
          <a:off x="9249833" y="1545166"/>
          <a:ext cx="399467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E2B1852-2DA4-435E-84CC-8EDA0FCE9D8F}" type="TxLink">
            <a:rPr lang="en-US" sz="1100" b="1" i="0" u="none" strike="noStrike" baseline="0">
              <a:solidFill>
                <a:srgbClr val="0F9ED5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800" b="1">
            <a:solidFill>
              <a:srgbClr val="0F9ED5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79375</xdr:colOff>
      <xdr:row>24</xdr:row>
      <xdr:rowOff>118956</xdr:rowOff>
    </xdr:from>
    <xdr:to>
      <xdr:col>13</xdr:col>
      <xdr:colOff>418147</xdr:colOff>
      <xdr:row>26</xdr:row>
      <xdr:rowOff>134831</xdr:rowOff>
    </xdr:to>
    <xdr:sp macro="" textlink="Analisis_Equipo!AI17">
      <xdr:nvSpPr>
        <xdr:cNvPr id="12" name="CuadroTexto 11">
          <a:extLst>
            <a:ext uri="{FF2B5EF4-FFF2-40B4-BE49-F238E27FC236}">
              <a16:creationId xmlns:a16="http://schemas.microsoft.com/office/drawing/2014/main" id="{9ABC25E9-D244-4403-A2B7-2BF878225303}"/>
            </a:ext>
          </a:extLst>
        </xdr:cNvPr>
        <xdr:cNvSpPr txBox="1"/>
      </xdr:nvSpPr>
      <xdr:spPr>
        <a:xfrm>
          <a:off x="9366250" y="4563956"/>
          <a:ext cx="338772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FD8E016-9B29-4A9F-AFD2-923995344719}" type="TxLink">
            <a:rPr lang="en-US" sz="1100" b="1" i="0" u="none" strike="noStrike" baseline="0">
              <a:solidFill>
                <a:srgbClr val="A6A6A6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800" b="1">
            <a:solidFill>
              <a:srgbClr val="A6A6A6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79376</xdr:colOff>
      <xdr:row>22</xdr:row>
      <xdr:rowOff>163327</xdr:rowOff>
    </xdr:from>
    <xdr:to>
      <xdr:col>13</xdr:col>
      <xdr:colOff>344065</xdr:colOff>
      <xdr:row>24</xdr:row>
      <xdr:rowOff>179202</xdr:rowOff>
    </xdr:to>
    <xdr:sp macro="" textlink="Analisis_Equipo!AI19">
      <xdr:nvSpPr>
        <xdr:cNvPr id="13" name="CuadroTexto 12">
          <a:extLst>
            <a:ext uri="{FF2B5EF4-FFF2-40B4-BE49-F238E27FC236}">
              <a16:creationId xmlns:a16="http://schemas.microsoft.com/office/drawing/2014/main" id="{FB0B3559-3C36-475F-9D60-EB0D4C2EFBA9}"/>
            </a:ext>
          </a:extLst>
        </xdr:cNvPr>
        <xdr:cNvSpPr txBox="1"/>
      </xdr:nvSpPr>
      <xdr:spPr>
        <a:xfrm>
          <a:off x="9366251" y="4237910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CA9F559-B88C-4F5E-9E29-7968EB874D14}" type="TxLink">
            <a:rPr lang="en-US" sz="1100" b="1" i="0" u="none" strike="noStrike" baseline="0">
              <a:solidFill>
                <a:srgbClr val="E59EDD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800" b="1">
            <a:solidFill>
              <a:srgbClr val="E59EDD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37042</xdr:colOff>
      <xdr:row>20</xdr:row>
      <xdr:rowOff>179917</xdr:rowOff>
    </xdr:from>
    <xdr:to>
      <xdr:col>13</xdr:col>
      <xdr:colOff>386292</xdr:colOff>
      <xdr:row>23</xdr:row>
      <xdr:rowOff>10584</xdr:rowOff>
    </xdr:to>
    <xdr:sp macro="" textlink="Analisis_Equipo!AI18">
      <xdr:nvSpPr>
        <xdr:cNvPr id="16" name="CuadroTexto 15">
          <a:extLst>
            <a:ext uri="{FF2B5EF4-FFF2-40B4-BE49-F238E27FC236}">
              <a16:creationId xmlns:a16="http://schemas.microsoft.com/office/drawing/2014/main" id="{DAB503B6-9CA2-4687-BE08-2D920ACE7650}"/>
            </a:ext>
          </a:extLst>
        </xdr:cNvPr>
        <xdr:cNvSpPr txBox="1"/>
      </xdr:nvSpPr>
      <xdr:spPr>
        <a:xfrm>
          <a:off x="9323917" y="3884084"/>
          <a:ext cx="349250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D20DF34-6A9E-4C92-A423-8108704C317D}" type="TxLink">
            <a:rPr lang="en-US" sz="1100" b="1" i="0" u="none" strike="noStrike" baseline="0">
              <a:solidFill>
                <a:srgbClr val="B4E5A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800" b="1">
            <a:solidFill>
              <a:srgbClr val="B4E5A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47625</xdr:colOff>
      <xdr:row>19</xdr:row>
      <xdr:rowOff>0</xdr:rowOff>
    </xdr:from>
    <xdr:to>
      <xdr:col>13</xdr:col>
      <xdr:colOff>402166</xdr:colOff>
      <xdr:row>21</xdr:row>
      <xdr:rowOff>15875</xdr:rowOff>
    </xdr:to>
    <xdr:sp macro="" textlink="Analisis_Equipo!AI15">
      <xdr:nvSpPr>
        <xdr:cNvPr id="17" name="CuadroTexto 16">
          <a:extLst>
            <a:ext uri="{FF2B5EF4-FFF2-40B4-BE49-F238E27FC236}">
              <a16:creationId xmlns:a16="http://schemas.microsoft.com/office/drawing/2014/main" id="{210EFF0A-DAF6-4144-9C12-608DF69180DC}"/>
            </a:ext>
          </a:extLst>
        </xdr:cNvPr>
        <xdr:cNvSpPr txBox="1"/>
      </xdr:nvSpPr>
      <xdr:spPr>
        <a:xfrm>
          <a:off x="9334500" y="3518958"/>
          <a:ext cx="354541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0E9970F-EDFC-4CD2-B420-64A1184361D5}" type="TxLink">
            <a:rPr lang="en-US" sz="1100" b="1" i="0" u="none" strike="noStrike" baseline="0">
              <a:solidFill>
                <a:srgbClr val="04FCFC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800" b="1">
            <a:solidFill>
              <a:srgbClr val="04FCFC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317290</xdr:colOff>
      <xdr:row>16</xdr:row>
      <xdr:rowOff>163327</xdr:rowOff>
    </xdr:from>
    <xdr:to>
      <xdr:col>2</xdr:col>
      <xdr:colOff>782956</xdr:colOff>
      <xdr:row>18</xdr:row>
      <xdr:rowOff>179202</xdr:rowOff>
    </xdr:to>
    <xdr:sp macro="" textlink="Analisis_Equipo!AM35">
      <xdr:nvSpPr>
        <xdr:cNvPr id="19" name="CuadroTexto 18">
          <a:extLst>
            <a:ext uri="{FF2B5EF4-FFF2-40B4-BE49-F238E27FC236}">
              <a16:creationId xmlns:a16="http://schemas.microsoft.com/office/drawing/2014/main" id="{130C6A38-5335-4B37-A0F6-FC7FF0D151F6}"/>
            </a:ext>
          </a:extLst>
        </xdr:cNvPr>
        <xdr:cNvSpPr txBox="1"/>
      </xdr:nvSpPr>
      <xdr:spPr>
        <a:xfrm>
          <a:off x="1317415" y="312666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accent3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n-US" sz="800" b="1" i="0" u="none" strike="noStrike">
            <a:solidFill>
              <a:schemeClr val="accent3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401051</xdr:colOff>
      <xdr:row>26</xdr:row>
      <xdr:rowOff>85939</xdr:rowOff>
    </xdr:from>
    <xdr:to>
      <xdr:col>13</xdr:col>
      <xdr:colOff>246360</xdr:colOff>
      <xdr:row>28</xdr:row>
      <xdr:rowOff>29660</xdr:rowOff>
    </xdr:to>
    <xdr:sp macro="" textlink="">
      <xdr:nvSpPr>
        <xdr:cNvPr id="55" name="Rectángulo: esquinas redondeadas 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1144091-07D6-4A26-9BF9-74C33FDE5680}"/>
            </a:ext>
          </a:extLst>
        </xdr:cNvPr>
        <xdr:cNvSpPr/>
      </xdr:nvSpPr>
      <xdr:spPr>
        <a:xfrm>
          <a:off x="8668465" y="4852736"/>
          <a:ext cx="842211" cy="31039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97971</xdr:colOff>
      <xdr:row>2</xdr:row>
      <xdr:rowOff>166352</xdr:rowOff>
    </xdr:from>
    <xdr:to>
      <xdr:col>13</xdr:col>
      <xdr:colOff>684389</xdr:colOff>
      <xdr:row>130</xdr:row>
      <xdr:rowOff>114300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503A566-BF65-4D57-A2DA-C9039461277E}"/>
            </a:ext>
          </a:extLst>
        </xdr:cNvPr>
        <xdr:cNvSpPr/>
      </xdr:nvSpPr>
      <xdr:spPr>
        <a:xfrm>
          <a:off x="97971" y="348803"/>
          <a:ext cx="9886038" cy="23301638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10</xdr:col>
      <xdr:colOff>480060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CEB9D76-4496-477D-9D64-D735B0EE416A}"/>
            </a:ext>
          </a:extLst>
        </xdr:cNvPr>
        <xdr:cNvSpPr/>
      </xdr:nvSpPr>
      <xdr:spPr>
        <a:xfrm>
          <a:off x="1199271" y="499056"/>
          <a:ext cx="6766634" cy="601014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38F7A6D-E178-4324-85F7-8FE43A87A3BA}"/>
            </a:ext>
          </a:extLst>
        </xdr:cNvPr>
        <xdr:cNvSpPr/>
      </xdr:nvSpPr>
      <xdr:spPr>
        <a:xfrm>
          <a:off x="1200313" y="1173920"/>
          <a:ext cx="8583463" cy="3848842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781747</xdr:colOff>
      <xdr:row>4</xdr:row>
      <xdr:rowOff>81209</xdr:rowOff>
    </xdr:from>
    <xdr:to>
      <xdr:col>3</xdr:col>
      <xdr:colOff>334027</xdr:colOff>
      <xdr:row>6</xdr:row>
      <xdr:rowOff>75448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53DFBF22-3E1B-4761-A3FB-087BDCAB9281}"/>
            </a:ext>
          </a:extLst>
        </xdr:cNvPr>
        <xdr:cNvSpPr/>
      </xdr:nvSpPr>
      <xdr:spPr>
        <a:xfrm>
          <a:off x="1785226" y="628561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781748</xdr:colOff>
      <xdr:row>4</xdr:row>
      <xdr:rowOff>49584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6B7DFFC8-087D-47F4-B98B-725FAA3AF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85227" y="596936"/>
          <a:ext cx="362576" cy="359141"/>
        </a:xfrm>
        <a:prstGeom prst="rect">
          <a:avLst/>
        </a:prstGeom>
      </xdr:spPr>
    </xdr:pic>
    <xdr:clientData/>
  </xdr:oneCellAnchor>
  <xdr:twoCellAnchor>
    <xdr:from>
      <xdr:col>3</xdr:col>
      <xdr:colOff>311311</xdr:colOff>
      <xdr:row>4</xdr:row>
      <xdr:rowOff>72766</xdr:rowOff>
    </xdr:from>
    <xdr:to>
      <xdr:col>6</xdr:col>
      <xdr:colOff>753271</xdr:colOff>
      <xdr:row>5</xdr:row>
      <xdr:rowOff>148536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31CBD8D-7BFF-47BD-BB99-4CD9748EEDEB}"/>
            </a:ext>
          </a:extLst>
        </xdr:cNvPr>
        <xdr:cNvSpPr txBox="1"/>
      </xdr:nvSpPr>
      <xdr:spPr>
        <a:xfrm>
          <a:off x="2125086" y="620118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311311</xdr:colOff>
      <xdr:row>5</xdr:row>
      <xdr:rowOff>47366</xdr:rowOff>
    </xdr:from>
    <xdr:to>
      <xdr:col>6</xdr:col>
      <xdr:colOff>753271</xdr:colOff>
      <xdr:row>6</xdr:row>
      <xdr:rowOff>123136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CFE008EE-73AD-4812-A74C-17530B36D71E}"/>
            </a:ext>
          </a:extLst>
        </xdr:cNvPr>
        <xdr:cNvSpPr txBox="1"/>
      </xdr:nvSpPr>
      <xdr:spPr>
        <a:xfrm>
          <a:off x="2125086" y="777169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7</xdr:col>
      <xdr:colOff>594360</xdr:colOff>
      <xdr:row>0</xdr:row>
      <xdr:rowOff>28477</xdr:rowOff>
    </xdr:from>
    <xdr:ext cx="2816053" cy="103063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2">
              <a:extLst>
                <a:ext uri="{FF2B5EF4-FFF2-40B4-BE49-F238E27FC236}">
                  <a16:creationId xmlns:a16="http://schemas.microsoft.com/office/drawing/2014/main" id="{BD0C56B2-BC31-4140-B9C9-4FDDB29D7D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9318" y="28477"/>
              <a:ext cx="2816053" cy="1030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7</xdr:col>
      <xdr:colOff>571500</xdr:colOff>
      <xdr:row>1</xdr:row>
      <xdr:rowOff>66040</xdr:rowOff>
    </xdr:from>
    <xdr:to>
      <xdr:col>9</xdr:col>
      <xdr:colOff>55880</xdr:colOff>
      <xdr:row>2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E30F1A2-6409-4A76-A8C5-1F9EF553C0CE}"/>
            </a:ext>
          </a:extLst>
        </xdr:cNvPr>
        <xdr:cNvSpPr txBox="1"/>
      </xdr:nvSpPr>
      <xdr:spPr>
        <a:xfrm>
          <a:off x="560832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11</xdr:col>
      <xdr:colOff>285338</xdr:colOff>
      <xdr:row>0</xdr:row>
      <xdr:rowOff>25329</xdr:rowOff>
    </xdr:from>
    <xdr:ext cx="977656" cy="102644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3">
              <a:extLst>
                <a:ext uri="{FF2B5EF4-FFF2-40B4-BE49-F238E27FC236}">
                  <a16:creationId xmlns:a16="http://schemas.microsoft.com/office/drawing/2014/main" id="{9DAB5243-6F26-4BEB-AE6A-595FAE95A6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81479" y="25329"/>
              <a:ext cx="977656" cy="10264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11</xdr:col>
      <xdr:colOff>249084</xdr:colOff>
      <xdr:row>5</xdr:row>
      <xdr:rowOff>138376</xdr:rowOff>
    </xdr:from>
    <xdr:to>
      <xdr:col>13</xdr:col>
      <xdr:colOff>348144</xdr:colOff>
      <xdr:row>7</xdr:row>
      <xdr:rowOff>32125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DA3A6AA1-8D9D-453B-B62D-15A66256D4D0}"/>
            </a:ext>
          </a:extLst>
        </xdr:cNvPr>
        <xdr:cNvSpPr txBox="1"/>
      </xdr:nvSpPr>
      <xdr:spPr>
        <a:xfrm>
          <a:off x="8545225" y="830615"/>
          <a:ext cx="110253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311853</xdr:colOff>
      <xdr:row>9</xdr:row>
      <xdr:rowOff>48296</xdr:rowOff>
    </xdr:from>
    <xdr:to>
      <xdr:col>13</xdr:col>
      <xdr:colOff>472225</xdr:colOff>
      <xdr:row>28</xdr:row>
      <xdr:rowOff>48296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66CDE3BE-2782-4384-B16A-6255DB9A3553}"/>
            </a:ext>
          </a:extLst>
        </xdr:cNvPr>
        <xdr:cNvGrpSpPr/>
      </xdr:nvGrpSpPr>
      <xdr:grpSpPr>
        <a:xfrm>
          <a:off x="1428022" y="1427409"/>
          <a:ext cx="9390231" cy="3364605"/>
          <a:chOff x="2118304" y="1460317"/>
          <a:chExt cx="5449650" cy="3699018"/>
        </a:xfrm>
      </xdr:grpSpPr>
      <xdr:graphicFrame macro="">
        <xdr:nvGraphicFramePr>
          <xdr:cNvPr id="14" name="G_Lanzamientos" hidden="1">
            <a:extLst>
              <a:ext uri="{FF2B5EF4-FFF2-40B4-BE49-F238E27FC236}">
                <a16:creationId xmlns:a16="http://schemas.microsoft.com/office/drawing/2014/main" id="{63BF85AE-D98F-15E9-7318-CC21C8C3DFD1}"/>
              </a:ext>
            </a:extLst>
          </xdr:cNvPr>
          <xdr:cNvGraphicFramePr>
            <a:graphicFrameLocks/>
          </xdr:cNvGraphicFramePr>
        </xdr:nvGraphicFramePr>
        <xdr:xfrm>
          <a:off x="2212955" y="1460317"/>
          <a:ext cx="5354999" cy="36990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12298874-9A7E-9176-C7D2-69B2A6B8B05B}"/>
              </a:ext>
            </a:extLst>
          </xdr:cNvPr>
          <xdr:cNvSpPr txBox="1"/>
        </xdr:nvSpPr>
        <xdr:spPr>
          <a:xfrm>
            <a:off x="4348710" y="4833278"/>
            <a:ext cx="110944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14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2EAF5F6-B377-2500-917F-7DA06AEFAB97}"/>
              </a:ext>
            </a:extLst>
          </xdr:cNvPr>
          <xdr:cNvSpPr txBox="1"/>
        </xdr:nvSpPr>
        <xdr:spPr>
          <a:xfrm rot="16200000">
            <a:off x="1501804" y="2841114"/>
            <a:ext cx="149207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14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3">
              <a:extLst>
                <a:ext uri="{FF2B5EF4-FFF2-40B4-BE49-F238E27FC236}">
                  <a16:creationId xmlns:a16="http://schemas.microsoft.com/office/drawing/2014/main" id="{FBFFFE15-1398-4691-9A26-3F58ED9D1A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6C4C112-853A-4AAA-920E-4A492B20739F}"/>
            </a:ext>
          </a:extLst>
        </xdr:cNvPr>
        <xdr:cNvSpPr txBox="1"/>
      </xdr:nvSpPr>
      <xdr:spPr>
        <a:xfrm>
          <a:off x="123202" y="321971"/>
          <a:ext cx="110507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3E12BFC0-905C-4A14-9088-AD98E0370165}"/>
            </a:ext>
          </a:extLst>
        </xdr:cNvPr>
        <xdr:cNvSpPr/>
      </xdr:nvSpPr>
      <xdr:spPr>
        <a:xfrm>
          <a:off x="187933" y="4026954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49148</xdr:colOff>
      <xdr:row>24</xdr:row>
      <xdr:rowOff>43760</xdr:rowOff>
    </xdr:from>
    <xdr:to>
      <xdr:col>2</xdr:col>
      <xdr:colOff>767366</xdr:colOff>
      <xdr:row>26</xdr:row>
      <xdr:rowOff>150253</xdr:rowOff>
    </xdr:to>
    <xdr:graphicFrame macro="">
      <xdr:nvGraphicFramePr>
        <xdr:cNvPr id="26" name="G_Lan_T" hidden="1">
          <a:extLst>
            <a:ext uri="{FF2B5EF4-FFF2-40B4-BE49-F238E27FC236}">
              <a16:creationId xmlns:a16="http://schemas.microsoft.com/office/drawing/2014/main" id="{FE089C38-2AE7-48A8-A062-8FE33B58C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7F5E722D-B897-460B-B0B5-117B23AC552A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36" name="G_Eficiencia" hidden="1">
          <a:extLst>
            <a:ext uri="{FF2B5EF4-FFF2-40B4-BE49-F238E27FC236}">
              <a16:creationId xmlns:a16="http://schemas.microsoft.com/office/drawing/2014/main" id="{F2DB41B7-217B-44DC-8005-618CF9685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DDD806E-6067-4C5C-B6F2-7ACE549A56C8}"/>
            </a:ext>
          </a:extLst>
        </xdr:cNvPr>
        <xdr:cNvSpPr txBox="1"/>
      </xdr:nvSpPr>
      <xdr:spPr>
        <a:xfrm>
          <a:off x="5617028" y="9122229"/>
          <a:ext cx="713903" cy="2636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43" name="G_T_Ef" hidden="1">
          <a:extLst>
            <a:ext uri="{FF2B5EF4-FFF2-40B4-BE49-F238E27FC236}">
              <a16:creationId xmlns:a16="http://schemas.microsoft.com/office/drawing/2014/main" id="{71588393-8FD2-4115-9A2A-FDA89F9E0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9" name="G_Acciones_Positivas">
          <a:extLst>
            <a:ext uri="{FF2B5EF4-FFF2-40B4-BE49-F238E27FC236}">
              <a16:creationId xmlns:a16="http://schemas.microsoft.com/office/drawing/2014/main" id="{A4F64B06-8D4B-4E58-BFAE-E01D3DE68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268310</xdr:colOff>
      <xdr:row>7</xdr:row>
      <xdr:rowOff>73849</xdr:rowOff>
    </xdr:from>
    <xdr:to>
      <xdr:col>9</xdr:col>
      <xdr:colOff>756634</xdr:colOff>
      <xdr:row>12</xdr:row>
      <xdr:rowOff>59028</xdr:rowOff>
    </xdr:to>
    <xdr:sp macro="" textlink="$D$2">
      <xdr:nvSpPr>
        <xdr:cNvPr id="39" name="CuadroTexto 38">
          <a:extLst>
            <a:ext uri="{FF2B5EF4-FFF2-40B4-BE49-F238E27FC236}">
              <a16:creationId xmlns:a16="http://schemas.microsoft.com/office/drawing/2014/main" id="{F0F9BC98-1723-4F16-859A-07CBBA6DBA80}"/>
            </a:ext>
          </a:extLst>
        </xdr:cNvPr>
        <xdr:cNvSpPr txBox="1"/>
      </xdr:nvSpPr>
      <xdr:spPr>
        <a:xfrm>
          <a:off x="2892380" y="1125624"/>
          <a:ext cx="4539803" cy="897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C845B5-B66B-4324-BC8D-319BF0D087AD}" type="TxLink">
            <a:rPr lang="en-US" sz="2400" b="1" i="0" u="none" strike="noStrike">
              <a:solidFill>
                <a:srgbClr val="FFFFFF"/>
              </a:solidFill>
              <a:latin typeface="Aptos Narrow"/>
              <a:ea typeface="+mn-ea"/>
              <a:cs typeface="Arial" panose="020B0604020202020204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Acciones positivas</a:t>
          </a:fld>
          <a:endParaRPr lang="es-E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713704</xdr:colOff>
      <xdr:row>27</xdr:row>
      <xdr:rowOff>21466</xdr:rowOff>
    </xdr:to>
    <xdr:graphicFrame macro="">
      <xdr:nvGraphicFramePr>
        <xdr:cNvPr id="44" name="G_Ac_Pos">
          <a:extLst>
            <a:ext uri="{FF2B5EF4-FFF2-40B4-BE49-F238E27FC236}">
              <a16:creationId xmlns:a16="http://schemas.microsoft.com/office/drawing/2014/main" id="{174CD6B3-1216-4C75-952F-A9AE0AA1E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EF36F32-1CB3-4F50-BA27-50F8FBD2FC61}"/>
            </a:ext>
          </a:extLst>
        </xdr:cNvPr>
        <xdr:cNvSpPr txBox="1"/>
      </xdr:nvSpPr>
      <xdr:spPr>
        <a:xfrm>
          <a:off x="167532" y="3935646"/>
          <a:ext cx="1145576" cy="326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32" name="G_Acciones_negativas" hidden="1">
          <a:extLst>
            <a:ext uri="{FF2B5EF4-FFF2-40B4-BE49-F238E27FC236}">
              <a16:creationId xmlns:a16="http://schemas.microsoft.com/office/drawing/2014/main" id="{8DF30380-FD51-4691-959B-F285DA9EF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45" name="G_Ac_Neg" hidden="1">
          <a:extLst>
            <a:ext uri="{FF2B5EF4-FFF2-40B4-BE49-F238E27FC236}">
              <a16:creationId xmlns:a16="http://schemas.microsoft.com/office/drawing/2014/main" id="{22EE216C-D13E-4FC8-87B4-0E1077DCD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440027</xdr:colOff>
      <xdr:row>26</xdr:row>
      <xdr:rowOff>96591</xdr:rowOff>
    </xdr:from>
    <xdr:to>
      <xdr:col>13</xdr:col>
      <xdr:colOff>273676</xdr:colOff>
      <xdr:row>28</xdr:row>
      <xdr:rowOff>41361</xdr:rowOff>
    </xdr:to>
    <xdr:sp macro="" textlink="">
      <xdr:nvSpPr>
        <xdr:cNvPr id="15" name="Rectángulo: esquinas redondeada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0CE4654-E43C-5046-A43F-BF61865EA1F2}"/>
            </a:ext>
          </a:extLst>
        </xdr:cNvPr>
        <xdr:cNvSpPr/>
      </xdr:nvSpPr>
      <xdr:spPr>
        <a:xfrm>
          <a:off x="8736168" y="4614929"/>
          <a:ext cx="837128" cy="3096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130168</xdr:colOff>
      <xdr:row>2</xdr:row>
      <xdr:rowOff>69759</xdr:rowOff>
    </xdr:from>
    <xdr:to>
      <xdr:col>13</xdr:col>
      <xdr:colOff>716586</xdr:colOff>
      <xdr:row>128</xdr:row>
      <xdr:rowOff>162809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B6FB23-3B9A-4C46-A463-3A2F38AFF361}"/>
            </a:ext>
          </a:extLst>
        </xdr:cNvPr>
        <xdr:cNvSpPr/>
      </xdr:nvSpPr>
      <xdr:spPr>
        <a:xfrm>
          <a:off x="130168" y="311238"/>
          <a:ext cx="9886038" cy="2297451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6</xdr:col>
      <xdr:colOff>279042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A910D9E-78FC-41DE-8DF5-A5DBECC34B59}"/>
            </a:ext>
          </a:extLst>
        </xdr:cNvPr>
        <xdr:cNvSpPr/>
      </xdr:nvSpPr>
      <xdr:spPr>
        <a:xfrm>
          <a:off x="1199271" y="450761"/>
          <a:ext cx="3324433" cy="601013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91573F0-A4D5-4CCC-9C3C-C532D0923CC7}"/>
            </a:ext>
          </a:extLst>
        </xdr:cNvPr>
        <xdr:cNvSpPr/>
      </xdr:nvSpPr>
      <xdr:spPr>
        <a:xfrm>
          <a:off x="1200313" y="1130991"/>
          <a:ext cx="8583463" cy="3848841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298790</xdr:colOff>
      <xdr:row>4</xdr:row>
      <xdr:rowOff>81210</xdr:rowOff>
    </xdr:from>
    <xdr:to>
      <xdr:col>2</xdr:col>
      <xdr:colOff>661366</xdr:colOff>
      <xdr:row>6</xdr:row>
      <xdr:rowOff>75449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0280EA2-4D72-45A5-8719-166BBBA747AC}"/>
            </a:ext>
          </a:extLst>
        </xdr:cNvPr>
        <xdr:cNvSpPr/>
      </xdr:nvSpPr>
      <xdr:spPr>
        <a:xfrm>
          <a:off x="1302269" y="580266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298790</xdr:colOff>
      <xdr:row>4</xdr:row>
      <xdr:rowOff>65682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442B55D-1994-4968-AA83-F9E47418A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2269" y="564738"/>
          <a:ext cx="362576" cy="359141"/>
        </a:xfrm>
        <a:prstGeom prst="rect">
          <a:avLst/>
        </a:prstGeom>
      </xdr:spPr>
    </xdr:pic>
    <xdr:clientData/>
  </xdr:oneCellAnchor>
  <xdr:twoCellAnchor>
    <xdr:from>
      <xdr:col>2</xdr:col>
      <xdr:colOff>665480</xdr:colOff>
      <xdr:row>4</xdr:row>
      <xdr:rowOff>56667</xdr:rowOff>
    </xdr:from>
    <xdr:to>
      <xdr:col>6</xdr:col>
      <xdr:colOff>297144</xdr:colOff>
      <xdr:row>5</xdr:row>
      <xdr:rowOff>132437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E6852069-992A-46E1-94D4-B2D037094441}"/>
            </a:ext>
          </a:extLst>
        </xdr:cNvPr>
        <xdr:cNvSpPr txBox="1"/>
      </xdr:nvSpPr>
      <xdr:spPr>
        <a:xfrm>
          <a:off x="1668959" y="555723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660114</xdr:colOff>
      <xdr:row>5</xdr:row>
      <xdr:rowOff>74197</xdr:rowOff>
    </xdr:from>
    <xdr:to>
      <xdr:col>6</xdr:col>
      <xdr:colOff>291778</xdr:colOff>
      <xdr:row>6</xdr:row>
      <xdr:rowOff>149967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2709999-A554-4596-A9CE-8FDCB3A640EF}"/>
            </a:ext>
          </a:extLst>
        </xdr:cNvPr>
        <xdr:cNvSpPr txBox="1"/>
      </xdr:nvSpPr>
      <xdr:spPr>
        <a:xfrm>
          <a:off x="1663593" y="755704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2025/2026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rival 4">
              <a:extLst>
                <a:ext uri="{FF2B5EF4-FFF2-40B4-BE49-F238E27FC236}">
                  <a16:creationId xmlns:a16="http://schemas.microsoft.com/office/drawing/2014/main" id="{C6713775-DA04-4822-A0F3-B1DE23793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8AFCBB1B-1443-4B44-A55D-B2A4D4561BEB}"/>
            </a:ext>
          </a:extLst>
        </xdr:cNvPr>
        <xdr:cNvSpPr txBox="1"/>
      </xdr:nvSpPr>
      <xdr:spPr>
        <a:xfrm>
          <a:off x="123202" y="322400"/>
          <a:ext cx="1099820" cy="2137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66A1C97D-F473-4DB0-9FCA-8921B58330F4}"/>
            </a:ext>
          </a:extLst>
        </xdr:cNvPr>
        <xdr:cNvSpPr/>
      </xdr:nvSpPr>
      <xdr:spPr>
        <a:xfrm>
          <a:off x="187933" y="3978659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C6FE71D8-5C04-4A7F-9096-67AE563CAD59}"/>
            </a:ext>
          </a:extLst>
        </xdr:cNvPr>
        <xdr:cNvSpPr txBox="1"/>
      </xdr:nvSpPr>
      <xdr:spPr>
        <a:xfrm>
          <a:off x="6309997" y="109847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22" name="G_Eficiencia" hidden="1">
          <a:extLst>
            <a:ext uri="{FF2B5EF4-FFF2-40B4-BE49-F238E27FC236}">
              <a16:creationId xmlns:a16="http://schemas.microsoft.com/office/drawing/2014/main" id="{39070BEB-E955-4C59-8EA6-BF9BCB56C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F141705C-B8E0-4C2E-BA0C-F1ACF28C61F1}"/>
            </a:ext>
          </a:extLst>
        </xdr:cNvPr>
        <xdr:cNvSpPr txBox="1"/>
      </xdr:nvSpPr>
      <xdr:spPr>
        <a:xfrm>
          <a:off x="5630091" y="8969829"/>
          <a:ext cx="716080" cy="261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24" name="G_T_Ef" hidden="1">
          <a:extLst>
            <a:ext uri="{FF2B5EF4-FFF2-40B4-BE49-F238E27FC236}">
              <a16:creationId xmlns:a16="http://schemas.microsoft.com/office/drawing/2014/main" id="{A16E3E51-09F9-4CE9-A1BA-448E10C21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5" name="G_Acciones_Positivas" hidden="1">
          <a:extLst>
            <a:ext uri="{FF2B5EF4-FFF2-40B4-BE49-F238E27FC236}">
              <a16:creationId xmlns:a16="http://schemas.microsoft.com/office/drawing/2014/main" id="{7A52BFD2-8B54-4229-A1D9-4604D57AF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472226</xdr:colOff>
      <xdr:row>27</xdr:row>
      <xdr:rowOff>21466</xdr:rowOff>
    </xdr:to>
    <xdr:graphicFrame macro="">
      <xdr:nvGraphicFramePr>
        <xdr:cNvPr id="27" name="G_Ac_Pos" hidden="1">
          <a:extLst>
            <a:ext uri="{FF2B5EF4-FFF2-40B4-BE49-F238E27FC236}">
              <a16:creationId xmlns:a16="http://schemas.microsoft.com/office/drawing/2014/main" id="{5E1D86EB-F4A3-4831-9C14-61C2D9590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2CCA275F-84FE-4B2E-9FB7-96019265246A}"/>
            </a:ext>
          </a:extLst>
        </xdr:cNvPr>
        <xdr:cNvSpPr txBox="1"/>
      </xdr:nvSpPr>
      <xdr:spPr>
        <a:xfrm>
          <a:off x="167532" y="3898941"/>
          <a:ext cx="1140317" cy="3276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29" name="G_Acciones_negativas" hidden="1">
          <a:extLst>
            <a:ext uri="{FF2B5EF4-FFF2-40B4-BE49-F238E27FC236}">
              <a16:creationId xmlns:a16="http://schemas.microsoft.com/office/drawing/2014/main" id="{4EA42724-31FA-4E28-9415-2DF48F951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30" name="G_Ac_Neg" hidden="1">
          <a:extLst>
            <a:ext uri="{FF2B5EF4-FFF2-40B4-BE49-F238E27FC236}">
              <a16:creationId xmlns:a16="http://schemas.microsoft.com/office/drawing/2014/main" id="{EC42A794-8D0D-4D06-AF48-FD8624F94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450760</xdr:colOff>
      <xdr:row>7</xdr:row>
      <xdr:rowOff>127298</xdr:rowOff>
    </xdr:from>
    <xdr:to>
      <xdr:col>13</xdr:col>
      <xdr:colOff>418563</xdr:colOff>
      <xdr:row>28</xdr:row>
      <xdr:rowOff>53662</xdr:rowOff>
    </xdr:to>
    <xdr:graphicFrame macro="">
      <xdr:nvGraphicFramePr>
        <xdr:cNvPr id="31" name="eficiencia_equipo">
          <a:extLst>
            <a:ext uri="{FF2B5EF4-FFF2-40B4-BE49-F238E27FC236}">
              <a16:creationId xmlns:a16="http://schemas.microsoft.com/office/drawing/2014/main" id="{25E6826A-07C4-4B5B-B57F-5204961D9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41324</xdr:colOff>
      <xdr:row>15</xdr:row>
      <xdr:rowOff>155620</xdr:rowOff>
    </xdr:from>
    <xdr:to>
      <xdr:col>2</xdr:col>
      <xdr:colOff>531258</xdr:colOff>
      <xdr:row>19</xdr:row>
      <xdr:rowOff>116834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A8CD9C87-A240-4A3C-87DD-1A902DBFD5C3}"/>
            </a:ext>
          </a:extLst>
        </xdr:cNvPr>
        <xdr:cNvSpPr txBox="1"/>
      </xdr:nvSpPr>
      <xdr:spPr>
        <a:xfrm rot="16200000">
          <a:off x="944261" y="2767542"/>
          <a:ext cx="691017" cy="4899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187932</xdr:colOff>
      <xdr:row>24</xdr:row>
      <xdr:rowOff>26830</xdr:rowOff>
    </xdr:from>
    <xdr:to>
      <xdr:col>2</xdr:col>
      <xdr:colOff>466858</xdr:colOff>
      <xdr:row>26</xdr:row>
      <xdr:rowOff>177084</xdr:rowOff>
    </xdr:to>
    <xdr:graphicFrame macro="">
      <xdr:nvGraphicFramePr>
        <xdr:cNvPr id="9" name="eficiencia_equipo_T">
          <a:extLst>
            <a:ext uri="{FF2B5EF4-FFF2-40B4-BE49-F238E27FC236}">
              <a16:creationId xmlns:a16="http://schemas.microsoft.com/office/drawing/2014/main" id="{89449261-BD52-47DB-851D-A4A353EDA9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252211</xdr:colOff>
      <xdr:row>7</xdr:row>
      <xdr:rowOff>118057</xdr:rowOff>
    </xdr:from>
    <xdr:to>
      <xdr:col>13</xdr:col>
      <xdr:colOff>423928</xdr:colOff>
      <xdr:row>28</xdr:row>
      <xdr:rowOff>26830</xdr:rowOff>
    </xdr:to>
    <xdr:graphicFrame macro="">
      <xdr:nvGraphicFramePr>
        <xdr:cNvPr id="10" name="positivas_equipo" hidden="1">
          <a:extLst>
            <a:ext uri="{FF2B5EF4-FFF2-40B4-BE49-F238E27FC236}">
              <a16:creationId xmlns:a16="http://schemas.microsoft.com/office/drawing/2014/main" id="{64ADA822-0E20-4EB1-AD0B-73ACA38B0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26832</xdr:colOff>
      <xdr:row>24</xdr:row>
      <xdr:rowOff>10733</xdr:rowOff>
    </xdr:from>
    <xdr:to>
      <xdr:col>2</xdr:col>
      <xdr:colOff>541986</xdr:colOff>
      <xdr:row>26</xdr:row>
      <xdr:rowOff>166352</xdr:rowOff>
    </xdr:to>
    <xdr:graphicFrame macro="">
      <xdr:nvGraphicFramePr>
        <xdr:cNvPr id="11" name="positivas_T" hidden="1">
          <a:extLst>
            <a:ext uri="{FF2B5EF4-FFF2-40B4-BE49-F238E27FC236}">
              <a16:creationId xmlns:a16="http://schemas.microsoft.com/office/drawing/2014/main" id="{42235202-12BC-4A63-A763-D03AFEB68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279042</xdr:colOff>
      <xdr:row>7</xdr:row>
      <xdr:rowOff>84582</xdr:rowOff>
    </xdr:from>
    <xdr:to>
      <xdr:col>13</xdr:col>
      <xdr:colOff>413197</xdr:colOff>
      <xdr:row>28</xdr:row>
      <xdr:rowOff>0</xdr:rowOff>
    </xdr:to>
    <xdr:graphicFrame macro="">
      <xdr:nvGraphicFramePr>
        <xdr:cNvPr id="12" name="negativas_equipo" hidden="1">
          <a:extLst>
            <a:ext uri="{FF2B5EF4-FFF2-40B4-BE49-F238E27FC236}">
              <a16:creationId xmlns:a16="http://schemas.microsoft.com/office/drawing/2014/main" id="{64A812D5-E9EF-433D-9A7A-E5CDDF4F8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5483</xdr:colOff>
      <xdr:row>24</xdr:row>
      <xdr:rowOff>13040</xdr:rowOff>
    </xdr:from>
    <xdr:to>
      <xdr:col>2</xdr:col>
      <xdr:colOff>499057</xdr:colOff>
      <xdr:row>26</xdr:row>
      <xdr:rowOff>177084</xdr:rowOff>
    </xdr:to>
    <xdr:graphicFrame macro="">
      <xdr:nvGraphicFramePr>
        <xdr:cNvPr id="13" name="negativas_T" hidden="1">
          <a:extLst>
            <a:ext uri="{FF2B5EF4-FFF2-40B4-BE49-F238E27FC236}">
              <a16:creationId xmlns:a16="http://schemas.microsoft.com/office/drawing/2014/main" id="{11F5BA0D-F216-45E9-9B27-9240E2BD5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457506</xdr:colOff>
      <xdr:row>3</xdr:row>
      <xdr:rowOff>37563</xdr:rowOff>
    </xdr:from>
    <xdr:to>
      <xdr:col>12</xdr:col>
      <xdr:colOff>5366</xdr:colOff>
      <xdr:row>7</xdr:row>
      <xdr:rowOff>59029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A6B45FE8-EB7B-4B76-B609-8AEF374FE507}"/>
            </a:ext>
          </a:extLst>
        </xdr:cNvPr>
        <xdr:cNvSpPr/>
      </xdr:nvSpPr>
      <xdr:spPr>
        <a:xfrm>
          <a:off x="4702168" y="354169"/>
          <a:ext cx="4409635" cy="751268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419942</xdr:colOff>
      <xdr:row>3</xdr:row>
      <xdr:rowOff>5366</xdr:rowOff>
    </xdr:from>
    <xdr:to>
      <xdr:col>12</xdr:col>
      <xdr:colOff>48295</xdr:colOff>
      <xdr:row>7</xdr:row>
      <xdr:rowOff>123423</xdr:rowOff>
    </xdr:to>
    <xdr:sp macro="" textlink="">
      <xdr:nvSpPr>
        <xdr:cNvPr id="15" name="CuadroTextoGoles">
          <a:extLst>
            <a:ext uri="{FF2B5EF4-FFF2-40B4-BE49-F238E27FC236}">
              <a16:creationId xmlns:a16="http://schemas.microsoft.com/office/drawing/2014/main" id="{1FDEC871-3DE7-4F13-9AE1-411EEFF88EB5}"/>
            </a:ext>
          </a:extLst>
        </xdr:cNvPr>
        <xdr:cNvSpPr txBox="1"/>
      </xdr:nvSpPr>
      <xdr:spPr>
        <a:xfrm>
          <a:off x="4664604" y="321972"/>
          <a:ext cx="4490128" cy="847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                                             </a:t>
          </a:r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 Temporada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Lanzamientos realizados:               Goles realizados:               % eficiencia: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Paradas realizadas                         Goles Encajados:               % paradas: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Recuperaciones:                            Asistencias:                       Exclusiones +: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Pérdidas:                                                                              Exclusiones -: 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                    </a:t>
          </a: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  <a:p>
          <a:pPr algn="l"/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135531</xdr:colOff>
      <xdr:row>5</xdr:row>
      <xdr:rowOff>91225</xdr:rowOff>
    </xdr:from>
    <xdr:to>
      <xdr:col>8</xdr:col>
      <xdr:colOff>649308</xdr:colOff>
      <xdr:row>6</xdr:row>
      <xdr:rowOff>112690</xdr:rowOff>
    </xdr:to>
    <xdr:sp macro="" textlink="Analisis_Equipo!AJ13">
      <xdr:nvSpPr>
        <xdr:cNvPr id="16" name="CuadroTexto 15">
          <a:extLst>
            <a:ext uri="{FF2B5EF4-FFF2-40B4-BE49-F238E27FC236}">
              <a16:creationId xmlns:a16="http://schemas.microsoft.com/office/drawing/2014/main" id="{E437F589-C776-47E1-A2E5-B083004C1D7A}"/>
            </a:ext>
          </a:extLst>
        </xdr:cNvPr>
        <xdr:cNvSpPr txBox="1"/>
      </xdr:nvSpPr>
      <xdr:spPr>
        <a:xfrm>
          <a:off x="6000785" y="772732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</a:endParaRPr>
        </a:p>
      </xdr:txBody>
    </xdr:sp>
    <xdr:clientData/>
  </xdr:twoCellAnchor>
  <xdr:twoCellAnchor>
    <xdr:from>
      <xdr:col>11</xdr:col>
      <xdr:colOff>414576</xdr:colOff>
      <xdr:row>4</xdr:row>
      <xdr:rowOff>16098</xdr:rowOff>
    </xdr:from>
    <xdr:to>
      <xdr:col>12</xdr:col>
      <xdr:colOff>85858</xdr:colOff>
      <xdr:row>5</xdr:row>
      <xdr:rowOff>32198</xdr:rowOff>
    </xdr:to>
    <xdr:sp macro="" textlink="Analisis_Equipo!AI7">
      <xdr:nvSpPr>
        <xdr:cNvPr id="26" name="CuadroTexto 25">
          <a:extLst>
            <a:ext uri="{FF2B5EF4-FFF2-40B4-BE49-F238E27FC236}">
              <a16:creationId xmlns:a16="http://schemas.microsoft.com/office/drawing/2014/main" id="{DDD18F7E-6DE3-4F9A-87B7-1BB9E4C53F4B}"/>
            </a:ext>
          </a:extLst>
        </xdr:cNvPr>
        <xdr:cNvSpPr txBox="1"/>
      </xdr:nvSpPr>
      <xdr:spPr>
        <a:xfrm>
          <a:off x="8710717" y="515154"/>
          <a:ext cx="481578" cy="198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#¡DIV/0!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489704</xdr:colOff>
      <xdr:row>5</xdr:row>
      <xdr:rowOff>64394</xdr:rowOff>
    </xdr:from>
    <xdr:to>
      <xdr:col>12</xdr:col>
      <xdr:colOff>145074</xdr:colOff>
      <xdr:row>6</xdr:row>
      <xdr:rowOff>66728</xdr:rowOff>
    </xdr:to>
    <xdr:sp macro="" textlink="Analisis_Equipo!AJ14">
      <xdr:nvSpPr>
        <xdr:cNvPr id="32" name="CuadroTexto 31">
          <a:extLst>
            <a:ext uri="{FF2B5EF4-FFF2-40B4-BE49-F238E27FC236}">
              <a16:creationId xmlns:a16="http://schemas.microsoft.com/office/drawing/2014/main" id="{0EB315F4-F9ED-4A76-99B6-0C78477FE5F4}"/>
            </a:ext>
          </a:extLst>
        </xdr:cNvPr>
        <xdr:cNvSpPr txBox="1"/>
      </xdr:nvSpPr>
      <xdr:spPr>
        <a:xfrm>
          <a:off x="8785845" y="745901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495068</xdr:colOff>
      <xdr:row>6</xdr:row>
      <xdr:rowOff>21465</xdr:rowOff>
    </xdr:from>
    <xdr:to>
      <xdr:col>12</xdr:col>
      <xdr:colOff>80493</xdr:colOff>
      <xdr:row>7</xdr:row>
      <xdr:rowOff>48296</xdr:rowOff>
    </xdr:to>
    <xdr:sp macro="" textlink="Analisis_Equipo!AJ15">
      <xdr:nvSpPr>
        <xdr:cNvPr id="35" name="CuadroTexto 34">
          <a:extLst>
            <a:ext uri="{FF2B5EF4-FFF2-40B4-BE49-F238E27FC236}">
              <a16:creationId xmlns:a16="http://schemas.microsoft.com/office/drawing/2014/main" id="{C0E90639-7D3A-47DE-ABD1-B93523BEFCDA}"/>
            </a:ext>
          </a:extLst>
        </xdr:cNvPr>
        <xdr:cNvSpPr txBox="1"/>
      </xdr:nvSpPr>
      <xdr:spPr>
        <a:xfrm>
          <a:off x="8791209" y="885423"/>
          <a:ext cx="395721" cy="209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409208</xdr:colOff>
      <xdr:row>4</xdr:row>
      <xdr:rowOff>139521</xdr:rowOff>
    </xdr:from>
    <xdr:to>
      <xdr:col>13</xdr:col>
      <xdr:colOff>8979</xdr:colOff>
      <xdr:row>5</xdr:row>
      <xdr:rowOff>131695</xdr:rowOff>
    </xdr:to>
    <xdr:sp macro="" textlink="Analisis_Equipo!AI9">
      <xdr:nvSpPr>
        <xdr:cNvPr id="36" name="CuadroTexto 35">
          <a:extLst>
            <a:ext uri="{FF2B5EF4-FFF2-40B4-BE49-F238E27FC236}">
              <a16:creationId xmlns:a16="http://schemas.microsoft.com/office/drawing/2014/main" id="{0C1F1135-2D44-4BE6-858C-83350EE85354}"/>
            </a:ext>
          </a:extLst>
        </xdr:cNvPr>
        <xdr:cNvSpPr txBox="1"/>
      </xdr:nvSpPr>
      <xdr:spPr>
        <a:xfrm>
          <a:off x="8705349" y="638577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#¡DIV/0!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741914</xdr:colOff>
      <xdr:row>4</xdr:row>
      <xdr:rowOff>144887</xdr:rowOff>
    </xdr:from>
    <xdr:to>
      <xdr:col>10</xdr:col>
      <xdr:colOff>397284</xdr:colOff>
      <xdr:row>6</xdr:row>
      <xdr:rowOff>18108</xdr:rowOff>
    </xdr:to>
    <xdr:sp macro="" textlink="Analisis_Equipo!AI10">
      <xdr:nvSpPr>
        <xdr:cNvPr id="37" name="CuadroTexto 36">
          <a:extLst>
            <a:ext uri="{FF2B5EF4-FFF2-40B4-BE49-F238E27FC236}">
              <a16:creationId xmlns:a16="http://schemas.microsoft.com/office/drawing/2014/main" id="{EE3382E0-F961-439E-9DFF-6D33F7C5871B}"/>
            </a:ext>
          </a:extLst>
        </xdr:cNvPr>
        <xdr:cNvSpPr txBox="1"/>
      </xdr:nvSpPr>
      <xdr:spPr>
        <a:xfrm>
          <a:off x="7417463" y="643943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747281</xdr:colOff>
      <xdr:row>4</xdr:row>
      <xdr:rowOff>5367</xdr:rowOff>
    </xdr:from>
    <xdr:to>
      <xdr:col>10</xdr:col>
      <xdr:colOff>402651</xdr:colOff>
      <xdr:row>5</xdr:row>
      <xdr:rowOff>13417</xdr:rowOff>
    </xdr:to>
    <xdr:sp macro="" textlink="Analisis_Equipo!AI8">
      <xdr:nvSpPr>
        <xdr:cNvPr id="38" name="CuadroTexto 37">
          <a:extLst>
            <a:ext uri="{FF2B5EF4-FFF2-40B4-BE49-F238E27FC236}">
              <a16:creationId xmlns:a16="http://schemas.microsoft.com/office/drawing/2014/main" id="{F7D0B73B-2F02-41A7-AF65-B834B452DDF5}"/>
            </a:ext>
          </a:extLst>
        </xdr:cNvPr>
        <xdr:cNvSpPr txBox="1"/>
      </xdr:nvSpPr>
      <xdr:spPr>
        <a:xfrm>
          <a:off x="7422830" y="504423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194562</xdr:colOff>
      <xdr:row>6</xdr:row>
      <xdr:rowOff>26832</xdr:rowOff>
    </xdr:from>
    <xdr:to>
      <xdr:col>8</xdr:col>
      <xdr:colOff>660228</xdr:colOff>
      <xdr:row>7</xdr:row>
      <xdr:rowOff>75128</xdr:rowOff>
    </xdr:to>
    <xdr:sp macro="" textlink="Analisis_Equipo!AJ12">
      <xdr:nvSpPr>
        <xdr:cNvPr id="39" name="CuadroTexto 38">
          <a:extLst>
            <a:ext uri="{FF2B5EF4-FFF2-40B4-BE49-F238E27FC236}">
              <a16:creationId xmlns:a16="http://schemas.microsoft.com/office/drawing/2014/main" id="{EB959489-2456-4511-BA08-75AC7484211F}"/>
            </a:ext>
          </a:extLst>
        </xdr:cNvPr>
        <xdr:cNvSpPr txBox="1"/>
      </xdr:nvSpPr>
      <xdr:spPr>
        <a:xfrm>
          <a:off x="6059816" y="890790"/>
          <a:ext cx="465666" cy="23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747280</xdr:colOff>
      <xdr:row>5</xdr:row>
      <xdr:rowOff>96590</xdr:rowOff>
    </xdr:from>
    <xdr:to>
      <xdr:col>10</xdr:col>
      <xdr:colOff>402650</xdr:colOff>
      <xdr:row>6</xdr:row>
      <xdr:rowOff>110646</xdr:rowOff>
    </xdr:to>
    <xdr:sp macro="" textlink="Analisis_Equipo!AJ11">
      <xdr:nvSpPr>
        <xdr:cNvPr id="40" name="CuadroTexto 39">
          <a:extLst>
            <a:ext uri="{FF2B5EF4-FFF2-40B4-BE49-F238E27FC236}">
              <a16:creationId xmlns:a16="http://schemas.microsoft.com/office/drawing/2014/main" id="{D26AE5F9-64F9-4ED3-9807-87BA052CCE5E}"/>
            </a:ext>
          </a:extLst>
        </xdr:cNvPr>
        <xdr:cNvSpPr txBox="1"/>
      </xdr:nvSpPr>
      <xdr:spPr>
        <a:xfrm>
          <a:off x="7422829" y="778097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146266</xdr:colOff>
      <xdr:row>4</xdr:row>
      <xdr:rowOff>21465</xdr:rowOff>
    </xdr:from>
    <xdr:to>
      <xdr:col>8</xdr:col>
      <xdr:colOff>660043</xdr:colOff>
      <xdr:row>5</xdr:row>
      <xdr:rowOff>42930</xdr:rowOff>
    </xdr:to>
    <xdr:sp macro="" textlink="Analisis_Equipo!AJ6">
      <xdr:nvSpPr>
        <xdr:cNvPr id="20" name="CuadroTexto 19">
          <a:extLst>
            <a:ext uri="{FF2B5EF4-FFF2-40B4-BE49-F238E27FC236}">
              <a16:creationId xmlns:a16="http://schemas.microsoft.com/office/drawing/2014/main" id="{080A5175-CDE8-4811-8227-1D0EFF8CC18E}"/>
            </a:ext>
          </a:extLst>
        </xdr:cNvPr>
        <xdr:cNvSpPr txBox="1"/>
      </xdr:nvSpPr>
      <xdr:spPr>
        <a:xfrm>
          <a:off x="6011520" y="520521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C8C209B-CB9D-4F51-B11F-42D8257B8E5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146265</xdr:colOff>
      <xdr:row>4</xdr:row>
      <xdr:rowOff>144888</xdr:rowOff>
    </xdr:from>
    <xdr:to>
      <xdr:col>8</xdr:col>
      <xdr:colOff>660042</xdr:colOff>
      <xdr:row>5</xdr:row>
      <xdr:rowOff>166353</xdr:rowOff>
    </xdr:to>
    <xdr:sp macro="" textlink="Analisis_Equipo!AJ5">
      <xdr:nvSpPr>
        <xdr:cNvPr id="34" name="CuadroTexto 33">
          <a:extLst>
            <a:ext uri="{FF2B5EF4-FFF2-40B4-BE49-F238E27FC236}">
              <a16:creationId xmlns:a16="http://schemas.microsoft.com/office/drawing/2014/main" id="{1FEEA08E-9584-4DAE-9121-1E79BB1022B4}"/>
            </a:ext>
          </a:extLst>
        </xdr:cNvPr>
        <xdr:cNvSpPr txBox="1"/>
      </xdr:nvSpPr>
      <xdr:spPr>
        <a:xfrm>
          <a:off x="6011519" y="643944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56CAEA-9DE3-4720-9D49-F708652B6C5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B062C71-AFAE-4430-94B9-0771885AE96E}"/>
            </a:ext>
          </a:extLst>
        </xdr:cNvPr>
        <xdr:cNvSpPr/>
      </xdr:nvSpPr>
      <xdr:spPr>
        <a:xfrm>
          <a:off x="31540" y="41618"/>
          <a:ext cx="10730441" cy="4843860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44766428-E2A0-45CB-9FDA-36FC34C17FA0}"/>
            </a:ext>
          </a:extLst>
        </xdr:cNvPr>
        <xdr:cNvSpPr/>
      </xdr:nvSpPr>
      <xdr:spPr>
        <a:xfrm>
          <a:off x="1308312" y="66040"/>
          <a:ext cx="7477548" cy="98552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3F4D01B-31E3-4CF1-B74F-32C144691072}"/>
            </a:ext>
          </a:extLst>
        </xdr:cNvPr>
        <xdr:cNvSpPr/>
      </xdr:nvSpPr>
      <xdr:spPr>
        <a:xfrm>
          <a:off x="1282065" y="1097702"/>
          <a:ext cx="5060341" cy="209804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7D67616E-9E82-4D6A-BE94-6A3A4E138CAA}"/>
            </a:ext>
          </a:extLst>
        </xdr:cNvPr>
        <xdr:cNvSpPr/>
      </xdr:nvSpPr>
      <xdr:spPr>
        <a:xfrm>
          <a:off x="1905000" y="177800"/>
          <a:ext cx="451440" cy="34476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FE0110DE-6FF5-4ACD-9B2B-55A580C1B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0" y="167640"/>
          <a:ext cx="451440" cy="34476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32BACE54-FA35-40B7-9BC1-4C752C72922B}"/>
            </a:ext>
          </a:extLst>
        </xdr:cNvPr>
        <xdr:cNvSpPr txBox="1"/>
      </xdr:nvSpPr>
      <xdr:spPr>
        <a:xfrm>
          <a:off x="2296160" y="13716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3FE1A300-85BE-4306-AE3B-0D7011B85F6A}"/>
            </a:ext>
          </a:extLst>
        </xdr:cNvPr>
        <xdr:cNvSpPr txBox="1"/>
      </xdr:nvSpPr>
      <xdr:spPr>
        <a:xfrm>
          <a:off x="2296160" y="28702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3">
              <a:extLst>
                <a:ext uri="{FF2B5EF4-FFF2-40B4-BE49-F238E27FC236}">
                  <a16:creationId xmlns:a16="http://schemas.microsoft.com/office/drawing/2014/main" id="{1016F520-8462-4368-8614-89F3E3FDBD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86268" y="66040"/>
              <a:ext cx="3162131" cy="9910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368D478C-BF97-42DE-996D-699122322096}"/>
            </a:ext>
          </a:extLst>
        </xdr:cNvPr>
        <xdr:cNvSpPr txBox="1"/>
      </xdr:nvSpPr>
      <xdr:spPr>
        <a:xfrm>
          <a:off x="6179820" y="66040"/>
          <a:ext cx="128270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4">
              <a:extLst>
                <a:ext uri="{FF2B5EF4-FFF2-40B4-BE49-F238E27FC236}">
                  <a16:creationId xmlns:a16="http://schemas.microsoft.com/office/drawing/2014/main" id="{B297D575-4036-412F-834E-63C49BD183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48409" y="121921"/>
              <a:ext cx="1082008" cy="9292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ABD8ADDE-4E27-4503-BC75-CC435D20DD21}"/>
            </a:ext>
          </a:extLst>
        </xdr:cNvPr>
        <xdr:cNvSpPr txBox="1"/>
      </xdr:nvSpPr>
      <xdr:spPr>
        <a:xfrm>
          <a:off x="9518439" y="896620"/>
          <a:ext cx="121158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7874C9E1-2EEA-4AE1-974C-49ACD61EB302}"/>
            </a:ext>
          </a:extLst>
        </xdr:cNvPr>
        <xdr:cNvGrpSpPr/>
      </xdr:nvGrpSpPr>
      <xdr:grpSpPr>
        <a:xfrm>
          <a:off x="1202780" y="1068080"/>
          <a:ext cx="4514330" cy="2277554"/>
          <a:chOff x="2500907" y="1313308"/>
          <a:chExt cx="3098800" cy="2280693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80C703FC-51EA-4E12-B326-32D32603197E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BD29EC18-0876-4863-97C2-D6001803F588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B6AE213B-61B1-4B10-8E6F-D68ECC843B8C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37D09412-AF3E-445D-8CC0-6AB68449CEA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235B812F-F63F-477C-AED1-5FAC382B150B}"/>
            </a:ext>
          </a:extLst>
        </xdr:cNvPr>
        <xdr:cNvSpPr/>
      </xdr:nvSpPr>
      <xdr:spPr>
        <a:xfrm>
          <a:off x="1329478" y="3216939"/>
          <a:ext cx="5024967" cy="160503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151B773B-A12D-41ED-96EE-C3081A7A7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5">
              <a:extLst>
                <a:ext uri="{FF2B5EF4-FFF2-40B4-BE49-F238E27FC236}">
                  <a16:creationId xmlns:a16="http://schemas.microsoft.com/office/drawing/2014/main" id="{A4C56D7A-92FC-47BF-8172-5A9A7AB94A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259706" cy="32319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5438C195-2E09-4D62-B65D-58E068C0DFC8}"/>
            </a:ext>
          </a:extLst>
        </xdr:cNvPr>
        <xdr:cNvSpPr txBox="1"/>
      </xdr:nvSpPr>
      <xdr:spPr>
        <a:xfrm>
          <a:off x="107103" y="0"/>
          <a:ext cx="121412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9952E6C7-E329-4CAE-8F8D-50D149133943}"/>
            </a:ext>
          </a:extLst>
        </xdr:cNvPr>
        <xdr:cNvSpPr/>
      </xdr:nvSpPr>
      <xdr:spPr>
        <a:xfrm>
          <a:off x="540584" y="2623294"/>
          <a:ext cx="1275080" cy="54319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4F6AF01E-AAC4-42D8-802E-868A4A93A882}"/>
            </a:ext>
          </a:extLst>
        </xdr:cNvPr>
        <xdr:cNvSpPr txBox="1"/>
      </xdr:nvSpPr>
      <xdr:spPr>
        <a:xfrm>
          <a:off x="525549" y="2490956"/>
          <a:ext cx="1234440" cy="10291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DDACC84B-826E-4D60-8CBA-F220067BD648}"/>
            </a:ext>
          </a:extLst>
        </xdr:cNvPr>
        <xdr:cNvSpPr/>
      </xdr:nvSpPr>
      <xdr:spPr>
        <a:xfrm>
          <a:off x="540584" y="4232808"/>
          <a:ext cx="1276679" cy="554241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52BC3B6E-4911-4381-BC13-D66A822D2742}"/>
            </a:ext>
          </a:extLst>
        </xdr:cNvPr>
        <xdr:cNvSpPr txBox="1"/>
      </xdr:nvSpPr>
      <xdr:spPr>
        <a:xfrm>
          <a:off x="450327" y="4130159"/>
          <a:ext cx="1234440" cy="10303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93B56326-5FE0-4BF3-AA14-DE55C9C423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7" name="CuadroTexto 26">
          <a:extLst>
            <a:ext uri="{FF2B5EF4-FFF2-40B4-BE49-F238E27FC236}">
              <a16:creationId xmlns:a16="http://schemas.microsoft.com/office/drawing/2014/main" id="{161492D6-B610-4BC7-932A-8EEECC11D606}"/>
            </a:ext>
          </a:extLst>
        </xdr:cNvPr>
        <xdr:cNvSpPr txBox="1"/>
      </xdr:nvSpPr>
      <xdr:spPr>
        <a:xfrm>
          <a:off x="1112520" y="4383654"/>
          <a:ext cx="969655" cy="315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#¡DIV/0!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EC6E5B3-272B-45C3-A4F4-2DF3DE19EA2A}"/>
            </a:ext>
          </a:extLst>
        </xdr:cNvPr>
        <xdr:cNvSpPr/>
      </xdr:nvSpPr>
      <xdr:spPr>
        <a:xfrm>
          <a:off x="6385983" y="1109769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B7438C73-2A16-4FFB-9247-79C630D99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F8114681-6D75-4F62-81FA-683A3AE28211}"/>
            </a:ext>
          </a:extLst>
        </xdr:cNvPr>
        <xdr:cNvSpPr txBox="1"/>
      </xdr:nvSpPr>
      <xdr:spPr>
        <a:xfrm>
          <a:off x="6972937" y="1098470"/>
          <a:ext cx="3228975" cy="253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C524B86E-7C6A-4E1B-80CC-C3465E1E98D6}"/>
            </a:ext>
          </a:extLst>
        </xdr:cNvPr>
        <xdr:cNvSpPr/>
      </xdr:nvSpPr>
      <xdr:spPr>
        <a:xfrm>
          <a:off x="6385983" y="2983996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79451696-88A4-4DE5-B62F-7A051F2C8E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E1A0E178-5831-417D-B3F0-5C9E92EE66EE}"/>
            </a:ext>
          </a:extLst>
        </xdr:cNvPr>
        <xdr:cNvSpPr/>
      </xdr:nvSpPr>
      <xdr:spPr>
        <a:xfrm>
          <a:off x="6100444" y="908049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9A56CFC6-0984-49B9-A3A3-06CBD633BFD6}"/>
            </a:ext>
          </a:extLst>
        </xdr:cNvPr>
        <xdr:cNvSpPr/>
      </xdr:nvSpPr>
      <xdr:spPr>
        <a:xfrm>
          <a:off x="6349154" y="2814743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35" name="CuadroTexto 34">
          <a:extLst>
            <a:ext uri="{FF2B5EF4-FFF2-40B4-BE49-F238E27FC236}">
              <a16:creationId xmlns:a16="http://schemas.microsoft.com/office/drawing/2014/main" id="{6A80FF7E-6378-4EC8-9E89-B81BB7A62D1C}"/>
            </a:ext>
          </a:extLst>
        </xdr:cNvPr>
        <xdr:cNvSpPr txBox="1"/>
      </xdr:nvSpPr>
      <xdr:spPr>
        <a:xfrm>
          <a:off x="10470728" y="1443699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132292</xdr:colOff>
      <xdr:row>8</xdr:row>
      <xdr:rowOff>153458</xdr:rowOff>
    </xdr:from>
    <xdr:to>
      <xdr:col>13</xdr:col>
      <xdr:colOff>502919</xdr:colOff>
      <xdr:row>9</xdr:row>
      <xdr:rowOff>143590</xdr:rowOff>
    </xdr:to>
    <xdr:sp macro="" textlink="Analisis!AR4">
      <xdr:nvSpPr>
        <xdr:cNvPr id="36" name="CuadroTexto 35">
          <a:extLst>
            <a:ext uri="{FF2B5EF4-FFF2-40B4-BE49-F238E27FC236}">
              <a16:creationId xmlns:a16="http://schemas.microsoft.com/office/drawing/2014/main" id="{8DAC34A6-B924-4977-9B87-EDD700BE9D6D}"/>
            </a:ext>
          </a:extLst>
        </xdr:cNvPr>
        <xdr:cNvSpPr txBox="1"/>
      </xdr:nvSpPr>
      <xdr:spPr>
        <a:xfrm>
          <a:off x="10449772" y="1555538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1151D47-C9C2-4EC1-92D6-52392AE32923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8A20DD87-AE09-4468-943E-E6B2154FF851}"/>
            </a:ext>
          </a:extLst>
        </xdr:cNvPr>
        <xdr:cNvSpPr txBox="1"/>
      </xdr:nvSpPr>
      <xdr:spPr>
        <a:xfrm>
          <a:off x="10352405" y="1439649"/>
          <a:ext cx="208492" cy="334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38" name="CuadroTexto 37">
          <a:extLst>
            <a:ext uri="{FF2B5EF4-FFF2-40B4-BE49-F238E27FC236}">
              <a16:creationId xmlns:a16="http://schemas.microsoft.com/office/drawing/2014/main" id="{5D334774-B72F-49BF-B71B-71FE9D303931}"/>
            </a:ext>
          </a:extLst>
        </xdr:cNvPr>
        <xdr:cNvSpPr txBox="1"/>
      </xdr:nvSpPr>
      <xdr:spPr>
        <a:xfrm>
          <a:off x="10476020" y="1789641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179917</xdr:colOff>
      <xdr:row>10</xdr:row>
      <xdr:rowOff>159464</xdr:rowOff>
    </xdr:from>
    <xdr:to>
      <xdr:col>13</xdr:col>
      <xdr:colOff>550544</xdr:colOff>
      <xdr:row>11</xdr:row>
      <xdr:rowOff>149595</xdr:rowOff>
    </xdr:to>
    <xdr:sp macro="" textlink="Analisis!AR5">
      <xdr:nvSpPr>
        <xdr:cNvPr id="39" name="CuadroTexto 38">
          <a:extLst>
            <a:ext uri="{FF2B5EF4-FFF2-40B4-BE49-F238E27FC236}">
              <a16:creationId xmlns:a16="http://schemas.microsoft.com/office/drawing/2014/main" id="{DC4A3383-55F7-4A58-8138-7E60616B97C3}"/>
            </a:ext>
          </a:extLst>
        </xdr:cNvPr>
        <xdr:cNvSpPr txBox="1"/>
      </xdr:nvSpPr>
      <xdr:spPr>
        <a:xfrm>
          <a:off x="10497397" y="1912064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3CE8B70-73AE-403D-B88C-AF8A5E275EEC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1">
            <a:solidFill>
              <a:srgbClr val="0080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4AF421E5-358B-43D9-BB29-339B7811B140}"/>
            </a:ext>
          </a:extLst>
        </xdr:cNvPr>
        <xdr:cNvSpPr txBox="1"/>
      </xdr:nvSpPr>
      <xdr:spPr>
        <a:xfrm>
          <a:off x="10380980" y="1794934"/>
          <a:ext cx="20849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41" name="CuadroTexto 40">
          <a:extLst>
            <a:ext uri="{FF2B5EF4-FFF2-40B4-BE49-F238E27FC236}">
              <a16:creationId xmlns:a16="http://schemas.microsoft.com/office/drawing/2014/main" id="{96FB23FF-24C1-4D6C-BFED-5CF43EB8B487}"/>
            </a:ext>
          </a:extLst>
        </xdr:cNvPr>
        <xdr:cNvSpPr txBox="1"/>
      </xdr:nvSpPr>
      <xdr:spPr>
        <a:xfrm>
          <a:off x="10470938" y="209719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100542</xdr:colOff>
      <xdr:row>12</xdr:row>
      <xdr:rowOff>105833</xdr:rowOff>
    </xdr:from>
    <xdr:to>
      <xdr:col>13</xdr:col>
      <xdr:colOff>471169</xdr:colOff>
      <xdr:row>13</xdr:row>
      <xdr:rowOff>95965</xdr:rowOff>
    </xdr:to>
    <xdr:sp macro="" textlink="Analisis!AR6">
      <xdr:nvSpPr>
        <xdr:cNvPr id="42" name="CuadroTexto 41">
          <a:extLst>
            <a:ext uri="{FF2B5EF4-FFF2-40B4-BE49-F238E27FC236}">
              <a16:creationId xmlns:a16="http://schemas.microsoft.com/office/drawing/2014/main" id="{407BC704-11AC-4F53-8A00-E3AB84EDD1EB}"/>
            </a:ext>
          </a:extLst>
        </xdr:cNvPr>
        <xdr:cNvSpPr txBox="1"/>
      </xdr:nvSpPr>
      <xdr:spPr>
        <a:xfrm>
          <a:off x="10418022" y="220895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A4A88A3-3982-471C-AEB6-EA3C5B771889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43" name="CuadroTexto 42">
          <a:extLst>
            <a:ext uri="{FF2B5EF4-FFF2-40B4-BE49-F238E27FC236}">
              <a16:creationId xmlns:a16="http://schemas.microsoft.com/office/drawing/2014/main" id="{A1028942-FAD8-454F-A65E-9FBBFFC9F115}"/>
            </a:ext>
          </a:extLst>
        </xdr:cNvPr>
        <xdr:cNvSpPr txBox="1"/>
      </xdr:nvSpPr>
      <xdr:spPr>
        <a:xfrm>
          <a:off x="10476230" y="2453005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105833</xdr:colOff>
      <xdr:row>14</xdr:row>
      <xdr:rowOff>105833</xdr:rowOff>
    </xdr:from>
    <xdr:to>
      <xdr:col>13</xdr:col>
      <xdr:colOff>476460</xdr:colOff>
      <xdr:row>15</xdr:row>
      <xdr:rowOff>95965</xdr:rowOff>
    </xdr:to>
    <xdr:sp macro="" textlink="Analisis!AR7">
      <xdr:nvSpPr>
        <xdr:cNvPr id="44" name="CuadroTexto 43">
          <a:extLst>
            <a:ext uri="{FF2B5EF4-FFF2-40B4-BE49-F238E27FC236}">
              <a16:creationId xmlns:a16="http://schemas.microsoft.com/office/drawing/2014/main" id="{E2342705-EE86-4C6D-88B0-0BADBC815F8A}"/>
            </a:ext>
          </a:extLst>
        </xdr:cNvPr>
        <xdr:cNvSpPr txBox="1"/>
      </xdr:nvSpPr>
      <xdr:spPr>
        <a:xfrm>
          <a:off x="10423313" y="255947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465CFA4-6F6B-448E-BA37-B88E9D1DF9E8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C0F879B7-5A87-4C94-B19B-0B62D28D7D3E}"/>
            </a:ext>
          </a:extLst>
        </xdr:cNvPr>
        <xdr:cNvSpPr txBox="1"/>
      </xdr:nvSpPr>
      <xdr:spPr>
        <a:xfrm>
          <a:off x="10289329" y="2453006"/>
          <a:ext cx="23135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ucas Espejo Sanchez" refreshedDate="46259.550855324072" createdVersion="8" refreshedVersion="6" minRefreshableVersion="3" recordCount="57" xr:uid="{1D5A0481-97D5-4A5B-AEA2-7E4FD00ADECA}">
  <cacheSource type="worksheet">
    <worksheetSource name="BD_ESTADISTICA_INF_B"/>
  </cacheSource>
  <cacheFields count="39">
    <cacheField name="Jugador" numFmtId="0">
      <sharedItems containsBlank="1" count="21">
        <s v="Adai"/>
        <s v="Albert"/>
        <s v="A. Espeso"/>
        <s v="Manel"/>
        <s v="Jordi"/>
        <s v="Roger"/>
        <s v="Martí"/>
        <s v="Biel"/>
        <s v="Joan Pau"/>
        <s v="Gerard"/>
        <s v="Marçal"/>
        <s v="Unai"/>
        <s v="Leo"/>
        <s v="A. Estapé"/>
        <s v="Jan"/>
        <s v="Jules"/>
        <s v="Eudald"/>
        <s v="David"/>
        <s v="Maxim"/>
        <m u="1"/>
        <s v="Pau" u="1"/>
      </sharedItems>
    </cacheField>
    <cacheField name="Goles" numFmtId="0">
      <sharedItems containsNonDate="0" containsString="0" containsBlank="1"/>
    </cacheField>
    <cacheField name="Paradas" numFmtId="0">
      <sharedItems containsNonDate="0" containsString="0" containsBlank="1"/>
    </cacheField>
    <cacheField name="Lanzam." numFmtId="0">
      <sharedItems containsNonDate="0" containsString="0" containsBlank="1"/>
    </cacheField>
    <cacheField name="% lanz" numFmtId="9">
      <sharedItems/>
    </cacheField>
    <cacheField name="Asistencia" numFmtId="0">
      <sharedItems containsNonDate="0" containsString="0" containsBlank="1"/>
    </cacheField>
    <cacheField name="Exclusión" numFmtId="0">
      <sharedItems containsNonDate="0" containsString="0" containsBlank="1"/>
    </cacheField>
    <cacheField name="Pase" numFmtId="0">
      <sharedItems containsNonDate="0" containsString="0" containsBlank="1"/>
    </cacheField>
    <cacheField name="Área" numFmtId="0">
      <sharedItems containsNonDate="0" containsString="0" containsBlank="1"/>
    </cacheField>
    <cacheField name="Pasos" numFmtId="0">
      <sharedItems containsNonDate="0" containsString="0" containsBlank="1"/>
    </cacheField>
    <cacheField name="Otro" numFmtId="0">
      <sharedItems containsNonDate="0" containsString="0" containsBlank="1"/>
    </cacheField>
    <cacheField name="Recup." numFmtId="0">
      <sharedItems containsNonDate="0" containsString="0" containsBlank="1"/>
    </cacheField>
    <cacheField name="Exclusión +" numFmtId="0">
      <sharedItems containsNonDate="0" containsString="0" containsBlank="1"/>
    </cacheField>
    <cacheField name="PenaltiProvocado" numFmtId="0">
      <sharedItems containsNonDate="0" containsString="0" containsBlank="1"/>
    </cacheField>
    <cacheField name="JORNADA" numFmtId="0">
      <sharedItems containsSemiMixedTypes="0" containsString="0" containsNumber="1" containsInteger="1" minValue="1" maxValue="14" count="14">
        <n v="1"/>
        <n v="2"/>
        <n v="3"/>
        <n v="13" u="1"/>
        <n v="5" u="1"/>
        <n v="14" u="1"/>
        <n v="6" u="1"/>
        <n v="7" u="1"/>
        <n v="8" u="1"/>
        <n v="9" u="1"/>
        <n v="10" u="1"/>
        <n v="11" u="1"/>
        <n v="4" u="1"/>
        <n v="12" u="1"/>
      </sharedItems>
    </cacheField>
    <cacheField name="FASE" numFmtId="0">
      <sharedItems/>
    </cacheField>
    <cacheField name="L/V" numFmtId="0">
      <sharedItems/>
    </cacheField>
    <cacheField name="rival" numFmtId="0">
      <sharedItems containsBlank="1" count="53">
        <s v="CBM VILLAFRANCA"/>
        <s v="SAN FRANCISCO MIJAS"/>
        <s v="BM ALCONBENDAS"/>
        <m u="1"/>
        <s v="prueba 5" u="1"/>
        <s v="prueba 8" u="1"/>
        <s v="CREU ALTA SABADELL (L)" u="1"/>
        <s v="GRANOLLERS (V)" u="1"/>
        <s v="BM GRANOLLERS (L)" u="1"/>
        <s v="CH ESPLUGUES (V)" u="1"/>
        <s v="VIROLAI (V)" u="1"/>
        <s v="VIROLAI (L)" u="1"/>
        <s v="H.SANT QUIRZE(L)" u="1"/>
        <s v="CREU ALTA" u="1"/>
        <s v="SANT CUGAT (L)" u="1"/>
        <s v="BM GRANOLLERS" u="1"/>
        <s v="HC SANT BOI" u="1"/>
        <s v="prueba 3" u="1"/>
        <s v="CREU ALTA (V)" u="1"/>
        <s v="prueba 6" u="1"/>
        <s v="ST. ESTEVE PALAUTORDERA" u="1"/>
        <s v="BCN SANTS" u="1"/>
        <s v="CREU ALTA SABADELL" u="1"/>
        <s v="prueba 9" u="1"/>
        <s v="UE SARRIA" u="1"/>
        <s v="CA SABADELL" u="1"/>
        <s v="UES SARRIA (V)" u="1"/>
        <s v="GRANOLLERS (L)" u="1"/>
        <s v="CREU ALTA (L)" u="1"/>
        <s v="LA ROCA" u="1"/>
        <s v="BCN SANTS (V)" u="1"/>
        <s v="H MOLINS" u="1"/>
        <s v="CAMBRILS" u="1"/>
        <s v="CREU ALTA SABADELL (V)" u="1"/>
        <s v="VIROLAI VORAMAR" u="1"/>
        <s v="CH RIBES" u="1"/>
        <s v="DOMINICOS C" u="1"/>
        <s v="BCN SANTS (L)" u="1"/>
        <s v="prueba 1" u="1"/>
        <s v="prueba 4" u="1"/>
        <s v="H. SANT QUIRZE (V)" u="1"/>
        <s v="prueba 7" u="1"/>
        <s v="CH ESPLUGUES (L)" u="1"/>
        <s v="VIROLAI VORAMAR (L)" u="1"/>
        <s v="VIROLAI VORAMAR (V)" u="1"/>
        <s v="UES SARRIA (L)" u="1"/>
        <s v="SANT CUGAT (V)" u="1"/>
        <s v="BM GRANOLLERS (V)" u="1"/>
        <s v="CH PALAUTORDERA (L)" u="1"/>
        <s v="CH. PALAUTORDERA(V)" u="1"/>
        <s v="LA ROCA (V)" u="1"/>
        <s v="LA ROCA (L)" u="1"/>
        <s v="prueba 2" u="1"/>
      </sharedItems>
    </cacheField>
    <cacheField name="POSICION" numFmtId="0">
      <sharedItems containsBlank="1" count="5">
        <s v="JUGADOR"/>
        <s v="PORTERO"/>
        <m u="1"/>
        <s v="J" u="1"/>
        <s v="P" u="1"/>
      </sharedItems>
    </cacheField>
    <cacheField name="goles favor" numFmtId="0">
      <sharedItems containsSemiMixedTypes="0" containsString="0" containsNumber="1" containsInteger="1" minValue="0" maxValue="0"/>
    </cacheField>
    <cacheField name="goles contra" numFmtId="0">
      <sharedItems containsSemiMixedTypes="0" containsString="0" containsNumber="1" containsInteger="1" minValue="0" maxValue="0"/>
    </cacheField>
    <cacheField name="lanzamientos realizados" numFmtId="0">
      <sharedItems containsSemiMixedTypes="0" containsString="0" containsNumber="1" containsInteger="1" minValue="0" maxValue="0"/>
    </cacheField>
    <cacheField name="lanzamientos recibidos" numFmtId="0">
      <sharedItems containsSemiMixedTypes="0" containsString="0" containsNumber="1" containsInteger="1" minValue="0" maxValue="0"/>
    </cacheField>
    <cacheField name="porcentaje lanzamiento" numFmtId="0" formula="'goles favor'/'lanzamientos realizados'" databaseField="0"/>
    <cacheField name="Campo1" numFmtId="0" formula="Goles/Lanzam." databaseField="0"/>
    <cacheField name="objetivo" numFmtId="0" formula=" 70" databaseField="0"/>
    <cacheField name="Campo2" numFmtId="0" formula="70" databaseField="0"/>
    <cacheField name="Campo3" numFmtId="0" formula="0.7" databaseField="0"/>
    <cacheField name="Campo4" numFmtId="0" formula="0.7" databaseField="0"/>
    <cacheField name="Campo5" numFmtId="0" formula="IF(Campo3&lt;Campo4,Campo3,Campo4)" databaseField="0"/>
    <cacheField name="Campo6" numFmtId="0" formula="IF(Campo3&lt;Campo5,Campo3,Campo5)" databaseField="0"/>
    <cacheField name="Campo7" numFmtId="0" formula="'goles favor'/'lanzamientos realizados'" databaseField="0"/>
    <cacheField name="Campo8" numFmtId="0" formula="'goles favor'/'lanzamientos realizados'" databaseField="0"/>
    <cacheField name="Campo9" numFmtId="0" formula="('goles favor'/'lanzamientos realizados')*100" databaseField="0"/>
    <cacheField name="Campo10" numFmtId="0" formula="'goles favor'/'lanzamientos realizados'" databaseField="0"/>
    <cacheField name="eficiencia" numFmtId="0" formula="('goles favor'/'lanzamientos realizados')*100" databaseField="0"/>
    <cacheField name="Campo11" numFmtId="0" formula="eficiencia" databaseField="0"/>
    <cacheField name="eficiencia porteria" numFmtId="0" formula=" (Paradas/'lanzamientos recibidos')*100" databaseField="0"/>
    <cacheField name="Campo12" numFmtId="0" formula=" (Paradas/'lanzamientos recibidos')*100" databaseField="0"/>
  </cacheFields>
  <extLst>
    <ext xmlns:x14="http://schemas.microsoft.com/office/spreadsheetml/2009/9/main" uri="{725AE2AE-9491-48be-B2B4-4EB974FC3084}">
      <x14:pivotCacheDefinition pivotCacheId="1208432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x v="0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1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2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3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4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5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6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7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8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9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10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11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12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13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14"/>
    <m/>
    <m/>
    <m/>
    <s v=""/>
    <m/>
    <m/>
    <m/>
    <m/>
    <m/>
    <m/>
    <m/>
    <m/>
    <m/>
    <x v="0"/>
    <s v="SECTOR_CE"/>
    <s v="L"/>
    <x v="0"/>
    <x v="1"/>
    <n v="0"/>
    <n v="0"/>
    <n v="0"/>
    <n v="0"/>
  </r>
  <r>
    <x v="15"/>
    <m/>
    <m/>
    <m/>
    <s v=""/>
    <m/>
    <m/>
    <m/>
    <m/>
    <m/>
    <m/>
    <m/>
    <m/>
    <m/>
    <x v="0"/>
    <s v="SECTOR_CE"/>
    <s v="L"/>
    <x v="0"/>
    <x v="1"/>
    <n v="0"/>
    <n v="0"/>
    <n v="0"/>
    <n v="0"/>
  </r>
  <r>
    <x v="16"/>
    <m/>
    <m/>
    <m/>
    <s v=""/>
    <m/>
    <m/>
    <m/>
    <m/>
    <m/>
    <m/>
    <m/>
    <m/>
    <m/>
    <x v="0"/>
    <s v="SECTOR_CE"/>
    <s v="L"/>
    <x v="0"/>
    <x v="1"/>
    <n v="0"/>
    <n v="0"/>
    <n v="0"/>
    <n v="0"/>
  </r>
  <r>
    <x v="17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18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0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1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2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3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4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5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6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7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8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9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10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11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12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13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14"/>
    <m/>
    <m/>
    <m/>
    <s v=""/>
    <m/>
    <m/>
    <m/>
    <m/>
    <m/>
    <m/>
    <m/>
    <m/>
    <m/>
    <x v="1"/>
    <s v="SECTOR_CE"/>
    <s v="L"/>
    <x v="1"/>
    <x v="1"/>
    <n v="0"/>
    <n v="0"/>
    <n v="0"/>
    <n v="0"/>
  </r>
  <r>
    <x v="15"/>
    <m/>
    <m/>
    <m/>
    <s v=""/>
    <m/>
    <m/>
    <m/>
    <m/>
    <m/>
    <m/>
    <m/>
    <m/>
    <m/>
    <x v="1"/>
    <s v="SECTOR_CE"/>
    <s v="L"/>
    <x v="1"/>
    <x v="1"/>
    <n v="0"/>
    <n v="0"/>
    <n v="0"/>
    <n v="0"/>
  </r>
  <r>
    <x v="16"/>
    <m/>
    <m/>
    <m/>
    <s v=""/>
    <m/>
    <m/>
    <m/>
    <m/>
    <m/>
    <m/>
    <m/>
    <m/>
    <m/>
    <x v="1"/>
    <s v="SECTOR_CE"/>
    <s v="L"/>
    <x v="1"/>
    <x v="1"/>
    <n v="0"/>
    <n v="0"/>
    <n v="0"/>
    <n v="0"/>
  </r>
  <r>
    <x v="17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18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0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1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2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3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4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5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6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7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8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9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10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11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12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13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14"/>
    <m/>
    <m/>
    <m/>
    <s v=""/>
    <m/>
    <m/>
    <m/>
    <m/>
    <m/>
    <m/>
    <m/>
    <m/>
    <m/>
    <x v="2"/>
    <s v="SECTOR_CE"/>
    <s v="V"/>
    <x v="2"/>
    <x v="1"/>
    <n v="0"/>
    <n v="0"/>
    <n v="0"/>
    <n v="0"/>
  </r>
  <r>
    <x v="15"/>
    <m/>
    <m/>
    <m/>
    <s v=""/>
    <m/>
    <m/>
    <m/>
    <m/>
    <m/>
    <m/>
    <m/>
    <m/>
    <m/>
    <x v="2"/>
    <s v="SECTOR_CE"/>
    <s v="V"/>
    <x v="2"/>
    <x v="1"/>
    <n v="0"/>
    <n v="0"/>
    <n v="0"/>
    <n v="0"/>
  </r>
  <r>
    <x v="16"/>
    <m/>
    <m/>
    <m/>
    <s v=""/>
    <m/>
    <m/>
    <m/>
    <m/>
    <m/>
    <m/>
    <m/>
    <m/>
    <m/>
    <x v="2"/>
    <s v="SECTOR_CE"/>
    <s v="V"/>
    <x v="2"/>
    <x v="1"/>
    <n v="0"/>
    <n v="0"/>
    <n v="0"/>
    <n v="0"/>
  </r>
  <r>
    <x v="17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18"/>
    <m/>
    <m/>
    <m/>
    <s v=""/>
    <m/>
    <m/>
    <m/>
    <m/>
    <m/>
    <m/>
    <m/>
    <m/>
    <m/>
    <x v="2"/>
    <s v="SECTOR_CE"/>
    <s v="V"/>
    <x v="2"/>
    <x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DFD87-FC76-4DFA-AA48-49EF1780DCFF}" name="TablaDinámica8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31">
  <location ref="AO4:AO7" firstHeaderRow="0" firstDataRow="0" firstDataCol="1"/>
  <pivotFields count="39">
    <pivotField multipleItemSelectionAllowed="1" showAll="0">
      <items count="22">
        <item h="1" x="2"/>
        <item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5">
        <item x="0"/>
        <item x="1"/>
        <item x="2"/>
        <item m="1" x="12"/>
        <item m="1" x="4"/>
        <item m="1" x="6"/>
        <item m="1" x="7"/>
        <item m="1" x="8"/>
        <item m="1" x="9"/>
        <item m="1" x="10"/>
        <item m="1" x="11"/>
        <item m="1" x="13"/>
        <item m="1" x="3"/>
        <item m="1" x="5"/>
        <item t="default"/>
      </items>
    </pivotField>
    <pivotField showAll="0"/>
    <pivotField showAll="0"/>
    <pivotField showAll="0">
      <items count="54">
        <item m="1" x="21"/>
        <item m="1" x="37"/>
        <item m="1" x="30"/>
        <item x="2"/>
        <item m="1" x="15"/>
        <item m="1" x="8"/>
        <item m="1" x="47"/>
        <item m="1" x="25"/>
        <item m="1" x="32"/>
        <item x="0"/>
        <item m="1" x="42"/>
        <item m="1" x="9"/>
        <item m="1" x="48"/>
        <item m="1" x="35"/>
        <item m="1" x="49"/>
        <item m="1" x="13"/>
        <item m="1" x="28"/>
        <item m="1" x="18"/>
        <item m="1" x="22"/>
        <item m="1" x="6"/>
        <item m="1" x="33"/>
        <item m="1" x="36"/>
        <item m="1" x="27"/>
        <item m="1" x="7"/>
        <item m="1" x="31"/>
        <item m="1" x="40"/>
        <item m="1" x="12"/>
        <item m="1" x="16"/>
        <item m="1" x="29"/>
        <item m="1" x="51"/>
        <item m="1" x="50"/>
        <item m="1" x="38"/>
        <item m="1" x="52"/>
        <item m="1" x="17"/>
        <item m="1" x="39"/>
        <item m="1" x="4"/>
        <item m="1" x="19"/>
        <item m="1" x="41"/>
        <item m="1" x="5"/>
        <item m="1" x="23"/>
        <item x="1"/>
        <item m="1" x="14"/>
        <item m="1" x="46"/>
        <item m="1" x="20"/>
        <item m="1" x="24"/>
        <item m="1" x="45"/>
        <item m="1" x="26"/>
        <item m="1" x="11"/>
        <item m="1" x="10"/>
        <item m="1" x="34"/>
        <item m="1" x="43"/>
        <item m="1" x="44"/>
        <item m="1" x="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4">
    <i>
      <x/>
    </i>
    <i>
      <x v="1"/>
    </i>
    <i>
      <x v="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378FE-5472-4B5C-BEC5-F11334AEEFB5}" name="TablaDinámica3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7">
  <location ref="J3:L5" firstHeaderRow="0" firstDataRow="1" firstDataCol="1"/>
  <pivotFields count="39">
    <pivotField axis="axisRow" showAll="0">
      <items count="22">
        <item h="1" x="2"/>
        <item x="13"/>
        <item h="1" x="0"/>
        <item h="1" x="1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18"/>
        <item h="1" m="1" x="20"/>
        <item h="1" x="5"/>
        <item h="1" x="11"/>
        <item h="1" x="6"/>
        <item h="1" x="7"/>
        <item h="1" x="17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4">
        <item m="1" x="21"/>
        <item m="1" x="37"/>
        <item m="1" x="30"/>
        <item x="2"/>
        <item m="1" x="15"/>
        <item m="1" x="8"/>
        <item m="1" x="47"/>
        <item m="1" x="25"/>
        <item m="1" x="32"/>
        <item x="0"/>
        <item m="1" x="42"/>
        <item m="1" x="9"/>
        <item m="1" x="48"/>
        <item m="1" x="35"/>
        <item m="1" x="49"/>
        <item m="1" x="13"/>
        <item m="1" x="28"/>
        <item m="1" x="18"/>
        <item m="1" x="22"/>
        <item m="1" x="6"/>
        <item m="1" x="33"/>
        <item m="1" x="36"/>
        <item m="1" x="27"/>
        <item m="1" x="7"/>
        <item m="1" x="31"/>
        <item m="1" x="40"/>
        <item m="1" x="12"/>
        <item m="1" x="16"/>
        <item m="1" x="29"/>
        <item m="1" x="51"/>
        <item m="1" x="50"/>
        <item m="1" x="38"/>
        <item m="1" x="52"/>
        <item m="1" x="17"/>
        <item m="1" x="39"/>
        <item m="1" x="4"/>
        <item m="1" x="19"/>
        <item m="1" x="41"/>
        <item m="1" x="5"/>
        <item m="1" x="23"/>
        <item x="1"/>
        <item m="1" x="14"/>
        <item m="1" x="46"/>
        <item m="1" x="20"/>
        <item m="1" x="24"/>
        <item m="1" x="45"/>
        <item m="1" x="26"/>
        <item m="1" x="11"/>
        <item m="1" x="10"/>
        <item m="1" x="34"/>
        <item m="1" x="43"/>
        <item m="1" x="44"/>
        <item m="1" x="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33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1"/>
          </reference>
          <reference field="0" count="1" selected="0">
            <x v="17"/>
          </reference>
        </references>
      </pivotArea>
    </chartFormat>
    <chartFormat chart="1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chartFormat>
    <chartFormat chart="17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19">
      <pivotArea type="data" outline="0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chartFormat>
    <chartFormat chart="1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8"/>
          </reference>
        </references>
      </pivotArea>
    </chartFormat>
    <chartFormat chart="1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36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chartFormat>
    <chartFormat chart="17" format="2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2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F342B6-9E1E-44DA-89EA-2E568B4535B1}" name="TablaDinámica7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9">
  <location ref="AJ4:AM5" firstHeaderRow="0" firstDataRow="1" firstDataCol="0"/>
  <pivotFields count="39">
    <pivotField multipleItemSelectionAllowed="1" showAll="0">
      <items count="22">
        <item h="1" x="2"/>
        <item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54">
        <item m="1" x="21"/>
        <item m="1" x="37"/>
        <item m="1" x="30"/>
        <item x="2"/>
        <item m="1" x="15"/>
        <item m="1" x="8"/>
        <item m="1" x="47"/>
        <item m="1" x="25"/>
        <item m="1" x="32"/>
        <item x="0"/>
        <item m="1" x="42"/>
        <item m="1" x="9"/>
        <item m="1" x="48"/>
        <item m="1" x="35"/>
        <item m="1" x="49"/>
        <item m="1" x="13"/>
        <item m="1" x="28"/>
        <item m="1" x="18"/>
        <item m="1" x="22"/>
        <item m="1" x="6"/>
        <item m="1" x="33"/>
        <item m="1" x="36"/>
        <item m="1" x="27"/>
        <item m="1" x="7"/>
        <item m="1" x="31"/>
        <item m="1" x="40"/>
        <item m="1" x="12"/>
        <item m="1" x="16"/>
        <item m="1" x="29"/>
        <item m="1" x="51"/>
        <item m="1" x="50"/>
        <item m="1" x="38"/>
        <item m="1" x="52"/>
        <item m="1" x="17"/>
        <item m="1" x="39"/>
        <item m="1" x="4"/>
        <item m="1" x="19"/>
        <item m="1" x="41"/>
        <item m="1" x="5"/>
        <item m="1" x="23"/>
        <item x="1"/>
        <item m="1" x="14"/>
        <item m="1" x="46"/>
        <item m="1" x="20"/>
        <item m="1" x="24"/>
        <item m="1" x="45"/>
        <item m="1" x="26"/>
        <item m="1" x="11"/>
        <item m="1" x="10"/>
        <item m="1" x="34"/>
        <item m="1" x="43"/>
        <item m="1" x="44"/>
        <item m="1" x="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Exclusión" fld="6" baseField="0" baseItem="0"/>
    <dataField name="Suma de Pase" fld="7" baseField="0" baseItem="0"/>
    <dataField name="Suma de Área" fld="8" baseField="0" baseItem="0"/>
    <dataField name="Suma de Otro" fld="10" baseField="0" baseItem="0"/>
  </dataFields>
  <chartFormats count="12">
    <chartFormat chart="4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4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8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8" format="4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E38BAF-3460-46DE-B9A4-AFDC8FAAE97C}" name="TablaDinámica1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4">
  <location ref="AE4:AH5" firstHeaderRow="0" firstDataRow="1" firstDataCol="0"/>
  <pivotFields count="39">
    <pivotField multipleItemSelectionAllowed="1" showAll="0">
      <items count="22">
        <item h="1" x="2"/>
        <item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>
      <items count="54">
        <item m="1" x="21"/>
        <item m="1" x="37"/>
        <item m="1" x="30"/>
        <item x="2"/>
        <item m="1" x="15"/>
        <item m="1" x="8"/>
        <item m="1" x="47"/>
        <item m="1" x="25"/>
        <item m="1" x="32"/>
        <item x="0"/>
        <item m="1" x="42"/>
        <item m="1" x="9"/>
        <item m="1" x="48"/>
        <item m="1" x="35"/>
        <item m="1" x="49"/>
        <item m="1" x="13"/>
        <item m="1" x="28"/>
        <item m="1" x="18"/>
        <item m="1" x="22"/>
        <item m="1" x="6"/>
        <item m="1" x="33"/>
        <item m="1" x="36"/>
        <item m="1" x="27"/>
        <item m="1" x="7"/>
        <item m="1" x="31"/>
        <item m="1" x="40"/>
        <item m="1" x="12"/>
        <item m="1" x="16"/>
        <item m="1" x="29"/>
        <item m="1" x="51"/>
        <item m="1" x="50"/>
        <item m="1" x="38"/>
        <item m="1" x="52"/>
        <item m="1" x="17"/>
        <item m="1" x="39"/>
        <item m="1" x="4"/>
        <item m="1" x="19"/>
        <item m="1" x="41"/>
        <item m="1" x="5"/>
        <item m="1" x="23"/>
        <item x="1"/>
        <item m="1" x="14"/>
        <item m="1" x="46"/>
        <item m="1" x="20"/>
        <item m="1" x="24"/>
        <item m="1" x="45"/>
        <item m="1" x="26"/>
        <item m="1" x="11"/>
        <item m="1" x="10"/>
        <item m="1" x="34"/>
        <item m="1" x="43"/>
        <item m="1" x="44"/>
        <item m="1" x="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3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3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3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D5CC92-EC25-4D6E-920F-6A90BE957D5C}" name="TablaDinámica2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chartFormat="35">
  <location ref="C3:E10" firstHeaderRow="0" firstDataRow="1" firstDataCol="1"/>
  <pivotFields count="39">
    <pivotField multipleItemSelectionAllowed="1" showAll="0">
      <items count="22">
        <item h="1" x="2"/>
        <item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5">
        <item x="0"/>
        <item x="1"/>
        <item x="2"/>
        <item m="1" x="12"/>
        <item m="1" x="4"/>
        <item m="1" x="6"/>
        <item m="1" x="7"/>
        <item m="1" x="8"/>
        <item m="1" x="9"/>
        <item m="1" x="10"/>
        <item m="1" x="11"/>
        <item m="1" x="13"/>
        <item m="1" x="3"/>
        <item m="1" x="5"/>
        <item t="default"/>
      </items>
    </pivotField>
    <pivotField showAll="0"/>
    <pivotField showAll="0"/>
    <pivotField axis="axisRow" showAll="0">
      <items count="54">
        <item m="1" x="15"/>
        <item m="1" x="25"/>
        <item m="1" x="35"/>
        <item m="1" x="22"/>
        <item m="1" x="36"/>
        <item m="1" x="31"/>
        <item m="1" x="16"/>
        <item m="1" x="20"/>
        <item m="1" x="24"/>
        <item m="1" x="32"/>
        <item m="1" x="34"/>
        <item m="1" x="29"/>
        <item m="1" x="21"/>
        <item m="1" x="38"/>
        <item m="1" x="3"/>
        <item m="1" x="52"/>
        <item m="1" x="17"/>
        <item m="1" x="39"/>
        <item m="1" x="4"/>
        <item m="1" x="19"/>
        <item m="1" x="41"/>
        <item m="1" x="5"/>
        <item m="1" x="23"/>
        <item m="1" x="43"/>
        <item m="1" x="50"/>
        <item m="1" x="37"/>
        <item m="1" x="18"/>
        <item m="1" x="27"/>
        <item m="1" x="44"/>
        <item m="1" x="51"/>
        <item m="1" x="30"/>
        <item m="1" x="28"/>
        <item m="1" x="7"/>
        <item m="1" x="13"/>
        <item m="1" x="8"/>
        <item m="1" x="47"/>
        <item m="1" x="12"/>
        <item m="1" x="10"/>
        <item m="1" x="48"/>
        <item m="1" x="9"/>
        <item m="1" x="6"/>
        <item m="1" x="45"/>
        <item m="1" x="46"/>
        <item m="1" x="14"/>
        <item m="1" x="40"/>
        <item m="1" x="49"/>
        <item m="1" x="11"/>
        <item m="1" x="33"/>
        <item m="1" x="26"/>
        <item m="1" x="42"/>
        <item x="0"/>
        <item x="1"/>
        <item x="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7">
    <i>
      <x/>
    </i>
    <i r="1">
      <x v="50"/>
    </i>
    <i>
      <x v="1"/>
    </i>
    <i r="1">
      <x v="51"/>
    </i>
    <i>
      <x v="2"/>
    </i>
    <i r="1">
      <x v="5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10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1E72EF-61A6-4621-8EBC-595A5E855583}" name="TablaDinámica12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8">
  <location ref="W3:AA10" firstHeaderRow="0" firstDataRow="1" firstDataCol="1"/>
  <pivotFields count="39">
    <pivotField multipleItemSelectionAllowed="1" showAll="0">
      <items count="22">
        <item h="1" x="2"/>
        <item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5">
        <item x="0"/>
        <item x="1"/>
        <item x="2"/>
        <item m="1" x="12"/>
        <item m="1" x="4"/>
        <item m="1" x="6"/>
        <item m="1" x="7"/>
        <item m="1" x="8"/>
        <item m="1" x="9"/>
        <item m="1" x="10"/>
        <item m="1" x="11"/>
        <item m="1" x="13"/>
        <item m="1" x="3"/>
        <item m="1" x="5"/>
        <item t="default"/>
      </items>
    </pivotField>
    <pivotField showAll="0"/>
    <pivotField showAll="0"/>
    <pivotField axis="axisRow" showAll="0">
      <items count="54">
        <item m="1" x="15"/>
        <item m="1" x="25"/>
        <item m="1" x="35"/>
        <item m="1" x="22"/>
        <item m="1" x="36"/>
        <item m="1" x="31"/>
        <item m="1" x="16"/>
        <item m="1" x="20"/>
        <item m="1" x="24"/>
        <item m="1" x="32"/>
        <item m="1" x="34"/>
        <item m="1" x="29"/>
        <item m="1" x="21"/>
        <item m="1" x="38"/>
        <item m="1" x="3"/>
        <item m="1" x="52"/>
        <item m="1" x="17"/>
        <item m="1" x="39"/>
        <item m="1" x="4"/>
        <item m="1" x="19"/>
        <item m="1" x="41"/>
        <item m="1" x="5"/>
        <item m="1" x="23"/>
        <item m="1" x="43"/>
        <item m="1" x="50"/>
        <item m="1" x="37"/>
        <item m="1" x="18"/>
        <item m="1" x="27"/>
        <item m="1" x="44"/>
        <item m="1" x="51"/>
        <item m="1" x="30"/>
        <item m="1" x="28"/>
        <item m="1" x="7"/>
        <item m="1" x="13"/>
        <item m="1" x="8"/>
        <item m="1" x="47"/>
        <item m="1" x="12"/>
        <item m="1" x="10"/>
        <item m="1" x="48"/>
        <item m="1" x="9"/>
        <item m="1" x="6"/>
        <item m="1" x="45"/>
        <item m="1" x="46"/>
        <item m="1" x="14"/>
        <item m="1" x="40"/>
        <item m="1" x="49"/>
        <item m="1" x="11"/>
        <item m="1" x="33"/>
        <item m="1" x="26"/>
        <item m="1" x="42"/>
        <item x="0"/>
        <item x="1"/>
        <item x="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7">
    <i>
      <x/>
    </i>
    <i r="1">
      <x v="50"/>
    </i>
    <i>
      <x v="1"/>
    </i>
    <i r="1">
      <x v="51"/>
    </i>
    <i>
      <x v="2"/>
    </i>
    <i r="1">
      <x v="5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0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7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7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7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A9C50-3E77-4ECD-B13E-7CE0581F7293}" name="TablaDinámica6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27">
  <location ref="AC3:AC4" firstHeaderRow="1" firstDataRow="1" firstDataCol="0"/>
  <pivotFields count="39">
    <pivotField showAll="0">
      <items count="22">
        <item h="1" x="2"/>
        <item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4">
        <item m="1" x="21"/>
        <item m="1" x="37"/>
        <item m="1" x="30"/>
        <item x="2"/>
        <item m="1" x="15"/>
        <item m="1" x="8"/>
        <item m="1" x="47"/>
        <item m="1" x="25"/>
        <item m="1" x="32"/>
        <item x="0"/>
        <item m="1" x="42"/>
        <item m="1" x="9"/>
        <item m="1" x="48"/>
        <item m="1" x="35"/>
        <item m="1" x="49"/>
        <item m="1" x="13"/>
        <item m="1" x="28"/>
        <item m="1" x="18"/>
        <item m="1" x="22"/>
        <item m="1" x="6"/>
        <item m="1" x="33"/>
        <item m="1" x="36"/>
        <item m="1" x="27"/>
        <item m="1" x="7"/>
        <item m="1" x="31"/>
        <item m="1" x="40"/>
        <item m="1" x="12"/>
        <item m="1" x="16"/>
        <item m="1" x="29"/>
        <item m="1" x="51"/>
        <item m="1" x="50"/>
        <item m="1" x="38"/>
        <item m="1" x="52"/>
        <item m="1" x="17"/>
        <item m="1" x="39"/>
        <item m="1" x="4"/>
        <item m="1" x="19"/>
        <item m="1" x="41"/>
        <item m="1" x="5"/>
        <item m="1" x="23"/>
        <item x="1"/>
        <item m="1" x="14"/>
        <item m="1" x="46"/>
        <item m="1" x="20"/>
        <item m="1" x="24"/>
        <item m="1" x="45"/>
        <item m="1" x="26"/>
        <item m="1" x="11"/>
        <item m="1" x="10"/>
        <item m="1" x="34"/>
        <item m="1" x="43"/>
        <item m="1" x="44"/>
        <item m="1" x="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Campo1" fld="24" baseField="0" baseItem="0"/>
  </dataFields>
  <formats count="1">
    <format dxfId="21">
      <pivotArea grandRow="1" outline="0" collapsedLevelsAreSubtotals="1" fieldPosition="0"/>
    </format>
  </formats>
  <chartFormats count="5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88F34-F112-43C4-9D1E-E5B24472C125}" name="TablaDinámica4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0">
  <location ref="G3:H7" firstHeaderRow="1" firstDataRow="1" firstDataCol="1"/>
  <pivotFields count="39">
    <pivotField showAll="0">
      <items count="22">
        <item h="1" x="2"/>
        <item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5">
        <item x="0"/>
        <item x="1"/>
        <item x="2"/>
        <item m="1" x="12"/>
        <item m="1" x="4"/>
        <item m="1" x="6"/>
        <item m="1" x="7"/>
        <item m="1" x="8"/>
        <item m="1" x="9"/>
        <item m="1" x="10"/>
        <item m="1" x="11"/>
        <item m="1" x="13"/>
        <item m="1" x="3"/>
        <item m="1" x="5"/>
        <item t="default"/>
      </items>
    </pivotField>
    <pivotField showAll="0"/>
    <pivotField showAll="0"/>
    <pivotField showAll="0">
      <items count="54">
        <item m="1" x="21"/>
        <item m="1" x="37"/>
        <item m="1" x="30"/>
        <item x="2"/>
        <item m="1" x="15"/>
        <item m="1" x="8"/>
        <item m="1" x="47"/>
        <item m="1" x="25"/>
        <item m="1" x="32"/>
        <item x="0"/>
        <item m="1" x="42"/>
        <item m="1" x="9"/>
        <item m="1" x="48"/>
        <item m="1" x="35"/>
        <item m="1" x="49"/>
        <item m="1" x="13"/>
        <item m="1" x="28"/>
        <item m="1" x="18"/>
        <item m="1" x="22"/>
        <item m="1" x="6"/>
        <item m="1" x="33"/>
        <item m="1" x="36"/>
        <item m="1" x="27"/>
        <item m="1" x="7"/>
        <item m="1" x="31"/>
        <item m="1" x="40"/>
        <item m="1" x="12"/>
        <item m="1" x="16"/>
        <item m="1" x="29"/>
        <item m="1" x="51"/>
        <item m="1" x="50"/>
        <item m="1" x="38"/>
        <item m="1" x="52"/>
        <item m="1" x="17"/>
        <item m="1" x="39"/>
        <item m="1" x="4"/>
        <item m="1" x="19"/>
        <item m="1" x="41"/>
        <item m="1" x="5"/>
        <item m="1" x="23"/>
        <item x="1"/>
        <item m="1" x="14"/>
        <item m="1" x="46"/>
        <item m="1" x="20"/>
        <item m="1" x="24"/>
        <item m="1" x="45"/>
        <item m="1" x="26"/>
        <item m="1" x="11"/>
        <item m="1" x="10"/>
        <item m="1" x="34"/>
        <item m="1" x="43"/>
        <item m="1" x="44"/>
        <item m="1" x="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Campo1" fld="24" baseField="0" baseItem="0"/>
  </dataFields>
  <formats count="2">
    <format dxfId="23">
      <pivotArea collapsedLevelsAreSubtotals="1" fieldPosition="0">
        <references count="1">
          <reference field="14" count="0"/>
        </references>
      </pivotArea>
    </format>
    <format dxfId="22">
      <pivotArea grandRow="1" outline="0" collapsedLevelsAreSubtotals="1" fieldPosition="0"/>
    </format>
  </formats>
  <chartFormats count="24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2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14" count="1" selected="0">
            <x v="7"/>
          </reference>
        </references>
      </pivotArea>
    </chartFormat>
    <chartFormat chart="27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14" count="1" selected="0">
            <x v="8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14" count="1" selected="0">
            <x v="9"/>
          </reference>
        </references>
      </pivotArea>
    </chartFormat>
    <chartFormat chart="29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24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4" format="2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0"/>
          </reference>
        </references>
      </pivotArea>
    </chartFormat>
    <chartFormat chart="4" format="22">
      <pivotArea type="data" outline="0" fieldPosition="0">
        <references count="2">
          <reference field="4294967294" count="1" selected="0">
            <x v="0"/>
          </reference>
          <reference field="14" count="1" selected="0">
            <x v="11"/>
          </reference>
        </references>
      </pivotArea>
    </chartFormat>
    <chartFormat chart="4" format="23">
      <pivotArea type="data" outline="0" fieldPosition="0">
        <references count="2">
          <reference field="4294967294" count="1" selected="0">
            <x v="0"/>
          </reference>
          <reference field="14" count="1" selected="0">
            <x v="13"/>
          </reference>
        </references>
      </pivotArea>
    </chartFormat>
    <chartFormat chart="4" format="24">
      <pivotArea type="data" outline="0" fieldPosition="0">
        <references count="2">
          <reference field="4294967294" count="1" selected="0">
            <x v="0"/>
          </reference>
          <reference field="14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9B419-D6BA-4E5C-A7B3-268CB8836E73}" name="TablaDinámica5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N3:N7" firstHeaderRow="1" firstDataRow="1" firstDataCol="1" rowPageCount="1" colPageCount="1"/>
  <pivotFields count="3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5">
        <item x="0"/>
        <item x="1"/>
        <item x="2"/>
        <item m="1" x="12"/>
        <item m="1" x="6"/>
        <item m="1" x="7"/>
        <item m="1" x="10"/>
        <item m="1" x="4"/>
        <item m="1" x="8"/>
        <item m="1" x="9"/>
        <item m="1" x="11"/>
        <item m="1" x="13"/>
        <item m="1" x="5"/>
        <item m="1" x="3"/>
        <item t="default"/>
      </items>
    </pivotField>
    <pivotField showAll="0"/>
    <pivotField showAll="0"/>
    <pivotField axis="axisRow" showAll="0">
      <items count="54">
        <item m="1" x="15"/>
        <item m="1" x="25"/>
        <item m="1" x="35"/>
        <item m="1" x="36"/>
        <item m="1" x="31"/>
        <item m="1" x="16"/>
        <item m="1" x="24"/>
        <item m="1" x="20"/>
        <item m="1" x="22"/>
        <item m="1" x="32"/>
        <item m="1" x="34"/>
        <item m="1" x="29"/>
        <item m="1" x="21"/>
        <item m="1" x="38"/>
        <item m="1" x="3"/>
        <item m="1" x="52"/>
        <item m="1" x="17"/>
        <item m="1" x="39"/>
        <item m="1" x="4"/>
        <item m="1" x="19"/>
        <item m="1" x="41"/>
        <item m="1" x="5"/>
        <item m="1" x="23"/>
        <item m="1" x="43"/>
        <item m="1" x="50"/>
        <item m="1" x="37"/>
        <item m="1" x="18"/>
        <item m="1" x="27"/>
        <item m="1" x="44"/>
        <item m="1" x="51"/>
        <item m="1" x="30"/>
        <item m="1" x="28"/>
        <item m="1" x="7"/>
        <item m="1" x="13"/>
        <item m="1" x="8"/>
        <item m="1" x="47"/>
        <item m="1" x="12"/>
        <item m="1" x="10"/>
        <item m="1" x="48"/>
        <item m="1" x="9"/>
        <item m="1" x="6"/>
        <item m="1" x="45"/>
        <item m="1" x="46"/>
        <item m="1" x="14"/>
        <item m="1" x="40"/>
        <item m="1" x="49"/>
        <item m="1" x="11"/>
        <item m="1" x="33"/>
        <item m="1" x="26"/>
        <item m="1" x="42"/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7"/>
  </rowFields>
  <rowItems count="4">
    <i>
      <x v="50"/>
    </i>
    <i>
      <x v="51"/>
    </i>
    <i>
      <x v="52"/>
    </i>
    <i t="grand">
      <x/>
    </i>
  </rowItems>
  <colItems count="1">
    <i/>
  </colItems>
  <pageFields count="1"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A82AB-9077-418F-ADAD-1AEF2A80657C}" name="TablaDinámica11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2">
  <location ref="Q3:U10" firstHeaderRow="0" firstDataRow="1" firstDataCol="1"/>
  <pivotFields count="39">
    <pivotField multipleItemSelectionAllowed="1" showAll="0">
      <items count="22">
        <item h="1" x="2"/>
        <item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5">
        <item x="0"/>
        <item x="1"/>
        <item x="2"/>
        <item m="1" x="12"/>
        <item m="1" x="4"/>
        <item m="1" x="6"/>
        <item m="1" x="7"/>
        <item m="1" x="8"/>
        <item m="1" x="9"/>
        <item m="1" x="10"/>
        <item m="1" x="11"/>
        <item m="1" x="13"/>
        <item m="1" x="3"/>
        <item m="1" x="5"/>
        <item t="default"/>
      </items>
    </pivotField>
    <pivotField showAll="0"/>
    <pivotField showAll="0"/>
    <pivotField axis="axisRow" showAll="0">
      <items count="54">
        <item m="1" x="15"/>
        <item m="1" x="25"/>
        <item m="1" x="35"/>
        <item m="1" x="22"/>
        <item m="1" x="36"/>
        <item m="1" x="31"/>
        <item m="1" x="16"/>
        <item m="1" x="20"/>
        <item m="1" x="24"/>
        <item m="1" x="32"/>
        <item m="1" x="34"/>
        <item m="1" x="29"/>
        <item m="1" x="21"/>
        <item m="1" x="38"/>
        <item m="1" x="3"/>
        <item m="1" x="52"/>
        <item m="1" x="17"/>
        <item m="1" x="39"/>
        <item m="1" x="4"/>
        <item m="1" x="19"/>
        <item m="1" x="41"/>
        <item m="1" x="5"/>
        <item m="1" x="23"/>
        <item m="1" x="43"/>
        <item m="1" x="50"/>
        <item m="1" x="37"/>
        <item m="1" x="18"/>
        <item m="1" x="27"/>
        <item m="1" x="44"/>
        <item m="1" x="51"/>
        <item m="1" x="30"/>
        <item m="1" x="28"/>
        <item m="1" x="7"/>
        <item m="1" x="13"/>
        <item m="1" x="8"/>
        <item m="1" x="47"/>
        <item m="1" x="12"/>
        <item m="1" x="10"/>
        <item m="1" x="48"/>
        <item m="1" x="9"/>
        <item m="1" x="6"/>
        <item m="1" x="45"/>
        <item m="1" x="46"/>
        <item m="1" x="14"/>
        <item m="1" x="40"/>
        <item m="1" x="49"/>
        <item m="1" x="11"/>
        <item m="1" x="33"/>
        <item m="1" x="26"/>
        <item m="1" x="42"/>
        <item x="0"/>
        <item x="1"/>
        <item x="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7">
    <i>
      <x/>
    </i>
    <i r="1">
      <x v="50"/>
    </i>
    <i>
      <x v="1"/>
    </i>
    <i r="1">
      <x v="51"/>
    </i>
    <i>
      <x v="2"/>
    </i>
    <i r="1">
      <x v="5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28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5A2B1D-45AA-4293-BE90-4BDF878D5A57}" name="TablaDinámica5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1">
  <location ref="AP4:AS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 sortType="ascending"/>
    <pivotField showAll="0"/>
    <pivotField showAll="0"/>
    <pivotField showAll="0">
      <items count="54">
        <item m="1" x="21"/>
        <item m="1" x="37"/>
        <item m="1" x="30"/>
        <item x="2"/>
        <item m="1" x="15"/>
        <item m="1" x="8"/>
        <item m="1" x="47"/>
        <item m="1" x="25"/>
        <item m="1" x="32"/>
        <item x="0"/>
        <item m="1" x="42"/>
        <item m="1" x="9"/>
        <item m="1" x="48"/>
        <item m="1" x="35"/>
        <item m="1" x="49"/>
        <item m="1" x="13"/>
        <item m="1" x="28"/>
        <item m="1" x="18"/>
        <item m="1" x="22"/>
        <item m="1" x="6"/>
        <item m="1" x="33"/>
        <item m="1" x="36"/>
        <item m="1" x="27"/>
        <item m="1" x="7"/>
        <item m="1" x="31"/>
        <item m="1" x="40"/>
        <item m="1" x="12"/>
        <item m="1" x="16"/>
        <item m="1" x="29"/>
        <item m="1" x="51"/>
        <item m="1" x="50"/>
        <item m="1" x="38"/>
        <item m="1" x="52"/>
        <item m="1" x="17"/>
        <item m="1" x="39"/>
        <item m="1" x="4"/>
        <item m="1" x="19"/>
        <item m="1" x="41"/>
        <item m="1" x="5"/>
        <item m="1" x="23"/>
        <item x="1"/>
        <item m="1" x="14"/>
        <item m="1" x="46"/>
        <item m="1" x="20"/>
        <item m="1" x="24"/>
        <item m="1" x="45"/>
        <item m="1" x="26"/>
        <item m="1" x="11"/>
        <item m="1" x="10"/>
        <item m="1" x="34"/>
        <item m="1" x="43"/>
        <item m="1" x="44"/>
        <item m="1" x="3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40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9EDF3-889F-4CD1-AA11-11801AA1CCE6}" name="TablaDinámica2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3">
  <location ref="G2:I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Campo11" fld="36" baseField="0" baseItem="0" numFmtId="1"/>
  </dataFields>
  <formats count="2">
    <format dxfId="1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28"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1" format="23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40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5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FFAAA-480C-4DC8-9CA2-9528EB3BFFDD}" name="TablaDinámica7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0">
  <location ref="Z2:AD9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5">
        <item x="0"/>
        <item x="1"/>
        <item x="2"/>
        <item m="1" x="12"/>
        <item m="1" x="4"/>
        <item m="1" x="6"/>
        <item m="1" x="7"/>
        <item m="1" x="8"/>
        <item m="1" x="9"/>
        <item m="1" x="10"/>
        <item m="1" x="11"/>
        <item m="1" x="13"/>
        <item m="1" x="3"/>
        <item m="1" x="5"/>
        <item t="default"/>
      </items>
    </pivotField>
    <pivotField showAll="0"/>
    <pivotField showAll="0"/>
    <pivotField axis="axisRow" showAll="0">
      <items count="54">
        <item m="1" x="15"/>
        <item m="1" x="25"/>
        <item m="1" x="35"/>
        <item m="1" x="22"/>
        <item m="1" x="36"/>
        <item m="1" x="31"/>
        <item m="1" x="16"/>
        <item m="1" x="20"/>
        <item m="1" x="24"/>
        <item m="1" x="32"/>
        <item m="1" x="34"/>
        <item m="1" x="29"/>
        <item m="1" x="21"/>
        <item m="1" x="38"/>
        <item m="1" x="3"/>
        <item m="1" x="52"/>
        <item m="1" x="17"/>
        <item m="1" x="39"/>
        <item m="1" x="4"/>
        <item m="1" x="19"/>
        <item m="1" x="41"/>
        <item m="1" x="5"/>
        <item m="1" x="23"/>
        <item m="1" x="43"/>
        <item m="1" x="50"/>
        <item m="1" x="37"/>
        <item m="1" x="18"/>
        <item m="1" x="27"/>
        <item m="1" x="44"/>
        <item m="1" x="51"/>
        <item m="1" x="30"/>
        <item m="1" x="28"/>
        <item m="1" x="7"/>
        <item m="1" x="13"/>
        <item m="1" x="8"/>
        <item m="1" x="47"/>
        <item m="1" x="12"/>
        <item m="1" x="10"/>
        <item m="1" x="48"/>
        <item m="1" x="9"/>
        <item m="1" x="6"/>
        <item m="1" x="45"/>
        <item m="1" x="46"/>
        <item m="1" x="14"/>
        <item m="1" x="40"/>
        <item m="1" x="49"/>
        <item m="1" x="11"/>
        <item m="1" x="33"/>
        <item m="1" x="26"/>
        <item m="1" x="42"/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7">
    <i>
      <x/>
    </i>
    <i r="1">
      <x v="50"/>
    </i>
    <i>
      <x v="1"/>
    </i>
    <i r="1">
      <x v="51"/>
    </i>
    <i>
      <x v="2"/>
    </i>
    <i r="1">
      <x v="5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CB420-8923-43A0-A7D5-3B55FA76D7F8}" name="TablaDinámica4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8">
  <location ref="P2:R3" firstHeaderRow="0" firstDataRow="1" firstDataCol="0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contra" fld="20" baseField="0" baseItem="0"/>
    <dataField name="Suma de Paradas" fld="2" baseField="0" baseItem="0"/>
    <dataField name="Suma de Campo12" fld="38" baseField="0" baseItem="0" numFmtId="1"/>
  </dataFields>
  <formats count="2">
    <format dxfId="1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2">
    <chartFormat chart="44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9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4" format="4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4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53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04C73C-7233-4EE6-939D-A27D1DC378C8}" name="TablaDinámica8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5">
  <location ref="AK2:AN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54">
        <item m="1" x="21"/>
        <item m="1" x="37"/>
        <item m="1" x="30"/>
        <item x="2"/>
        <item m="1" x="15"/>
        <item m="1" x="8"/>
        <item m="1" x="47"/>
        <item m="1" x="25"/>
        <item m="1" x="32"/>
        <item x="0"/>
        <item m="1" x="42"/>
        <item m="1" x="9"/>
        <item m="1" x="48"/>
        <item m="1" x="35"/>
        <item m="1" x="49"/>
        <item m="1" x="13"/>
        <item m="1" x="28"/>
        <item m="1" x="18"/>
        <item m="1" x="22"/>
        <item m="1" x="6"/>
        <item m="1" x="33"/>
        <item m="1" x="36"/>
        <item m="1" x="27"/>
        <item m="1" x="7"/>
        <item m="1" x="31"/>
        <item m="1" x="40"/>
        <item m="1" x="12"/>
        <item m="1" x="16"/>
        <item m="1" x="29"/>
        <item m="1" x="51"/>
        <item m="1" x="50"/>
        <item m="1" x="38"/>
        <item m="1" x="52"/>
        <item m="1" x="17"/>
        <item m="1" x="39"/>
        <item m="1" x="4"/>
        <item m="1" x="19"/>
        <item m="1" x="41"/>
        <item m="1" x="5"/>
        <item m="1" x="23"/>
        <item x="1"/>
        <item m="1" x="14"/>
        <item m="1" x="46"/>
        <item m="1" x="20"/>
        <item m="1" x="24"/>
        <item m="1" x="45"/>
        <item m="1" x="26"/>
        <item m="1" x="11"/>
        <item m="1" x="10"/>
        <item m="1" x="34"/>
        <item m="1" x="43"/>
        <item m="1" x="44"/>
        <item m="1" x="3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4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2514C-176C-445D-9BAA-354E64C660D1}" name="TablaDinámica6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7">
  <location ref="T2:X9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5">
        <item x="0"/>
        <item x="1"/>
        <item x="2"/>
        <item m="1" x="12"/>
        <item m="1" x="4"/>
        <item m="1" x="6"/>
        <item m="1" x="7"/>
        <item m="1" x="8"/>
        <item m="1" x="9"/>
        <item m="1" x="10"/>
        <item m="1" x="11"/>
        <item m="1" x="13"/>
        <item m="1" x="3"/>
        <item m="1" x="5"/>
        <item t="default"/>
      </items>
    </pivotField>
    <pivotField showAll="0"/>
    <pivotField showAll="0"/>
    <pivotField axis="axisRow" showAll="0">
      <items count="54">
        <item m="1" x="15"/>
        <item m="1" x="25"/>
        <item m="1" x="35"/>
        <item m="1" x="22"/>
        <item m="1" x="36"/>
        <item m="1" x="31"/>
        <item m="1" x="16"/>
        <item m="1" x="20"/>
        <item m="1" x="24"/>
        <item m="1" x="32"/>
        <item m="1" x="34"/>
        <item m="1" x="29"/>
        <item m="1" x="21"/>
        <item m="1" x="38"/>
        <item m="1" x="3"/>
        <item m="1" x="52"/>
        <item m="1" x="17"/>
        <item m="1" x="39"/>
        <item m="1" x="4"/>
        <item m="1" x="19"/>
        <item m="1" x="41"/>
        <item m="1" x="5"/>
        <item m="1" x="23"/>
        <item m="1" x="43"/>
        <item m="1" x="50"/>
        <item m="1" x="37"/>
        <item m="1" x="18"/>
        <item m="1" x="27"/>
        <item m="1" x="44"/>
        <item m="1" x="51"/>
        <item m="1" x="30"/>
        <item m="1" x="28"/>
        <item m="1" x="7"/>
        <item m="1" x="13"/>
        <item m="1" x="8"/>
        <item m="1" x="47"/>
        <item m="1" x="12"/>
        <item m="1" x="10"/>
        <item m="1" x="48"/>
        <item m="1" x="9"/>
        <item m="1" x="6"/>
        <item m="1" x="45"/>
        <item m="1" x="46"/>
        <item m="1" x="14"/>
        <item m="1" x="40"/>
        <item m="1" x="49"/>
        <item m="1" x="11"/>
        <item m="1" x="33"/>
        <item m="1" x="26"/>
        <item m="1" x="42"/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7">
    <i>
      <x/>
    </i>
    <i r="1">
      <x v="50"/>
    </i>
    <i>
      <x v="1"/>
    </i>
    <i r="1">
      <x v="51"/>
    </i>
    <i>
      <x v="2"/>
    </i>
    <i r="1">
      <x v="5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1CD188-3C9B-4FB1-AA0E-BF9B4C395D4D}" name="TablaDinámica1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60">
  <location ref="C2:F9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5">
        <item x="0"/>
        <item x="1"/>
        <item x="2"/>
        <item m="1" x="12"/>
        <item m="1" x="4"/>
        <item m="1" x="6"/>
        <item m="1" x="7"/>
        <item m="1" x="8"/>
        <item m="1" x="9"/>
        <item m="1" x="10"/>
        <item m="1" x="11"/>
        <item m="1" x="13"/>
        <item m="1" x="3"/>
        <item m="1" x="5"/>
        <item t="default"/>
      </items>
    </pivotField>
    <pivotField showAll="0"/>
    <pivotField showAll="0"/>
    <pivotField axis="axisRow" showAll="0">
      <items count="54">
        <item m="1" x="15"/>
        <item m="1" x="25"/>
        <item m="1" x="35"/>
        <item m="1" x="22"/>
        <item m="1" x="36"/>
        <item m="1" x="31"/>
        <item m="1" x="16"/>
        <item m="1" x="20"/>
        <item m="1" x="24"/>
        <item m="1" x="32"/>
        <item m="1" x="34"/>
        <item m="1" x="29"/>
        <item m="1" x="21"/>
        <item m="1" x="38"/>
        <item m="1" x="3"/>
        <item m="1" x="52"/>
        <item m="1" x="17"/>
        <item m="1" x="39"/>
        <item m="1" x="4"/>
        <item m="1" x="19"/>
        <item m="1" x="41"/>
        <item m="1" x="5"/>
        <item m="1" x="23"/>
        <item m="1" x="43"/>
        <item m="1" x="50"/>
        <item m="1" x="37"/>
        <item m="1" x="18"/>
        <item m="1" x="27"/>
        <item m="1" x="44"/>
        <item m="1" x="51"/>
        <item m="1" x="30"/>
        <item m="1" x="28"/>
        <item m="1" x="7"/>
        <item m="1" x="13"/>
        <item m="1" x="8"/>
        <item m="1" x="47"/>
        <item m="1" x="12"/>
        <item m="1" x="10"/>
        <item m="1" x="48"/>
        <item m="1" x="9"/>
        <item m="1" x="6"/>
        <item m="1" x="45"/>
        <item m="1" x="46"/>
        <item m="1" x="14"/>
        <item m="1" x="40"/>
        <item m="1" x="49"/>
        <item m="1" x="11"/>
        <item m="1" x="33"/>
        <item m="1" x="26"/>
        <item m="1" x="42"/>
        <item x="0"/>
        <item x="1"/>
        <item x="2"/>
        <item t="default"/>
      </items>
    </pivotField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7">
    <i>
      <x/>
    </i>
    <i r="1">
      <x v="50"/>
    </i>
    <i>
      <x v="1"/>
    </i>
    <i r="1">
      <x v="51"/>
    </i>
    <i>
      <x v="2"/>
    </i>
    <i r="1">
      <x v="5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eficiencia" fld="35" baseField="0" baseItem="0" numFmtId="1"/>
  </dataFields>
  <formats count="2">
    <format dxfId="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4"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2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7" count="1" selected="0">
            <x v="7"/>
          </reference>
        </references>
      </pivotArea>
    </chartFormat>
    <chartFormat chart="4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55318-16E0-4FAF-8462-22D47B472469}" name="TablaDinámica9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1">
  <location ref="AK5:AM6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>
      <items count="54">
        <item m="1" x="21"/>
        <item m="1" x="37"/>
        <item m="1" x="30"/>
        <item x="2"/>
        <item m="1" x="15"/>
        <item m="1" x="8"/>
        <item m="1" x="47"/>
        <item m="1" x="25"/>
        <item m="1" x="32"/>
        <item x="0"/>
        <item m="1" x="42"/>
        <item m="1" x="9"/>
        <item m="1" x="48"/>
        <item m="1" x="35"/>
        <item m="1" x="49"/>
        <item m="1" x="13"/>
        <item m="1" x="28"/>
        <item m="1" x="18"/>
        <item m="1" x="22"/>
        <item m="1" x="6"/>
        <item m="1" x="33"/>
        <item m="1" x="36"/>
        <item m="1" x="27"/>
        <item m="1" x="7"/>
        <item m="1" x="31"/>
        <item m="1" x="40"/>
        <item m="1" x="12"/>
        <item m="1" x="16"/>
        <item m="1" x="29"/>
        <item m="1" x="51"/>
        <item m="1" x="50"/>
        <item m="1" x="38"/>
        <item m="1" x="52"/>
        <item m="1" x="17"/>
        <item m="1" x="39"/>
        <item m="1" x="4"/>
        <item m="1" x="19"/>
        <item m="1" x="41"/>
        <item m="1" x="5"/>
        <item m="1" x="23"/>
        <item x="1"/>
        <item m="1" x="14"/>
        <item m="1" x="46"/>
        <item m="1" x="20"/>
        <item m="1" x="24"/>
        <item m="1" x="45"/>
        <item m="1" x="26"/>
        <item m="1" x="11"/>
        <item m="1" x="10"/>
        <item m="1" x="34"/>
        <item m="1" x="43"/>
        <item m="1" x="44"/>
        <item m="1" x="3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Asistencias" fld="5" baseField="0" baseItem="0"/>
    <dataField name="Recuperaciones" fld="11" baseField="0" baseItem="0"/>
    <dataField name="Suma de Exclusión +" fld="12" baseField="0" baseItem="0"/>
  </dataFields>
  <chartFormats count="1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DA253-408D-4D36-8881-330B3ECC21DF}" name="TablaDinámica10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3">
  <location ref="AU4:AX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 sortType="ascending"/>
    <pivotField showAll="0"/>
    <pivotField showAll="0"/>
    <pivotField showAll="0">
      <items count="54">
        <item m="1" x="21"/>
        <item m="1" x="37"/>
        <item m="1" x="30"/>
        <item x="2"/>
        <item m="1" x="15"/>
        <item m="1" x="8"/>
        <item m="1" x="47"/>
        <item m="1" x="25"/>
        <item m="1" x="32"/>
        <item x="0"/>
        <item m="1" x="42"/>
        <item m="1" x="9"/>
        <item m="1" x="48"/>
        <item m="1" x="35"/>
        <item m="1" x="49"/>
        <item m="1" x="13"/>
        <item m="1" x="28"/>
        <item m="1" x="18"/>
        <item m="1" x="22"/>
        <item m="1" x="6"/>
        <item m="1" x="33"/>
        <item m="1" x="36"/>
        <item m="1" x="27"/>
        <item m="1" x="7"/>
        <item m="1" x="31"/>
        <item m="1" x="40"/>
        <item m="1" x="12"/>
        <item m="1" x="16"/>
        <item m="1" x="29"/>
        <item m="1" x="51"/>
        <item m="1" x="50"/>
        <item m="1" x="38"/>
        <item m="1" x="52"/>
        <item m="1" x="17"/>
        <item m="1" x="39"/>
        <item m="1" x="4"/>
        <item m="1" x="19"/>
        <item m="1" x="41"/>
        <item m="1" x="5"/>
        <item m="1" x="23"/>
        <item x="1"/>
        <item m="1" x="14"/>
        <item m="1" x="46"/>
        <item m="1" x="20"/>
        <item m="1" x="24"/>
        <item m="1" x="45"/>
        <item m="1" x="26"/>
        <item m="1" x="11"/>
        <item m="1" x="10"/>
        <item m="1" x="34"/>
        <item m="1" x="43"/>
        <item m="1" x="44"/>
        <item m="1" x="3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32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6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6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6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6B38A6-2D24-4B98-84B6-2285A3ACE4B9}" name="TablaDinámica3" cacheId="6" applyNumberFormats="0" applyBorderFormats="0" applyFontFormats="0" applyPatternFormats="0" applyAlignmentFormats="0" applyWidthHeightFormats="1" dataCaption="Valores" showMissing="0" updatedVersion="6" minRefreshableVersion="3" showDrill="0" useAutoFormatting="1" itemPrintTitles="1" createdVersion="8" indent="0" showHeaders="0" outline="1" outlineData="1" multipleFieldFilters="0" chartFormat="50">
  <location ref="K2:N9" firstHeaderRow="0" firstDataRow="1" firstDataCol="1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5">
        <item x="0"/>
        <item x="1"/>
        <item x="2"/>
        <item m="1" x="12"/>
        <item m="1" x="4"/>
        <item m="1" x="6"/>
        <item m="1" x="7"/>
        <item m="1" x="8"/>
        <item m="1" x="9"/>
        <item m="1" x="10"/>
        <item m="1" x="11"/>
        <item m="1" x="13"/>
        <item m="1" x="3"/>
        <item m="1" x="5"/>
        <item t="default"/>
      </items>
    </pivotField>
    <pivotField showAll="0"/>
    <pivotField showAll="0"/>
    <pivotField axis="axisRow" showAll="0">
      <items count="54">
        <item m="1" x="15"/>
        <item m="1" x="25"/>
        <item m="1" x="35"/>
        <item m="1" x="22"/>
        <item m="1" x="36"/>
        <item m="1" x="31"/>
        <item m="1" x="16"/>
        <item m="1" x="20"/>
        <item m="1" x="24"/>
        <item m="1" x="32"/>
        <item m="1" x="34"/>
        <item m="1" x="29"/>
        <item m="1" x="21"/>
        <item m="1" x="38"/>
        <item m="1" x="3"/>
        <item m="1" x="52"/>
        <item m="1" x="17"/>
        <item m="1" x="39"/>
        <item m="1" x="4"/>
        <item m="1" x="19"/>
        <item m="1" x="41"/>
        <item m="1" x="5"/>
        <item m="1" x="23"/>
        <item m="1" x="43"/>
        <item m="1" x="50"/>
        <item m="1" x="37"/>
        <item m="1" x="18"/>
        <item m="1" x="27"/>
        <item m="1" x="44"/>
        <item m="1" x="51"/>
        <item m="1" x="30"/>
        <item m="1" x="28"/>
        <item m="1" x="7"/>
        <item m="1" x="13"/>
        <item m="1" x="8"/>
        <item m="1" x="47"/>
        <item m="1" x="12"/>
        <item m="1" x="10"/>
        <item m="1" x="48"/>
        <item m="1" x="9"/>
        <item m="1" x="6"/>
        <item m="1" x="45"/>
        <item m="1" x="46"/>
        <item m="1" x="14"/>
        <item m="1" x="40"/>
        <item m="1" x="49"/>
        <item m="1" x="11"/>
        <item m="1" x="33"/>
        <item m="1" x="26"/>
        <item m="1" x="42"/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7">
    <i>
      <x/>
    </i>
    <i r="1">
      <x v="50"/>
    </i>
    <i>
      <x v="1"/>
    </i>
    <i r="1">
      <x v="51"/>
    </i>
    <i>
      <x v="2"/>
    </i>
    <i r="1">
      <x v="5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Paradas" fld="2" baseField="0" baseItem="0"/>
    <dataField name="Suma de goles contra" fld="20" baseField="0" baseItem="0"/>
    <dataField name="Suma de eficiencia porteria" fld="37" baseField="0" baseItem="0" numFmtId="1"/>
  </dataFields>
  <formats count="2">
    <format dxfId="2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9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4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9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3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9" format="3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ugador" xr10:uid="{BB9D893D-80F2-4C15-9AD4-966D82A803CE}" sourceName="Jugador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21">
        <i x="2"/>
        <i x="13" s="1"/>
        <i x="0"/>
        <i x="1"/>
        <i x="7"/>
        <i x="17"/>
        <i x="16"/>
        <i x="9"/>
        <i x="14"/>
        <i x="8"/>
        <i x="4"/>
        <i x="15"/>
        <i x="12"/>
        <i x="3"/>
        <i x="10"/>
        <i x="6"/>
        <i x="18"/>
        <i x="5"/>
        <i x="11"/>
        <i x="20" nd="1"/>
        <i x="19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ON1" xr10:uid="{CCF78E84-9C10-43C7-9C1B-830EE86EACB7}" sourceName="POSICION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5">
        <i x="0" s="1"/>
        <i x="3" s="1" nd="1"/>
        <i x="4" s="1" nd="1"/>
        <i x="1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ival" xr10:uid="{B052BAB3-8FBF-4D17-AEBC-0930A6520015}" sourceName="rival">
  <pivotTables>
    <pivotTable tabId="2" name="TablaDinámica5"/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6" name="TablaDinámica1"/>
    <pivotTable tabId="2" name="TablaDinámica6"/>
    <pivotTable tabId="6" name="TablaDinámica3"/>
    <pivotTable tabId="6" name="TablaDinámica6"/>
    <pivotTable tabId="6" name="TablaDinámica7"/>
    <pivotTable tabId="6" name="TablaDinámica8"/>
    <pivotTable tabId="6" name="TablaDinámica9"/>
    <pivotTable tabId="2" name="TablaDinámica1"/>
    <pivotTable tabId="2" name="TablaDinámica7"/>
    <pivotTable tabId="2" name="TablaDinámica8"/>
    <pivotTable tabId="6" name="TablaDinámica5"/>
    <pivotTable tabId="6" name="TablaDinámica10"/>
  </pivotTables>
  <data>
    <tabular pivotCacheId="120843229">
      <items count="53">
        <i x="2" s="1"/>
        <i x="0" s="1"/>
        <i x="1" s="1"/>
        <i x="21" s="1" nd="1"/>
        <i x="37" s="1" nd="1"/>
        <i x="30" s="1" nd="1"/>
        <i x="15" s="1" nd="1"/>
        <i x="8" s="1" nd="1"/>
        <i x="47" s="1" nd="1"/>
        <i x="25" s="1" nd="1"/>
        <i x="32" s="1" nd="1"/>
        <i x="42" s="1" nd="1"/>
        <i x="9" s="1" nd="1"/>
        <i x="48" s="1" nd="1"/>
        <i x="35" s="1" nd="1"/>
        <i x="49" s="1" nd="1"/>
        <i x="13" s="1" nd="1"/>
        <i x="28" s="1" nd="1"/>
        <i x="18" s="1" nd="1"/>
        <i x="22" s="1" nd="1"/>
        <i x="6" s="1" nd="1"/>
        <i x="33" s="1" nd="1"/>
        <i x="36" s="1" nd="1"/>
        <i x="27" s="1" nd="1"/>
        <i x="7" s="1" nd="1"/>
        <i x="31" s="1" nd="1"/>
        <i x="40" s="1" nd="1"/>
        <i x="12" s="1" nd="1"/>
        <i x="16" s="1" nd="1"/>
        <i x="29" s="1" nd="1"/>
        <i x="51" s="1" nd="1"/>
        <i x="50" s="1" nd="1"/>
        <i x="38" s="1" nd="1"/>
        <i x="52" s="1" nd="1"/>
        <i x="17" s="1" nd="1"/>
        <i x="39" s="1" nd="1"/>
        <i x="4" s="1" nd="1"/>
        <i x="19" s="1" nd="1"/>
        <i x="41" s="1" nd="1"/>
        <i x="5" s="1" nd="1"/>
        <i x="23" s="1" nd="1"/>
        <i x="14" s="1" nd="1"/>
        <i x="46" s="1" nd="1"/>
        <i x="20" s="1" nd="1"/>
        <i x="24" s="1" nd="1"/>
        <i x="45" s="1" nd="1"/>
        <i x="26" s="1" nd="1"/>
        <i x="11" s="1" nd="1"/>
        <i x="10" s="1" nd="1"/>
        <i x="34" s="1" nd="1"/>
        <i x="43" s="1" nd="1"/>
        <i x="44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1" xr10:uid="{035914E3-606A-4CD8-88B1-FDFA03485716}" cache="SegmentaciónDeDatos_Jugador" columnCount="5" style="mi estilo personalizado" rowHeight="144000"/>
  <slicer name="POSICION 2" xr10:uid="{22F0A668-1831-476F-83AD-7229345550C1}" cache="SegmentaciónDeDatos_POSICION1" style="mi estilo personalizado 2" rowHeight="288000"/>
  <slicer name="rival 1" xr10:uid="{FE9C9075-EA64-423E-9FAA-F07EA8D18D51}" cache="SegmentaciónDeDatos_rival" style="mi estilo personalizado 2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2" xr10:uid="{DAEC2F3C-5B57-4A32-8EDF-91904C01C43B}" cache="SegmentaciónDeDatos_rival" style="mi estilo personalizado 2" rowHeight="198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2" xr10:uid="{54B902D9-414A-4085-B143-5B290E95064E}" cache="SegmentaciónDeDatos_Jugador" columnCount="5" style="mi estilo personalizado" rowHeight="144000"/>
  <slicer name="POSICION 3" xr10:uid="{05167CAF-CA40-46A1-9DF1-6F125148DE72}" cache="SegmentaciónDeDatos_POSICION1" style="mi estilo personalizado 2" rowHeight="288000"/>
  <slicer name="rival 3" xr10:uid="{F665416F-5CE2-4079-9407-A5E082ED4834}" cache="SegmentaciónDeDatos_rival" style="mi estilo personalizado 2" rowHeight="144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4" xr10:uid="{1A6C394E-405E-407C-B1A2-BC203D4DDDF4}" cache="SegmentaciónDeDatos_rival" style="mi estilo personalizado 2" rowHeight="1440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3" xr10:uid="{5EE8BDC7-BC46-4E6C-8796-174AD8503414}" cache="SegmentaciónDeDatos_Jugador" columnCount="5" style="mi estilo personalizado" rowHeight="144000"/>
  <slicer name="POSICION 4" xr10:uid="{BA0B79D7-6E19-4092-8586-A05FDC297F3B}" cache="SegmentaciónDeDatos_POSICION1" style="mi estilo personalizado 2" rowHeight="288000"/>
  <slicer name="rival 5" xr10:uid="{C9C3C6FD-799E-4EC3-8511-D053B08D756A}" cache="SegmentaciónDeDatos_rival" style="mi estilo personalizado 2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5CE92B-D59C-434C-9ABD-2B888266E35D}" name="BD_ESTADISTICA_INF_B" displayName="BD_ESTADISTICA_INF_B" ref="A1:Y58" totalsRowShown="0">
  <autoFilter ref="A1:Y58" xr:uid="{4E0CACF7-2516-40E4-A13A-36A69BFCF042}"/>
  <tableColumns count="25">
    <tableColumn id="1" xr3:uid="{52391530-6B4D-4F5B-A13F-EBEFDEBFF05D}" name="Jugador" dataDxfId="46" dataCellStyle="Normal 3"/>
    <tableColumn id="2" xr3:uid="{20EFE687-939F-4CE3-B940-223B282FF463}" name="Goles" dataDxfId="45" dataCellStyle="Normal 3"/>
    <tableColumn id="3" xr3:uid="{684A7D4D-D7B7-43F6-9A93-2ACF8C669153}" name="Paradas" dataDxfId="44" dataCellStyle="Normal 3"/>
    <tableColumn id="4" xr3:uid="{AAA14793-E69C-41E1-B0A0-4517D77AAD17}" name="Lanzam." dataDxfId="43" dataCellStyle="Normal 3"/>
    <tableColumn id="5" xr3:uid="{F7F9DF44-8244-4CC7-A0D1-06835389FDF4}" name="% lanz" dataDxfId="42" dataCellStyle="Porcentaje"/>
    <tableColumn id="25" xr3:uid="{A05E9E94-D1D8-4158-ADDE-CCCFF9673ED3}" name="Lanzam. 7m" dataDxfId="0" dataCellStyle="Porcentaje"/>
    <tableColumn id="22" xr3:uid="{9AE97ECA-6477-4CB7-8F60-DC8048B4A0DB}" name="Goles 7m" dataDxfId="1" dataCellStyle="Porcentaje"/>
    <tableColumn id="7" xr3:uid="{08DF6B37-12B5-4917-A522-F9142A96DB9B}" name="Asistencia" dataDxfId="41" dataCellStyle="Normal 3"/>
    <tableColumn id="8" xr3:uid="{50A8FB8C-4A7A-49D3-9AE9-3E8F48319DD1}" name="Exclusión" dataDxfId="40" dataCellStyle="Normal 3"/>
    <tableColumn id="9" xr3:uid="{0AF59981-5FBC-4DB2-8698-5D9F1ABC4155}" name="Pase" dataDxfId="39" dataCellStyle="Normal 3"/>
    <tableColumn id="10" xr3:uid="{9ABA852E-5F94-4462-B626-D21E860A5324}" name="Área" dataDxfId="38" dataCellStyle="Normal 3"/>
    <tableColumn id="12" xr3:uid="{541EE240-2B80-4C0C-B283-653D786EBF8E}" name="Pasos" dataDxfId="37" dataCellStyle="Normal 3"/>
    <tableColumn id="13" xr3:uid="{B9EEDD3B-D6DD-47C4-B010-4986464C3E47}" name="Otro" dataDxfId="36" dataCellStyle="Normal 3"/>
    <tableColumn id="14" xr3:uid="{5E37AACF-BE34-4507-831A-2294DC02D750}" name="Recup." dataDxfId="35" dataCellStyle="Normal 3"/>
    <tableColumn id="17" xr3:uid="{5CB4A98F-AC59-4C79-8B6E-D9EBC0F6C1BD}" name="Exclusión +" dataDxfId="34" dataCellStyle="Normal 3"/>
    <tableColumn id="6" xr3:uid="{2C6E471F-6D3B-42C8-81FA-7636186D2DE9}" name="PenaltiProvocado" dataDxfId="33" dataCellStyle="Normal 3"/>
    <tableColumn id="19" xr3:uid="{7C109E22-7D05-4D3D-9416-9760085CC706}" name="JORNADA" dataDxfId="32" dataCellStyle="Normal 2"/>
    <tableColumn id="20" xr3:uid="{6759F103-2E20-4B91-8851-820730AE8C35}" name="FASE" dataDxfId="31" dataCellStyle="Normal 2"/>
    <tableColumn id="21" xr3:uid="{DEA2EBD3-381A-4D3F-B764-26F8F743F131}" name="L/V" dataDxfId="30" dataCellStyle="Normal 3"/>
    <tableColumn id="23" xr3:uid="{D5CC1344-44F2-4559-86D2-5CD43B67B00C}" name="rival" dataDxfId="29" dataCellStyle="Normal 3"/>
    <tableColumn id="24" xr3:uid="{ECA9CC20-8ECF-411F-8B7A-C9AFCD3B84C9}" name="POSICION" dataDxfId="28" dataCellStyle="Normal 3"/>
    <tableColumn id="11" xr3:uid="{96A71FE8-7C2B-4C18-AC1B-E8C62789BC53}" name="goles favor" dataDxfId="27" dataCellStyle="Normal 3"/>
    <tableColumn id="15" xr3:uid="{46089932-E578-45E8-A8AB-7B2B44941717}" name="goles contra" dataDxfId="26" dataCellStyle="Normal 3"/>
    <tableColumn id="16" xr3:uid="{BDAED3E0-6A88-4C71-B9F0-1E82A087A2F2}" name="lanzamientos realizados" dataDxfId="25" dataCellStyle="Normal 3"/>
    <tableColumn id="18" xr3:uid="{7B0893AD-D9E4-4F00-8941-20FDECBB17AC}" name="lanzamientos recibidos" dataDxfId="24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xml"/><Relationship Id="rId3" Type="http://schemas.openxmlformats.org/officeDocument/2006/relationships/pivotTable" Target="../pivotTables/pivotTable13.xml"/><Relationship Id="rId7" Type="http://schemas.openxmlformats.org/officeDocument/2006/relationships/pivotTable" Target="../pivotTables/pivotTable17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11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15.xml"/><Relationship Id="rId10" Type="http://schemas.openxmlformats.org/officeDocument/2006/relationships/pivotTable" Target="../pivotTables/pivotTable20.xml"/><Relationship Id="rId4" Type="http://schemas.openxmlformats.org/officeDocument/2006/relationships/pivotTable" Target="../pivotTables/pivotTable14.xml"/><Relationship Id="rId9" Type="http://schemas.openxmlformats.org/officeDocument/2006/relationships/pivotTable" Target="../pivotTables/pivotTable19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A84E-6584-4CC5-AB3A-05A7BF8F29C4}">
  <sheetPr>
    <tabColor rgb="FF004D98"/>
  </sheetPr>
  <dimension ref="A1:T40"/>
  <sheetViews>
    <sheetView zoomScale="90" workbookViewId="0">
      <selection activeCell="B20" sqref="B20"/>
    </sheetView>
  </sheetViews>
  <sheetFormatPr baseColWidth="10" defaultColWidth="8.796875" defaultRowHeight="13.8"/>
  <cols>
    <col min="1" max="1" width="2" customWidth="1"/>
    <col min="2" max="2" width="30" customWidth="1"/>
    <col min="3" max="3" width="3" customWidth="1"/>
    <col min="4" max="4" width="30" customWidth="1"/>
    <col min="20" max="20" width="33.19921875" customWidth="1"/>
  </cols>
  <sheetData>
    <row r="1" spans="1:20">
      <c r="A1" s="27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</row>
    <row r="2" spans="1:20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</row>
    <row r="3" spans="1:20">
      <c r="A3" s="27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</row>
    <row r="4" spans="1:20">
      <c r="A4" s="27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</row>
    <row r="5" spans="1:20" ht="28.05" customHeight="1">
      <c r="A5" s="27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</row>
    <row r="6" spans="1:20" ht="42" customHeight="1">
      <c r="A6" s="27"/>
      <c r="B6" s="30" t="s">
        <v>119</v>
      </c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</row>
    <row r="7" spans="1:20" ht="28.05" customHeight="1">
      <c r="A7" s="27"/>
      <c r="B7" s="31" t="s">
        <v>103</v>
      </c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</row>
    <row r="8" spans="1:20" ht="28.05" customHeight="1">
      <c r="A8" s="27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</row>
    <row r="9" spans="1:20" ht="3" customHeight="1">
      <c r="A9" s="27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</row>
    <row r="10" spans="1:20" ht="7.95" customHeight="1">
      <c r="A10" s="27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</row>
    <row r="11" spans="1:20" ht="28.05" customHeight="1">
      <c r="A11" s="27"/>
      <c r="B11" s="33" t="s">
        <v>104</v>
      </c>
      <c r="C11" s="28"/>
      <c r="D11" s="34" t="s">
        <v>105</v>
      </c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</row>
    <row r="12" spans="1:20" ht="28.05" customHeight="1">
      <c r="A12" s="27"/>
      <c r="B12" s="33" t="s">
        <v>106</v>
      </c>
      <c r="C12" s="28"/>
      <c r="D12" s="34" t="s">
        <v>107</v>
      </c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</row>
    <row r="13" spans="1:20" ht="28.05" customHeight="1">
      <c r="A13" s="27"/>
      <c r="B13" s="33" t="s">
        <v>108</v>
      </c>
      <c r="C13" s="28"/>
      <c r="D13" s="34" t="s">
        <v>109</v>
      </c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</row>
    <row r="14" spans="1:20" ht="28.05" customHeight="1">
      <c r="A14" s="27"/>
      <c r="B14" s="33" t="s">
        <v>110</v>
      </c>
      <c r="C14" s="28"/>
      <c r="D14" s="34" t="s">
        <v>111</v>
      </c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</row>
    <row r="15" spans="1:20">
      <c r="A15" s="27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</row>
    <row r="16" spans="1:20">
      <c r="A16" s="27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</row>
    <row r="17" spans="1:20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</row>
    <row r="18" spans="1:20" ht="25.95" customHeight="1">
      <c r="A18" s="27"/>
      <c r="B18" s="35" t="s">
        <v>112</v>
      </c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</row>
    <row r="19" spans="1:20" ht="7.95" customHeight="1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</row>
    <row r="20" spans="1:20" ht="22.05" customHeight="1">
      <c r="A20" s="27"/>
      <c r="B20" s="36" t="s">
        <v>113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</row>
    <row r="21" spans="1:20" ht="22.05" customHeight="1">
      <c r="A21" s="27"/>
      <c r="B21" s="36" t="s">
        <v>114</v>
      </c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</row>
    <row r="22" spans="1:20" ht="22.05" customHeight="1">
      <c r="A22" s="27"/>
      <c r="B22" s="36" t="s">
        <v>115</v>
      </c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</row>
    <row r="23" spans="1:20" ht="22.05" customHeight="1">
      <c r="A23" s="27"/>
      <c r="B23" s="36" t="s">
        <v>116</v>
      </c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</row>
    <row r="24" spans="1:20" ht="22.05" customHeight="1">
      <c r="A24" s="27"/>
      <c r="B24" s="36" t="s">
        <v>117</v>
      </c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</row>
    <row r="25" spans="1:20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</row>
    <row r="26" spans="1:20">
      <c r="A26" s="27"/>
      <c r="B26" s="37" t="s">
        <v>118</v>
      </c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</row>
    <row r="27" spans="1:20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</row>
    <row r="28" spans="1:20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</row>
    <row r="29" spans="1:20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</row>
    <row r="30" spans="1:20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</row>
    <row r="31" spans="1:20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</row>
    <row r="32" spans="1:20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</row>
    <row r="33" spans="1:20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</row>
    <row r="34" spans="1:20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</row>
    <row r="35" spans="1:20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</row>
    <row r="36" spans="1:20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</row>
    <row r="37" spans="1:20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</row>
    <row r="38" spans="1:20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</row>
    <row r="39" spans="1:20">
      <c r="A39" s="27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</row>
    <row r="40" spans="1:20">
      <c r="A40" s="27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</row>
  </sheetData>
  <hyperlinks>
    <hyperlink ref="B20" location="Individual!A1" display="📊  ESTADÍSTICAS INDIVIDUALS" xr:uid="{2153C29F-DE95-431E-8212-9B83BA35B56C}"/>
    <hyperlink ref="B21" location="Equipo!A1" display="📊  ESTADÍSTICAS D'EQUIP" xr:uid="{D20F0521-3373-4FCD-AB2D-71EBDF4F9C79}"/>
    <hyperlink ref="B22" location="fitlro_individual!A1" display="🔍  FILTRE · INDIVIDUAL" xr:uid="{F40C9BE2-0558-4A36-AF75-B1DEA7E52970}"/>
    <hyperlink ref="B23" location="filtro_equipo!A1" display="🔍  FILTRE · EQUIP" xr:uid="{33AD1885-5F1C-4CF0-BA74-B07BB1D6466A}"/>
    <hyperlink ref="B24" location="Datos!A1" display="📋  DADES" xr:uid="{26E4B682-1220-4044-9EAC-96FD000B2B88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1465B-3683-4DEF-9148-67C020041D3A}">
  <sheetPr codeName="Hoja1">
    <tabColor rgb="FF002060"/>
  </sheetPr>
  <dimension ref="A1:Y58"/>
  <sheetViews>
    <sheetView tabSelected="1" workbookViewId="0">
      <pane ySplit="1" topLeftCell="A2" activePane="bottomLeft" state="frozen"/>
      <selection pane="bottomLeft" activeCell="G5" sqref="G5"/>
    </sheetView>
  </sheetViews>
  <sheetFormatPr baseColWidth="10" defaultColWidth="11.59765625" defaultRowHeight="14.4"/>
  <cols>
    <col min="1" max="1" width="11.59765625" style="7" bestFit="1" customWidth="1"/>
    <col min="2" max="2" width="9.8984375" style="7" bestFit="1" customWidth="1"/>
    <col min="3" max="3" width="11.59765625" style="7" bestFit="1" customWidth="1"/>
    <col min="4" max="4" width="11.8984375" style="7" bestFit="1" customWidth="1"/>
    <col min="5" max="5" width="10.296875" style="8" bestFit="1" customWidth="1"/>
    <col min="6" max="7" width="10.296875" style="39" customWidth="1"/>
    <col min="8" max="8" width="13.296875" style="7" bestFit="1" customWidth="1"/>
    <col min="9" max="9" width="12.69921875" style="7" bestFit="1" customWidth="1"/>
    <col min="10" max="11" width="9.09765625" style="7" bestFit="1" customWidth="1"/>
    <col min="12" max="12" width="9.8984375" style="7" bestFit="1" customWidth="1"/>
    <col min="13" max="13" width="9.09765625" style="7" bestFit="1" customWidth="1"/>
    <col min="14" max="14" width="10.8984375" style="7" bestFit="1" customWidth="1"/>
    <col min="15" max="15" width="14" style="7" bestFit="1" customWidth="1"/>
    <col min="16" max="16" width="19.09765625" style="7" bestFit="1" customWidth="1"/>
    <col min="17" max="17" width="13.296875" style="9" bestFit="1" customWidth="1"/>
    <col min="18" max="18" width="9.69921875" style="10" bestFit="1" customWidth="1"/>
    <col min="19" max="19" width="8.09765625" style="11" bestFit="1" customWidth="1"/>
    <col min="20" max="20" width="23.59765625" style="11" bestFit="1" customWidth="1"/>
    <col min="21" max="21" width="11.69921875" style="6" bestFit="1" customWidth="1"/>
    <col min="22" max="22" width="12.69921875" style="6" bestFit="1" customWidth="1"/>
    <col min="23" max="23" width="13.69921875" style="6" bestFit="1" customWidth="1"/>
    <col min="24" max="24" width="24.09765625" style="6" bestFit="1" customWidth="1"/>
    <col min="25" max="25" width="23.296875" style="6" bestFit="1" customWidth="1"/>
    <col min="26" max="16384" width="11.59765625" style="6"/>
  </cols>
  <sheetData>
    <row r="1" spans="1:25">
      <c r="A1" s="1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s="1" t="s">
        <v>125</v>
      </c>
      <c r="G1" s="1" t="s">
        <v>124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43</v>
      </c>
      <c r="Q1" s="3" t="s">
        <v>13</v>
      </c>
      <c r="R1" s="4" t="s">
        <v>14</v>
      </c>
      <c r="S1" s="5" t="s">
        <v>15</v>
      </c>
      <c r="T1" s="5" t="s">
        <v>32</v>
      </c>
      <c r="U1" s="6" t="s">
        <v>38</v>
      </c>
      <c r="V1" s="6" t="s">
        <v>52</v>
      </c>
      <c r="W1" s="6" t="s">
        <v>55</v>
      </c>
      <c r="X1" s="6" t="s">
        <v>53</v>
      </c>
      <c r="Y1" s="6" t="s">
        <v>54</v>
      </c>
    </row>
    <row r="2" spans="1:25">
      <c r="A2" s="44" t="s">
        <v>16</v>
      </c>
      <c r="B2" s="45"/>
      <c r="C2" s="45"/>
      <c r="D2" s="45"/>
      <c r="E2" s="39" t="str">
        <f>IF(BD_ESTADISTICA_INF_B[[#This Row],[Lanzam.]]="","",IF(BD_ESTADISTICA_INF_B[[#This Row],[POSICION]]="jugador",B2/D2,C2/D2))</f>
        <v/>
      </c>
      <c r="H2" s="45"/>
      <c r="I2" s="45"/>
      <c r="J2" s="45"/>
      <c r="K2" s="45"/>
      <c r="L2" s="45"/>
      <c r="M2" s="45"/>
      <c r="N2" s="45"/>
      <c r="O2" s="45"/>
      <c r="P2" s="45"/>
      <c r="Q2" s="46">
        <v>1</v>
      </c>
      <c r="R2" s="47" t="s">
        <v>120</v>
      </c>
      <c r="S2" s="48" t="s">
        <v>79</v>
      </c>
      <c r="T2" s="40" t="s">
        <v>121</v>
      </c>
      <c r="U2" s="49" t="str">
        <f>IF(OR(BD_ESTADISTICA_INF_B[[#This Row],[Jugador]]="eudald",BD_ESTADISTICA_INF_B[[#This Row],[Jugador]]="jules",BD_ESTADISTICA_INF_B[[#This Row],[Jugador]]="JAN"),"PORTERO","JUGADOR")</f>
        <v>JUGADOR</v>
      </c>
      <c r="V2" s="49">
        <f>IF(BD_ESTADISTICA_INF_B[[#This Row],[POSICION]]="jugador",BD_ESTADISTICA_INF_B[[#This Row],[Goles]],0)</f>
        <v>0</v>
      </c>
      <c r="W2" s="49">
        <f>IF(BD_ESTADISTICA_INF_B[[#This Row],[POSICION]]="portero",BD_ESTADISTICA_INF_B[[#This Row],[Lanzam.]]-BD_ESTADISTICA_INF_B[[#This Row],[Paradas]],0)</f>
        <v>0</v>
      </c>
      <c r="X2" s="49">
        <f>IF(BD_ESTADISTICA_INF_B[[#This Row],[POSICION]]="jugador",BD_ESTADISTICA_INF_B[[#This Row],[Lanzam.]],0)</f>
        <v>0</v>
      </c>
      <c r="Y2" s="49">
        <f>IF(BD_ESTADISTICA_INF_B[[#This Row],[POSICION]]="portero",BD_ESTADISTICA_INF_B[[#This Row],[Lanzam.]],0)</f>
        <v>0</v>
      </c>
    </row>
    <row r="3" spans="1:25">
      <c r="A3" s="44" t="s">
        <v>17</v>
      </c>
      <c r="B3" s="45"/>
      <c r="C3" s="45"/>
      <c r="D3" s="45"/>
      <c r="E3" s="39" t="str">
        <f>IF(BD_ESTADISTICA_INF_B[[#This Row],[Lanzam.]]="","",IF(BD_ESTADISTICA_INF_B[[#This Row],[POSICION]]="jugador",B3/D3,C3/D3))</f>
        <v/>
      </c>
      <c r="H3" s="45"/>
      <c r="I3" s="45"/>
      <c r="J3" s="45"/>
      <c r="K3" s="45"/>
      <c r="L3" s="45"/>
      <c r="M3" s="45"/>
      <c r="N3" s="45"/>
      <c r="O3" s="45"/>
      <c r="P3" s="45"/>
      <c r="Q3" s="46">
        <v>1</v>
      </c>
      <c r="R3" s="47" t="s">
        <v>120</v>
      </c>
      <c r="S3" s="48" t="s">
        <v>79</v>
      </c>
      <c r="T3" s="40" t="s">
        <v>121</v>
      </c>
      <c r="U3" s="49" t="str">
        <f>IF(OR(BD_ESTADISTICA_INF_B[[#This Row],[Jugador]]="eudald",BD_ESTADISTICA_INF_B[[#This Row],[Jugador]]="jules",BD_ESTADISTICA_INF_B[[#This Row],[Jugador]]="JAN"),"PORTERO","JUGADOR")</f>
        <v>JUGADOR</v>
      </c>
      <c r="V3" s="49">
        <f>IF(BD_ESTADISTICA_INF_B[[#This Row],[POSICION]]="jugador",BD_ESTADISTICA_INF_B[[#This Row],[Goles]],0)</f>
        <v>0</v>
      </c>
      <c r="W3" s="49">
        <f>IF(BD_ESTADISTICA_INF_B[[#This Row],[POSICION]]="portero",BD_ESTADISTICA_INF_B[[#This Row],[Lanzam.]]-BD_ESTADISTICA_INF_B[[#This Row],[Paradas]],0)</f>
        <v>0</v>
      </c>
      <c r="X3" s="49">
        <f>IF(BD_ESTADISTICA_INF_B[[#This Row],[POSICION]]="jugador",BD_ESTADISTICA_INF_B[[#This Row],[Lanzam.]],0)</f>
        <v>0</v>
      </c>
      <c r="Y3" s="49">
        <f>IF(BD_ESTADISTICA_INF_B[[#This Row],[POSICION]]="portero",BD_ESTADISTICA_INF_B[[#This Row],[Lanzam.]],0)</f>
        <v>0</v>
      </c>
    </row>
    <row r="4" spans="1:25">
      <c r="A4" s="44" t="s">
        <v>18</v>
      </c>
      <c r="B4" s="45"/>
      <c r="C4" s="45"/>
      <c r="D4" s="45"/>
      <c r="E4" s="39" t="str">
        <f>IF(BD_ESTADISTICA_INF_B[[#This Row],[Lanzam.]]="","",IF(BD_ESTADISTICA_INF_B[[#This Row],[POSICION]]="jugador",B4/D4,C4/D4))</f>
        <v/>
      </c>
      <c r="H4" s="45"/>
      <c r="I4" s="45"/>
      <c r="J4" s="45"/>
      <c r="K4" s="45"/>
      <c r="L4" s="45"/>
      <c r="M4" s="45"/>
      <c r="N4" s="45"/>
      <c r="O4" s="45"/>
      <c r="P4" s="45"/>
      <c r="Q4" s="46">
        <v>1</v>
      </c>
      <c r="R4" s="47" t="s">
        <v>120</v>
      </c>
      <c r="S4" s="48" t="s">
        <v>79</v>
      </c>
      <c r="T4" s="40" t="s">
        <v>121</v>
      </c>
      <c r="U4" s="49" t="str">
        <f>IF(OR(BD_ESTADISTICA_INF_B[[#This Row],[Jugador]]="eudald",BD_ESTADISTICA_INF_B[[#This Row],[Jugador]]="jules",BD_ESTADISTICA_INF_B[[#This Row],[Jugador]]="JAN"),"PORTERO","JUGADOR")</f>
        <v>JUGADOR</v>
      </c>
      <c r="V4" s="49">
        <f>IF(BD_ESTADISTICA_INF_B[[#This Row],[POSICION]]="jugador",BD_ESTADISTICA_INF_B[[#This Row],[Goles]],0)</f>
        <v>0</v>
      </c>
      <c r="W4" s="49">
        <f>IF(BD_ESTADISTICA_INF_B[[#This Row],[POSICION]]="portero",BD_ESTADISTICA_INF_B[[#This Row],[Lanzam.]]-BD_ESTADISTICA_INF_B[[#This Row],[Paradas]],0)</f>
        <v>0</v>
      </c>
      <c r="X4" s="49">
        <f>IF(BD_ESTADISTICA_INF_B[[#This Row],[POSICION]]="jugador",BD_ESTADISTICA_INF_B[[#This Row],[Lanzam.]],0)</f>
        <v>0</v>
      </c>
      <c r="Y4" s="49">
        <f>IF(BD_ESTADISTICA_INF_B[[#This Row],[POSICION]]="portero",BD_ESTADISTICA_INF_B[[#This Row],[Lanzam.]],0)</f>
        <v>0</v>
      </c>
    </row>
    <row r="5" spans="1:25">
      <c r="A5" s="44" t="s">
        <v>19</v>
      </c>
      <c r="B5" s="45"/>
      <c r="C5" s="45"/>
      <c r="D5" s="45"/>
      <c r="E5" s="39" t="str">
        <f>IF(BD_ESTADISTICA_INF_B[[#This Row],[Lanzam.]]="","",IF(BD_ESTADISTICA_INF_B[[#This Row],[POSICION]]="jugador",B5/D5,C5/D5))</f>
        <v/>
      </c>
      <c r="H5" s="45"/>
      <c r="I5" s="45"/>
      <c r="J5" s="45"/>
      <c r="K5" s="45"/>
      <c r="L5" s="45"/>
      <c r="M5" s="45"/>
      <c r="N5" s="45"/>
      <c r="O5" s="45"/>
      <c r="P5" s="45"/>
      <c r="Q5" s="46">
        <v>1</v>
      </c>
      <c r="R5" s="47" t="s">
        <v>120</v>
      </c>
      <c r="S5" s="48" t="s">
        <v>79</v>
      </c>
      <c r="T5" s="40" t="s">
        <v>121</v>
      </c>
      <c r="U5" s="49" t="str">
        <f>IF(OR(BD_ESTADISTICA_INF_B[[#This Row],[Jugador]]="eudald",BD_ESTADISTICA_INF_B[[#This Row],[Jugador]]="jules",BD_ESTADISTICA_INF_B[[#This Row],[Jugador]]="JAN"),"PORTERO","JUGADOR")</f>
        <v>JUGADOR</v>
      </c>
      <c r="V5" s="49">
        <f>IF(BD_ESTADISTICA_INF_B[[#This Row],[POSICION]]="jugador",BD_ESTADISTICA_INF_B[[#This Row],[Goles]],0)</f>
        <v>0</v>
      </c>
      <c r="W5" s="49">
        <f>IF(BD_ESTADISTICA_INF_B[[#This Row],[POSICION]]="portero",BD_ESTADISTICA_INF_B[[#This Row],[Lanzam.]]-BD_ESTADISTICA_INF_B[[#This Row],[Paradas]],0)</f>
        <v>0</v>
      </c>
      <c r="X5" s="49">
        <f>IF(BD_ESTADISTICA_INF_B[[#This Row],[POSICION]]="jugador",BD_ESTADISTICA_INF_B[[#This Row],[Lanzam.]],0)</f>
        <v>0</v>
      </c>
      <c r="Y5" s="49">
        <f>IF(BD_ESTADISTICA_INF_B[[#This Row],[POSICION]]="portero",BD_ESTADISTICA_INF_B[[#This Row],[Lanzam.]],0)</f>
        <v>0</v>
      </c>
    </row>
    <row r="6" spans="1:25">
      <c r="A6" s="44" t="s">
        <v>20</v>
      </c>
      <c r="B6" s="45"/>
      <c r="C6" s="45"/>
      <c r="D6" s="45"/>
      <c r="E6" s="39" t="str">
        <f>IF(BD_ESTADISTICA_INF_B[[#This Row],[Lanzam.]]="","",IF(BD_ESTADISTICA_INF_B[[#This Row],[POSICION]]="jugador",B6/D6,C6/D6))</f>
        <v/>
      </c>
      <c r="H6" s="45"/>
      <c r="I6" s="45"/>
      <c r="J6" s="45"/>
      <c r="K6" s="45"/>
      <c r="L6" s="45"/>
      <c r="M6" s="45"/>
      <c r="N6" s="45"/>
      <c r="O6" s="45"/>
      <c r="P6" s="45"/>
      <c r="Q6" s="46">
        <v>1</v>
      </c>
      <c r="R6" s="47" t="s">
        <v>120</v>
      </c>
      <c r="S6" s="48" t="s">
        <v>79</v>
      </c>
      <c r="T6" s="40" t="s">
        <v>121</v>
      </c>
      <c r="U6" s="49" t="str">
        <f>IF(OR(BD_ESTADISTICA_INF_B[[#This Row],[Jugador]]="eudald",BD_ESTADISTICA_INF_B[[#This Row],[Jugador]]="jules",BD_ESTADISTICA_INF_B[[#This Row],[Jugador]]="JAN"),"PORTERO","JUGADOR")</f>
        <v>JUGADOR</v>
      </c>
      <c r="V6" s="49">
        <f>IF(BD_ESTADISTICA_INF_B[[#This Row],[POSICION]]="jugador",BD_ESTADISTICA_INF_B[[#This Row],[Goles]],0)</f>
        <v>0</v>
      </c>
      <c r="W6" s="49">
        <f>IF(BD_ESTADISTICA_INF_B[[#This Row],[POSICION]]="portero",BD_ESTADISTICA_INF_B[[#This Row],[Lanzam.]]-BD_ESTADISTICA_INF_B[[#This Row],[Paradas]],0)</f>
        <v>0</v>
      </c>
      <c r="X6" s="49">
        <f>IF(BD_ESTADISTICA_INF_B[[#This Row],[POSICION]]="jugador",BD_ESTADISTICA_INF_B[[#This Row],[Lanzam.]],0)</f>
        <v>0</v>
      </c>
      <c r="Y6" s="49">
        <f>IF(BD_ESTADISTICA_INF_B[[#This Row],[POSICION]]="portero",BD_ESTADISTICA_INF_B[[#This Row],[Lanzam.]],0)</f>
        <v>0</v>
      </c>
    </row>
    <row r="7" spans="1:25">
      <c r="A7" s="44" t="s">
        <v>21</v>
      </c>
      <c r="B7" s="45"/>
      <c r="C7" s="45"/>
      <c r="D7" s="45"/>
      <c r="E7" s="39" t="str">
        <f>IF(BD_ESTADISTICA_INF_B[[#This Row],[Lanzam.]]="","",IF(BD_ESTADISTICA_INF_B[[#This Row],[POSICION]]="jugador",B7/D7,C7/D7))</f>
        <v/>
      </c>
      <c r="H7" s="45"/>
      <c r="I7" s="45"/>
      <c r="J7" s="45"/>
      <c r="K7" s="45"/>
      <c r="L7" s="45"/>
      <c r="M7" s="45"/>
      <c r="N7" s="45"/>
      <c r="O7" s="45"/>
      <c r="P7" s="45"/>
      <c r="Q7" s="46">
        <v>1</v>
      </c>
      <c r="R7" s="47" t="s">
        <v>120</v>
      </c>
      <c r="S7" s="48" t="s">
        <v>79</v>
      </c>
      <c r="T7" s="40" t="s">
        <v>121</v>
      </c>
      <c r="U7" s="49" t="str">
        <f>IF(OR(BD_ESTADISTICA_INF_B[[#This Row],[Jugador]]="eudald",BD_ESTADISTICA_INF_B[[#This Row],[Jugador]]="jules",BD_ESTADISTICA_INF_B[[#This Row],[Jugador]]="JAN"),"PORTERO","JUGADOR")</f>
        <v>JUGADOR</v>
      </c>
      <c r="V7" s="49">
        <f>IF(BD_ESTADISTICA_INF_B[[#This Row],[POSICION]]="jugador",BD_ESTADISTICA_INF_B[[#This Row],[Goles]],0)</f>
        <v>0</v>
      </c>
      <c r="W7" s="49">
        <f>IF(BD_ESTADISTICA_INF_B[[#This Row],[POSICION]]="portero",BD_ESTADISTICA_INF_B[[#This Row],[Lanzam.]]-BD_ESTADISTICA_INF_B[[#This Row],[Paradas]],0)</f>
        <v>0</v>
      </c>
      <c r="X7" s="49">
        <f>IF(BD_ESTADISTICA_INF_B[[#This Row],[POSICION]]="jugador",BD_ESTADISTICA_INF_B[[#This Row],[Lanzam.]],0)</f>
        <v>0</v>
      </c>
      <c r="Y7" s="49">
        <f>IF(BD_ESTADISTICA_INF_B[[#This Row],[POSICION]]="portero",BD_ESTADISTICA_INF_B[[#This Row],[Lanzam.]],0)</f>
        <v>0</v>
      </c>
    </row>
    <row r="8" spans="1:25">
      <c r="A8" s="44" t="s">
        <v>40</v>
      </c>
      <c r="B8" s="45"/>
      <c r="C8" s="45"/>
      <c r="D8" s="45"/>
      <c r="E8" s="39" t="str">
        <f>IF(BD_ESTADISTICA_INF_B[[#This Row],[Lanzam.]]="","",IF(BD_ESTADISTICA_INF_B[[#This Row],[POSICION]]="jugador",B8/D8,C8/D8))</f>
        <v/>
      </c>
      <c r="H8" s="45"/>
      <c r="I8" s="45"/>
      <c r="J8" s="45"/>
      <c r="K8" s="45"/>
      <c r="L8" s="45"/>
      <c r="M8" s="45"/>
      <c r="N8" s="45"/>
      <c r="O8" s="45"/>
      <c r="P8" s="45"/>
      <c r="Q8" s="46">
        <v>1</v>
      </c>
      <c r="R8" s="47" t="s">
        <v>120</v>
      </c>
      <c r="S8" s="48" t="s">
        <v>79</v>
      </c>
      <c r="T8" s="40" t="s">
        <v>121</v>
      </c>
      <c r="U8" s="49" t="str">
        <f>IF(OR(BD_ESTADISTICA_INF_B[[#This Row],[Jugador]]="eudald",BD_ESTADISTICA_INF_B[[#This Row],[Jugador]]="jules",BD_ESTADISTICA_INF_B[[#This Row],[Jugador]]="JAN"),"PORTERO","JUGADOR")</f>
        <v>JUGADOR</v>
      </c>
      <c r="V8" s="49">
        <f>IF(BD_ESTADISTICA_INF_B[[#This Row],[POSICION]]="jugador",BD_ESTADISTICA_INF_B[[#This Row],[Goles]],0)</f>
        <v>0</v>
      </c>
      <c r="W8" s="49">
        <f>IF(BD_ESTADISTICA_INF_B[[#This Row],[POSICION]]="portero",BD_ESTADISTICA_INF_B[[#This Row],[Lanzam.]]-BD_ESTADISTICA_INF_B[[#This Row],[Paradas]],0)</f>
        <v>0</v>
      </c>
      <c r="X8" s="49">
        <f>IF(BD_ESTADISTICA_INF_B[[#This Row],[POSICION]]="jugador",BD_ESTADISTICA_INF_B[[#This Row],[Lanzam.]],0)</f>
        <v>0</v>
      </c>
      <c r="Y8" s="49">
        <f>IF(BD_ESTADISTICA_INF_B[[#This Row],[POSICION]]="portero",BD_ESTADISTICA_INF_B[[#This Row],[Lanzam.]],0)</f>
        <v>0</v>
      </c>
    </row>
    <row r="9" spans="1:25">
      <c r="A9" s="44" t="s">
        <v>41</v>
      </c>
      <c r="B9" s="45"/>
      <c r="C9" s="45"/>
      <c r="D9" s="45"/>
      <c r="E9" s="39" t="str">
        <f>IF(BD_ESTADISTICA_INF_B[[#This Row],[Lanzam.]]="","",IF(BD_ESTADISTICA_INF_B[[#This Row],[POSICION]]="jugador",B9/D9,C9/D9))</f>
        <v/>
      </c>
      <c r="H9" s="45"/>
      <c r="I9" s="45"/>
      <c r="J9" s="45"/>
      <c r="K9" s="45"/>
      <c r="L9" s="45"/>
      <c r="M9" s="45"/>
      <c r="N9" s="45"/>
      <c r="O9" s="45"/>
      <c r="P9" s="45"/>
      <c r="Q9" s="46">
        <v>1</v>
      </c>
      <c r="R9" s="47" t="s">
        <v>120</v>
      </c>
      <c r="S9" s="48" t="s">
        <v>79</v>
      </c>
      <c r="T9" s="40" t="s">
        <v>121</v>
      </c>
      <c r="U9" s="49" t="str">
        <f>IF(OR(BD_ESTADISTICA_INF_B[[#This Row],[Jugador]]="eudald",BD_ESTADISTICA_INF_B[[#This Row],[Jugador]]="jules",BD_ESTADISTICA_INF_B[[#This Row],[Jugador]]="JAN"),"PORTERO","JUGADOR")</f>
        <v>JUGADOR</v>
      </c>
      <c r="V9" s="49">
        <f>IF(BD_ESTADISTICA_INF_B[[#This Row],[POSICION]]="jugador",BD_ESTADISTICA_INF_B[[#This Row],[Goles]],0)</f>
        <v>0</v>
      </c>
      <c r="W9" s="49">
        <f>IF(BD_ESTADISTICA_INF_B[[#This Row],[POSICION]]="portero",BD_ESTADISTICA_INF_B[[#This Row],[Lanzam.]]-BD_ESTADISTICA_INF_B[[#This Row],[Paradas]],0)</f>
        <v>0</v>
      </c>
      <c r="X9" s="49">
        <f>IF(BD_ESTADISTICA_INF_B[[#This Row],[POSICION]]="jugador",BD_ESTADISTICA_INF_B[[#This Row],[Lanzam.]],0)</f>
        <v>0</v>
      </c>
      <c r="Y9" s="49">
        <f>IF(BD_ESTADISTICA_INF_B[[#This Row],[POSICION]]="portero",BD_ESTADISTICA_INF_B[[#This Row],[Lanzam.]],0)</f>
        <v>0</v>
      </c>
    </row>
    <row r="10" spans="1:25">
      <c r="A10" s="44" t="s">
        <v>23</v>
      </c>
      <c r="B10" s="45"/>
      <c r="C10" s="45"/>
      <c r="D10" s="45"/>
      <c r="E10" s="39" t="str">
        <f>IF(BD_ESTADISTICA_INF_B[[#This Row],[Lanzam.]]="","",IF(BD_ESTADISTICA_INF_B[[#This Row],[POSICION]]="jugador",B10/D10,C10/D10))</f>
        <v/>
      </c>
      <c r="H10" s="45"/>
      <c r="I10" s="45"/>
      <c r="J10" s="45"/>
      <c r="K10" s="45"/>
      <c r="L10" s="45"/>
      <c r="M10" s="45"/>
      <c r="N10" s="45"/>
      <c r="O10" s="45"/>
      <c r="P10" s="45"/>
      <c r="Q10" s="46">
        <v>1</v>
      </c>
      <c r="R10" s="47" t="s">
        <v>120</v>
      </c>
      <c r="S10" s="48" t="s">
        <v>79</v>
      </c>
      <c r="T10" s="40" t="s">
        <v>121</v>
      </c>
      <c r="U10" s="49" t="str">
        <f>IF(OR(BD_ESTADISTICA_INF_B[[#This Row],[Jugador]]="eudald",BD_ESTADISTICA_INF_B[[#This Row],[Jugador]]="jules",BD_ESTADISTICA_INF_B[[#This Row],[Jugador]]="JAN"),"PORTERO","JUGADOR")</f>
        <v>JUGADOR</v>
      </c>
      <c r="V10" s="49">
        <f>IF(BD_ESTADISTICA_INF_B[[#This Row],[POSICION]]="jugador",BD_ESTADISTICA_INF_B[[#This Row],[Goles]],0)</f>
        <v>0</v>
      </c>
      <c r="W10" s="49">
        <f>IF(BD_ESTADISTICA_INF_B[[#This Row],[POSICION]]="portero",BD_ESTADISTICA_INF_B[[#This Row],[Lanzam.]]-BD_ESTADISTICA_INF_B[[#This Row],[Paradas]],0)</f>
        <v>0</v>
      </c>
      <c r="X10" s="49">
        <f>IF(BD_ESTADISTICA_INF_B[[#This Row],[POSICION]]="jugador",BD_ESTADISTICA_INF_B[[#This Row],[Lanzam.]],0)</f>
        <v>0</v>
      </c>
      <c r="Y10" s="49">
        <f>IF(BD_ESTADISTICA_INF_B[[#This Row],[POSICION]]="portero",BD_ESTADISTICA_INF_B[[#This Row],[Lanzam.]],0)</f>
        <v>0</v>
      </c>
    </row>
    <row r="11" spans="1:25">
      <c r="A11" s="44" t="s">
        <v>24</v>
      </c>
      <c r="B11" s="45"/>
      <c r="C11" s="45"/>
      <c r="D11" s="45"/>
      <c r="E11" s="39" t="str">
        <f>IF(BD_ESTADISTICA_INF_B[[#This Row],[Lanzam.]]="","",IF(BD_ESTADISTICA_INF_B[[#This Row],[POSICION]]="jugador",B11/D11,C11/D11))</f>
        <v/>
      </c>
      <c r="H11" s="45"/>
      <c r="I11" s="45"/>
      <c r="J11" s="45"/>
      <c r="K11" s="45"/>
      <c r="L11" s="45"/>
      <c r="M11" s="45"/>
      <c r="N11" s="45"/>
      <c r="O11" s="45"/>
      <c r="P11" s="45"/>
      <c r="Q11" s="46">
        <v>1</v>
      </c>
      <c r="R11" s="47" t="s">
        <v>120</v>
      </c>
      <c r="S11" s="48" t="s">
        <v>79</v>
      </c>
      <c r="T11" s="40" t="s">
        <v>121</v>
      </c>
      <c r="U11" s="49" t="str">
        <f>IF(OR(BD_ESTADISTICA_INF_B[[#This Row],[Jugador]]="eudald",BD_ESTADISTICA_INF_B[[#This Row],[Jugador]]="jules",BD_ESTADISTICA_INF_B[[#This Row],[Jugador]]="JAN"),"PORTERO","JUGADOR")</f>
        <v>JUGADOR</v>
      </c>
      <c r="V11" s="49">
        <f>IF(BD_ESTADISTICA_INF_B[[#This Row],[POSICION]]="jugador",BD_ESTADISTICA_INF_B[[#This Row],[Goles]],0)</f>
        <v>0</v>
      </c>
      <c r="W11" s="49">
        <f>IF(BD_ESTADISTICA_INF_B[[#This Row],[POSICION]]="portero",BD_ESTADISTICA_INF_B[[#This Row],[Lanzam.]]-BD_ESTADISTICA_INF_B[[#This Row],[Paradas]],0)</f>
        <v>0</v>
      </c>
      <c r="X11" s="49">
        <f>IF(BD_ESTADISTICA_INF_B[[#This Row],[POSICION]]="jugador",BD_ESTADISTICA_INF_B[[#This Row],[Lanzam.]],0)</f>
        <v>0</v>
      </c>
      <c r="Y11" s="49">
        <f>IF(BD_ESTADISTICA_INF_B[[#This Row],[POSICION]]="portero",BD_ESTADISTICA_INF_B[[#This Row],[Lanzam.]],0)</f>
        <v>0</v>
      </c>
    </row>
    <row r="12" spans="1:25">
      <c r="A12" s="44" t="s">
        <v>25</v>
      </c>
      <c r="B12" s="45"/>
      <c r="C12" s="45"/>
      <c r="D12" s="45"/>
      <c r="E12" s="39" t="str">
        <f>IF(BD_ESTADISTICA_INF_B[[#This Row],[Lanzam.]]="","",IF(BD_ESTADISTICA_INF_B[[#This Row],[POSICION]]="jugador",B12/D12,C12/D12))</f>
        <v/>
      </c>
      <c r="H12" s="45"/>
      <c r="I12" s="45"/>
      <c r="J12" s="45"/>
      <c r="K12" s="45"/>
      <c r="L12" s="45"/>
      <c r="M12" s="45"/>
      <c r="N12" s="45"/>
      <c r="O12" s="45"/>
      <c r="P12" s="45"/>
      <c r="Q12" s="46">
        <v>1</v>
      </c>
      <c r="R12" s="47" t="s">
        <v>120</v>
      </c>
      <c r="S12" s="48" t="s">
        <v>79</v>
      </c>
      <c r="T12" s="40" t="s">
        <v>121</v>
      </c>
      <c r="U12" s="49" t="str">
        <f>IF(OR(BD_ESTADISTICA_INF_B[[#This Row],[Jugador]]="eudald",BD_ESTADISTICA_INF_B[[#This Row],[Jugador]]="jules",BD_ESTADISTICA_INF_B[[#This Row],[Jugador]]="JAN"),"PORTERO","JUGADOR")</f>
        <v>JUGADOR</v>
      </c>
      <c r="V12" s="49">
        <f>IF(BD_ESTADISTICA_INF_B[[#This Row],[POSICION]]="jugador",BD_ESTADISTICA_INF_B[[#This Row],[Goles]],0)</f>
        <v>0</v>
      </c>
      <c r="W12" s="49">
        <f>IF(BD_ESTADISTICA_INF_B[[#This Row],[POSICION]]="portero",BD_ESTADISTICA_INF_B[[#This Row],[Lanzam.]]-BD_ESTADISTICA_INF_B[[#This Row],[Paradas]],0)</f>
        <v>0</v>
      </c>
      <c r="X12" s="49">
        <f>IF(BD_ESTADISTICA_INF_B[[#This Row],[POSICION]]="jugador",BD_ESTADISTICA_INF_B[[#This Row],[Lanzam.]],0)</f>
        <v>0</v>
      </c>
      <c r="Y12" s="49">
        <f>IF(BD_ESTADISTICA_INF_B[[#This Row],[POSICION]]="portero",BD_ESTADISTICA_INF_B[[#This Row],[Lanzam.]],0)</f>
        <v>0</v>
      </c>
    </row>
    <row r="13" spans="1:25">
      <c r="A13" s="44" t="s">
        <v>26</v>
      </c>
      <c r="B13" s="45"/>
      <c r="C13" s="45"/>
      <c r="D13" s="45"/>
      <c r="E13" s="39" t="str">
        <f>IF(BD_ESTADISTICA_INF_B[[#This Row],[Lanzam.]]="","",IF(BD_ESTADISTICA_INF_B[[#This Row],[POSICION]]="jugador",B13/D13,C13/D13))</f>
        <v/>
      </c>
      <c r="H13" s="45"/>
      <c r="I13" s="45"/>
      <c r="J13" s="45"/>
      <c r="K13" s="45"/>
      <c r="L13" s="45"/>
      <c r="M13" s="45"/>
      <c r="N13" s="45"/>
      <c r="O13" s="45"/>
      <c r="P13" s="45"/>
      <c r="Q13" s="46">
        <v>1</v>
      </c>
      <c r="R13" s="47" t="s">
        <v>120</v>
      </c>
      <c r="S13" s="48" t="s">
        <v>79</v>
      </c>
      <c r="T13" s="40" t="s">
        <v>121</v>
      </c>
      <c r="U13" s="49" t="str">
        <f>IF(OR(BD_ESTADISTICA_INF_B[[#This Row],[Jugador]]="eudald",BD_ESTADISTICA_INF_B[[#This Row],[Jugador]]="jules",BD_ESTADISTICA_INF_B[[#This Row],[Jugador]]="JAN"),"PORTERO","JUGADOR")</f>
        <v>JUGADOR</v>
      </c>
      <c r="V13" s="49">
        <f>IF(BD_ESTADISTICA_INF_B[[#This Row],[POSICION]]="jugador",BD_ESTADISTICA_INF_B[[#This Row],[Goles]],0)</f>
        <v>0</v>
      </c>
      <c r="W13" s="49">
        <f>IF(BD_ESTADISTICA_INF_B[[#This Row],[POSICION]]="portero",BD_ESTADISTICA_INF_B[[#This Row],[Lanzam.]]-BD_ESTADISTICA_INF_B[[#This Row],[Paradas]],0)</f>
        <v>0</v>
      </c>
      <c r="X13" s="49">
        <f>IF(BD_ESTADISTICA_INF_B[[#This Row],[POSICION]]="jugador",BD_ESTADISTICA_INF_B[[#This Row],[Lanzam.]],0)</f>
        <v>0</v>
      </c>
      <c r="Y13" s="49">
        <f>IF(BD_ESTADISTICA_INF_B[[#This Row],[POSICION]]="portero",BD_ESTADISTICA_INF_B[[#This Row],[Lanzam.]],0)</f>
        <v>0</v>
      </c>
    </row>
    <row r="14" spans="1:25">
      <c r="A14" s="44" t="s">
        <v>27</v>
      </c>
      <c r="B14" s="45"/>
      <c r="C14" s="45"/>
      <c r="D14" s="45"/>
      <c r="E14" s="39" t="str">
        <f>IF(BD_ESTADISTICA_INF_B[[#This Row],[Lanzam.]]="","",IF(BD_ESTADISTICA_INF_B[[#This Row],[POSICION]]="jugador",B14/D14,C14/D14))</f>
        <v/>
      </c>
      <c r="H14" s="45"/>
      <c r="I14" s="45"/>
      <c r="J14" s="45"/>
      <c r="K14" s="45"/>
      <c r="L14" s="45"/>
      <c r="M14" s="45"/>
      <c r="N14" s="45"/>
      <c r="O14" s="45"/>
      <c r="P14" s="45"/>
      <c r="Q14" s="46">
        <v>1</v>
      </c>
      <c r="R14" s="47" t="s">
        <v>120</v>
      </c>
      <c r="S14" s="48" t="s">
        <v>79</v>
      </c>
      <c r="T14" s="40" t="s">
        <v>121</v>
      </c>
      <c r="U14" s="49" t="str">
        <f>IF(OR(BD_ESTADISTICA_INF_B[[#This Row],[Jugador]]="eudald",BD_ESTADISTICA_INF_B[[#This Row],[Jugador]]="jules",BD_ESTADISTICA_INF_B[[#This Row],[Jugador]]="JAN"),"PORTERO","JUGADOR")</f>
        <v>JUGADOR</v>
      </c>
      <c r="V14" s="49">
        <f>IF(BD_ESTADISTICA_INF_B[[#This Row],[POSICION]]="jugador",BD_ESTADISTICA_INF_B[[#This Row],[Goles]],0)</f>
        <v>0</v>
      </c>
      <c r="W14" s="49">
        <f>IF(BD_ESTADISTICA_INF_B[[#This Row],[POSICION]]="portero",BD_ESTADISTICA_INF_B[[#This Row],[Lanzam.]]-BD_ESTADISTICA_INF_B[[#This Row],[Paradas]],0)</f>
        <v>0</v>
      </c>
      <c r="X14" s="49">
        <f>IF(BD_ESTADISTICA_INF_B[[#This Row],[POSICION]]="jugador",BD_ESTADISTICA_INF_B[[#This Row],[Lanzam.]],0)</f>
        <v>0</v>
      </c>
      <c r="Y14" s="49">
        <f>IF(BD_ESTADISTICA_INF_B[[#This Row],[POSICION]]="portero",BD_ESTADISTICA_INF_B[[#This Row],[Lanzam.]],0)</f>
        <v>0</v>
      </c>
    </row>
    <row r="15" spans="1:25">
      <c r="A15" s="44" t="s">
        <v>28</v>
      </c>
      <c r="B15" s="45"/>
      <c r="C15" s="45"/>
      <c r="D15" s="45"/>
      <c r="E15" s="39" t="str">
        <f>IF(BD_ESTADISTICA_INF_B[[#This Row],[Lanzam.]]="","",IF(BD_ESTADISTICA_INF_B[[#This Row],[POSICION]]="jugador",B15/D15,C15/D15))</f>
        <v/>
      </c>
      <c r="H15" s="45"/>
      <c r="I15" s="45"/>
      <c r="J15" s="45"/>
      <c r="K15" s="45"/>
      <c r="L15" s="45"/>
      <c r="M15" s="45"/>
      <c r="N15" s="45"/>
      <c r="O15" s="45"/>
      <c r="P15" s="45"/>
      <c r="Q15" s="46">
        <v>1</v>
      </c>
      <c r="R15" s="47" t="s">
        <v>120</v>
      </c>
      <c r="S15" s="48" t="s">
        <v>79</v>
      </c>
      <c r="T15" s="40" t="s">
        <v>121</v>
      </c>
      <c r="U15" s="49" t="str">
        <f>IF(OR(BD_ESTADISTICA_INF_B[[#This Row],[Jugador]]="eudald",BD_ESTADISTICA_INF_B[[#This Row],[Jugador]]="jules",BD_ESTADISTICA_INF_B[[#This Row],[Jugador]]="JAN"),"PORTERO","JUGADOR")</f>
        <v>JUGADOR</v>
      </c>
      <c r="V15" s="49">
        <f>IF(BD_ESTADISTICA_INF_B[[#This Row],[POSICION]]="jugador",BD_ESTADISTICA_INF_B[[#This Row],[Goles]],0)</f>
        <v>0</v>
      </c>
      <c r="W15" s="49">
        <f>IF(BD_ESTADISTICA_INF_B[[#This Row],[POSICION]]="portero",BD_ESTADISTICA_INF_B[[#This Row],[Lanzam.]]-BD_ESTADISTICA_INF_B[[#This Row],[Paradas]],0)</f>
        <v>0</v>
      </c>
      <c r="X15" s="49">
        <f>IF(BD_ESTADISTICA_INF_B[[#This Row],[POSICION]]="jugador",BD_ESTADISTICA_INF_B[[#This Row],[Lanzam.]],0)</f>
        <v>0</v>
      </c>
      <c r="Y15" s="49">
        <f>IF(BD_ESTADISTICA_INF_B[[#This Row],[POSICION]]="portero",BD_ESTADISTICA_INF_B[[#This Row],[Lanzam.]],0)</f>
        <v>0</v>
      </c>
    </row>
    <row r="16" spans="1:25">
      <c r="A16" s="44" t="s">
        <v>31</v>
      </c>
      <c r="B16" s="45"/>
      <c r="C16" s="45"/>
      <c r="D16" s="45"/>
      <c r="E16" s="39" t="str">
        <f>IF(BD_ESTADISTICA_INF_B[[#This Row],[Lanzam.]]="","",IF(BD_ESTADISTICA_INF_B[[#This Row],[POSICION]]="jugador",B16/D16,C16/D16))</f>
        <v/>
      </c>
      <c r="H16" s="45"/>
      <c r="I16" s="45"/>
      <c r="J16" s="45"/>
      <c r="K16" s="45"/>
      <c r="L16" s="45"/>
      <c r="M16" s="45"/>
      <c r="N16" s="45"/>
      <c r="O16" s="45"/>
      <c r="P16" s="45"/>
      <c r="Q16" s="46">
        <v>1</v>
      </c>
      <c r="R16" s="47" t="s">
        <v>120</v>
      </c>
      <c r="S16" s="48" t="s">
        <v>79</v>
      </c>
      <c r="T16" s="40" t="s">
        <v>121</v>
      </c>
      <c r="U16" s="49" t="str">
        <f>IF(OR(BD_ESTADISTICA_INF_B[[#This Row],[Jugador]]="eudald",BD_ESTADISTICA_INF_B[[#This Row],[Jugador]]="jules",BD_ESTADISTICA_INF_B[[#This Row],[Jugador]]="JAN"),"PORTERO","JUGADOR")</f>
        <v>PORTERO</v>
      </c>
      <c r="V16" s="49">
        <f>IF(BD_ESTADISTICA_INF_B[[#This Row],[POSICION]]="jugador",BD_ESTADISTICA_INF_B[[#This Row],[Goles]],0)</f>
        <v>0</v>
      </c>
      <c r="W16" s="49">
        <f>IF(BD_ESTADISTICA_INF_B[[#This Row],[POSICION]]="portero",BD_ESTADISTICA_INF_B[[#This Row],[Lanzam.]]-BD_ESTADISTICA_INF_B[[#This Row],[Paradas]],0)</f>
        <v>0</v>
      </c>
      <c r="X16" s="49">
        <f>IF(BD_ESTADISTICA_INF_B[[#This Row],[POSICION]]="jugador",BD_ESTADISTICA_INF_B[[#This Row],[Lanzam.]],0)</f>
        <v>0</v>
      </c>
      <c r="Y16" s="49">
        <f>IF(BD_ESTADISTICA_INF_B[[#This Row],[POSICION]]="portero",BD_ESTADISTICA_INF_B[[#This Row],[Lanzam.]],0)</f>
        <v>0</v>
      </c>
    </row>
    <row r="17" spans="1:25">
      <c r="A17" s="44" t="s">
        <v>29</v>
      </c>
      <c r="B17" s="45"/>
      <c r="C17" s="45"/>
      <c r="D17" s="45"/>
      <c r="E17" s="39" t="str">
        <f>IF(BD_ESTADISTICA_INF_B[[#This Row],[Lanzam.]]="","",IF(BD_ESTADISTICA_INF_B[[#This Row],[POSICION]]="jugador",B17/D17,C17/D17))</f>
        <v/>
      </c>
      <c r="H17" s="45"/>
      <c r="I17" s="45"/>
      <c r="J17" s="45"/>
      <c r="K17" s="45"/>
      <c r="L17" s="45"/>
      <c r="M17" s="45"/>
      <c r="N17" s="45"/>
      <c r="O17" s="45"/>
      <c r="P17" s="45"/>
      <c r="Q17" s="46">
        <v>1</v>
      </c>
      <c r="R17" s="47" t="s">
        <v>120</v>
      </c>
      <c r="S17" s="48" t="s">
        <v>79</v>
      </c>
      <c r="T17" s="40" t="s">
        <v>121</v>
      </c>
      <c r="U17" s="49" t="str">
        <f>IF(OR(BD_ESTADISTICA_INF_B[[#This Row],[Jugador]]="eudald",BD_ESTADISTICA_INF_B[[#This Row],[Jugador]]="jules",BD_ESTADISTICA_INF_B[[#This Row],[Jugador]]="JAN"),"PORTERO","JUGADOR")</f>
        <v>PORTERO</v>
      </c>
      <c r="V17" s="49">
        <f>IF(BD_ESTADISTICA_INF_B[[#This Row],[POSICION]]="jugador",BD_ESTADISTICA_INF_B[[#This Row],[Goles]],0)</f>
        <v>0</v>
      </c>
      <c r="W17" s="49">
        <f>IF(BD_ESTADISTICA_INF_B[[#This Row],[POSICION]]="portero",BD_ESTADISTICA_INF_B[[#This Row],[Lanzam.]]-BD_ESTADISTICA_INF_B[[#This Row],[Paradas]],0)</f>
        <v>0</v>
      </c>
      <c r="X17" s="49">
        <f>IF(BD_ESTADISTICA_INF_B[[#This Row],[POSICION]]="jugador",BD_ESTADISTICA_INF_B[[#This Row],[Lanzam.]],0)</f>
        <v>0</v>
      </c>
      <c r="Y17" s="49">
        <f>IF(BD_ESTADISTICA_INF_B[[#This Row],[POSICION]]="portero",BD_ESTADISTICA_INF_B[[#This Row],[Lanzam.]],0)</f>
        <v>0</v>
      </c>
    </row>
    <row r="18" spans="1:25">
      <c r="A18" s="44" t="s">
        <v>30</v>
      </c>
      <c r="B18" s="45"/>
      <c r="C18" s="45"/>
      <c r="D18" s="45"/>
      <c r="E18" s="39" t="str">
        <f>IF(BD_ESTADISTICA_INF_B[[#This Row],[Lanzam.]]="","",IF(BD_ESTADISTICA_INF_B[[#This Row],[POSICION]]="jugador",B18/D18,C18/D18))</f>
        <v/>
      </c>
      <c r="H18" s="45"/>
      <c r="I18" s="45"/>
      <c r="J18" s="45"/>
      <c r="K18" s="45"/>
      <c r="L18" s="45"/>
      <c r="M18" s="45"/>
      <c r="N18" s="45"/>
      <c r="O18" s="45"/>
      <c r="P18" s="45"/>
      <c r="Q18" s="46">
        <v>1</v>
      </c>
      <c r="R18" s="47" t="s">
        <v>120</v>
      </c>
      <c r="S18" s="48" t="s">
        <v>79</v>
      </c>
      <c r="T18" s="40" t="s">
        <v>121</v>
      </c>
      <c r="U18" s="49" t="str">
        <f>IF(OR(BD_ESTADISTICA_INF_B[[#This Row],[Jugador]]="eudald",BD_ESTADISTICA_INF_B[[#This Row],[Jugador]]="jules",BD_ESTADISTICA_INF_B[[#This Row],[Jugador]]="JAN"),"PORTERO","JUGADOR")</f>
        <v>PORTERO</v>
      </c>
      <c r="V18" s="49">
        <f>IF(BD_ESTADISTICA_INF_B[[#This Row],[POSICION]]="jugador",BD_ESTADISTICA_INF_B[[#This Row],[Goles]],0)</f>
        <v>0</v>
      </c>
      <c r="W18" s="49">
        <f>IF(BD_ESTADISTICA_INF_B[[#This Row],[POSICION]]="portero",BD_ESTADISTICA_INF_B[[#This Row],[Lanzam.]]-BD_ESTADISTICA_INF_B[[#This Row],[Paradas]],0)</f>
        <v>0</v>
      </c>
      <c r="X18" s="49">
        <f>IF(BD_ESTADISTICA_INF_B[[#This Row],[POSICION]]="jugador",BD_ESTADISTICA_INF_B[[#This Row],[Lanzam.]],0)</f>
        <v>0</v>
      </c>
      <c r="Y18" s="49">
        <f>IF(BD_ESTADISTICA_INF_B[[#This Row],[POSICION]]="portero",BD_ESTADISTICA_INF_B[[#This Row],[Lanzam.]],0)</f>
        <v>0</v>
      </c>
    </row>
    <row r="19" spans="1:25">
      <c r="A19" s="44" t="s">
        <v>42</v>
      </c>
      <c r="B19" s="45"/>
      <c r="C19" s="45"/>
      <c r="D19" s="45"/>
      <c r="E19" s="39" t="str">
        <f>IF(BD_ESTADISTICA_INF_B[[#This Row],[Lanzam.]]="","",IF(BD_ESTADISTICA_INF_B[[#This Row],[POSICION]]="jugador",B19/D19,C19/D19))</f>
        <v/>
      </c>
      <c r="H19" s="45"/>
      <c r="I19" s="45"/>
      <c r="J19" s="45"/>
      <c r="K19" s="45"/>
      <c r="L19" s="45"/>
      <c r="M19" s="45"/>
      <c r="N19" s="45"/>
      <c r="O19" s="45"/>
      <c r="P19" s="45"/>
      <c r="Q19" s="46">
        <v>1</v>
      </c>
      <c r="R19" s="47" t="s">
        <v>120</v>
      </c>
      <c r="S19" s="48" t="s">
        <v>79</v>
      </c>
      <c r="T19" s="40" t="s">
        <v>121</v>
      </c>
      <c r="U19" s="49" t="str">
        <f>IF(OR(BD_ESTADISTICA_INF_B[[#This Row],[Jugador]]="eudald",BD_ESTADISTICA_INF_B[[#This Row],[Jugador]]="jules",BD_ESTADISTICA_INF_B[[#This Row],[Jugador]]="JAN"),"PORTERO","JUGADOR")</f>
        <v>JUGADOR</v>
      </c>
      <c r="V19" s="49">
        <f>IF(BD_ESTADISTICA_INF_B[[#This Row],[POSICION]]="jugador",BD_ESTADISTICA_INF_B[[#This Row],[Goles]],0)</f>
        <v>0</v>
      </c>
      <c r="W19" s="49">
        <f>IF(BD_ESTADISTICA_INF_B[[#This Row],[POSICION]]="portero",BD_ESTADISTICA_INF_B[[#This Row],[Lanzam.]]-BD_ESTADISTICA_INF_B[[#This Row],[Paradas]],0)</f>
        <v>0</v>
      </c>
      <c r="X19" s="49">
        <f>IF(BD_ESTADISTICA_INF_B[[#This Row],[POSICION]]="jugador",BD_ESTADISTICA_INF_B[[#This Row],[Lanzam.]],0)</f>
        <v>0</v>
      </c>
      <c r="Y19" s="49">
        <f>IF(BD_ESTADISTICA_INF_B[[#This Row],[POSICION]]="portero",BD_ESTADISTICA_INF_B[[#This Row],[Lanzam.]],0)</f>
        <v>0</v>
      </c>
    </row>
    <row r="20" spans="1:25">
      <c r="A20" s="44" t="s">
        <v>22</v>
      </c>
      <c r="B20" s="45"/>
      <c r="C20" s="45"/>
      <c r="D20" s="45"/>
      <c r="E20" s="39" t="str">
        <f>IF(BD_ESTADISTICA_INF_B[[#This Row],[Lanzam.]]="","",IF(BD_ESTADISTICA_INF_B[[#This Row],[POSICION]]="jugador",B20/D20,C20/D20))</f>
        <v/>
      </c>
      <c r="H20" s="45"/>
      <c r="I20" s="45"/>
      <c r="J20" s="45"/>
      <c r="K20" s="45"/>
      <c r="L20" s="45"/>
      <c r="M20" s="45"/>
      <c r="N20" s="45"/>
      <c r="O20" s="45"/>
      <c r="P20" s="45"/>
      <c r="Q20" s="46">
        <v>1</v>
      </c>
      <c r="R20" s="47" t="s">
        <v>120</v>
      </c>
      <c r="S20" s="48" t="s">
        <v>79</v>
      </c>
      <c r="T20" s="40" t="s">
        <v>121</v>
      </c>
      <c r="U20" s="49" t="str">
        <f>IF(OR(BD_ESTADISTICA_INF_B[[#This Row],[Jugador]]="eudald",BD_ESTADISTICA_INF_B[[#This Row],[Jugador]]="jules",BD_ESTADISTICA_INF_B[[#This Row],[Jugador]]="JAN"),"PORTERO","JUGADOR")</f>
        <v>JUGADOR</v>
      </c>
      <c r="V20" s="49">
        <f>IF(BD_ESTADISTICA_INF_B[[#This Row],[POSICION]]="jugador",BD_ESTADISTICA_INF_B[[#This Row],[Goles]],0)</f>
        <v>0</v>
      </c>
      <c r="W20" s="49">
        <f>IF(BD_ESTADISTICA_INF_B[[#This Row],[POSICION]]="portero",BD_ESTADISTICA_INF_B[[#This Row],[Lanzam.]]-BD_ESTADISTICA_INF_B[[#This Row],[Paradas]],0)</f>
        <v>0</v>
      </c>
      <c r="X20" s="49">
        <f>IF(BD_ESTADISTICA_INF_B[[#This Row],[POSICION]]="jugador",BD_ESTADISTICA_INF_B[[#This Row],[Lanzam.]],0)</f>
        <v>0</v>
      </c>
      <c r="Y20" s="49">
        <f>IF(BD_ESTADISTICA_INF_B[[#This Row],[POSICION]]="portero",BD_ESTADISTICA_INF_B[[#This Row],[Lanzam.]],0)</f>
        <v>0</v>
      </c>
    </row>
    <row r="21" spans="1:25">
      <c r="A21" s="44" t="s">
        <v>16</v>
      </c>
      <c r="B21" s="45"/>
      <c r="C21" s="45"/>
      <c r="D21" s="45"/>
      <c r="E21" s="39" t="str">
        <f>IF(BD_ESTADISTICA_INF_B[[#This Row],[Lanzam.]]="","",IF(BD_ESTADISTICA_INF_B[[#This Row],[POSICION]]="jugador",B21/D21,C21/D21))</f>
        <v/>
      </c>
      <c r="H21" s="45"/>
      <c r="I21" s="45"/>
      <c r="J21" s="45"/>
      <c r="K21" s="45"/>
      <c r="L21" s="45"/>
      <c r="M21" s="45"/>
      <c r="N21" s="45"/>
      <c r="O21" s="45"/>
      <c r="P21" s="45"/>
      <c r="Q21" s="46">
        <v>2</v>
      </c>
      <c r="R21" s="47" t="s">
        <v>120</v>
      </c>
      <c r="S21" s="48" t="s">
        <v>79</v>
      </c>
      <c r="T21" s="40" t="s">
        <v>122</v>
      </c>
      <c r="U21" s="49" t="str">
        <f>IF(OR(BD_ESTADISTICA_INF_B[[#This Row],[Jugador]]="eudald",BD_ESTADISTICA_INF_B[[#This Row],[Jugador]]="jules",BD_ESTADISTICA_INF_B[[#This Row],[Jugador]]="JAN"),"PORTERO","JUGADOR")</f>
        <v>JUGADOR</v>
      </c>
      <c r="V21" s="49">
        <f>IF(BD_ESTADISTICA_INF_B[[#This Row],[POSICION]]="jugador",BD_ESTADISTICA_INF_B[[#This Row],[Goles]],0)</f>
        <v>0</v>
      </c>
      <c r="W21" s="49">
        <f>IF(BD_ESTADISTICA_INF_B[[#This Row],[POSICION]]="portero",BD_ESTADISTICA_INF_B[[#This Row],[Lanzam.]]-BD_ESTADISTICA_INF_B[[#This Row],[Paradas]],0)</f>
        <v>0</v>
      </c>
      <c r="X21" s="49">
        <f>IF(BD_ESTADISTICA_INF_B[[#This Row],[POSICION]]="jugador",BD_ESTADISTICA_INF_B[[#This Row],[Lanzam.]],0)</f>
        <v>0</v>
      </c>
      <c r="Y21" s="49">
        <f>IF(BD_ESTADISTICA_INF_B[[#This Row],[POSICION]]="portero",BD_ESTADISTICA_INF_B[[#This Row],[Lanzam.]],0)</f>
        <v>0</v>
      </c>
    </row>
    <row r="22" spans="1:25">
      <c r="A22" s="44" t="s">
        <v>17</v>
      </c>
      <c r="B22" s="45"/>
      <c r="C22" s="45"/>
      <c r="D22" s="45"/>
      <c r="E22" s="39" t="str">
        <f>IF(BD_ESTADISTICA_INF_B[[#This Row],[Lanzam.]]="","",IF(BD_ESTADISTICA_INF_B[[#This Row],[POSICION]]="jugador",B22/D22,C22/D22))</f>
        <v/>
      </c>
      <c r="H22" s="45"/>
      <c r="I22" s="45"/>
      <c r="J22" s="45"/>
      <c r="K22" s="45"/>
      <c r="L22" s="45"/>
      <c r="M22" s="45"/>
      <c r="N22" s="45"/>
      <c r="O22" s="45"/>
      <c r="P22" s="45"/>
      <c r="Q22" s="46">
        <v>2</v>
      </c>
      <c r="R22" s="47" t="s">
        <v>120</v>
      </c>
      <c r="S22" s="48" t="s">
        <v>79</v>
      </c>
      <c r="T22" s="40" t="s">
        <v>122</v>
      </c>
      <c r="U22" s="49" t="str">
        <f>IF(OR(BD_ESTADISTICA_INF_B[[#This Row],[Jugador]]="eudald",BD_ESTADISTICA_INF_B[[#This Row],[Jugador]]="jules",BD_ESTADISTICA_INF_B[[#This Row],[Jugador]]="JAN"),"PORTERO","JUGADOR")</f>
        <v>JUGADOR</v>
      </c>
      <c r="V22" s="49">
        <f>IF(BD_ESTADISTICA_INF_B[[#This Row],[POSICION]]="jugador",BD_ESTADISTICA_INF_B[[#This Row],[Goles]],0)</f>
        <v>0</v>
      </c>
      <c r="W22" s="49">
        <f>IF(BD_ESTADISTICA_INF_B[[#This Row],[POSICION]]="portero",BD_ESTADISTICA_INF_B[[#This Row],[Lanzam.]]-BD_ESTADISTICA_INF_B[[#This Row],[Paradas]],0)</f>
        <v>0</v>
      </c>
      <c r="X22" s="49">
        <f>IF(BD_ESTADISTICA_INF_B[[#This Row],[POSICION]]="jugador",BD_ESTADISTICA_INF_B[[#This Row],[Lanzam.]],0)</f>
        <v>0</v>
      </c>
      <c r="Y22" s="49">
        <f>IF(BD_ESTADISTICA_INF_B[[#This Row],[POSICION]]="portero",BD_ESTADISTICA_INF_B[[#This Row],[Lanzam.]],0)</f>
        <v>0</v>
      </c>
    </row>
    <row r="23" spans="1:25">
      <c r="A23" s="44" t="s">
        <v>18</v>
      </c>
      <c r="B23" s="45"/>
      <c r="C23" s="45"/>
      <c r="D23" s="45"/>
      <c r="E23" s="39" t="str">
        <f>IF(BD_ESTADISTICA_INF_B[[#This Row],[Lanzam.]]="","",IF(BD_ESTADISTICA_INF_B[[#This Row],[POSICION]]="jugador",B23/D23,C23/D23))</f>
        <v/>
      </c>
      <c r="H23" s="45"/>
      <c r="I23" s="45"/>
      <c r="J23" s="45"/>
      <c r="K23" s="45"/>
      <c r="L23" s="45"/>
      <c r="M23" s="45"/>
      <c r="N23" s="45"/>
      <c r="O23" s="45"/>
      <c r="P23" s="45"/>
      <c r="Q23" s="46">
        <v>2</v>
      </c>
      <c r="R23" s="47" t="s">
        <v>120</v>
      </c>
      <c r="S23" s="48" t="s">
        <v>79</v>
      </c>
      <c r="T23" s="40" t="s">
        <v>122</v>
      </c>
      <c r="U23" s="49" t="str">
        <f>IF(OR(BD_ESTADISTICA_INF_B[[#This Row],[Jugador]]="eudald",BD_ESTADISTICA_INF_B[[#This Row],[Jugador]]="jules",BD_ESTADISTICA_INF_B[[#This Row],[Jugador]]="JAN"),"PORTERO","JUGADOR")</f>
        <v>JUGADOR</v>
      </c>
      <c r="V23" s="49">
        <f>IF(BD_ESTADISTICA_INF_B[[#This Row],[POSICION]]="jugador",BD_ESTADISTICA_INF_B[[#This Row],[Goles]],0)</f>
        <v>0</v>
      </c>
      <c r="W23" s="49">
        <f>IF(BD_ESTADISTICA_INF_B[[#This Row],[POSICION]]="portero",BD_ESTADISTICA_INF_B[[#This Row],[Lanzam.]]-BD_ESTADISTICA_INF_B[[#This Row],[Paradas]],0)</f>
        <v>0</v>
      </c>
      <c r="X23" s="49">
        <f>IF(BD_ESTADISTICA_INF_B[[#This Row],[POSICION]]="jugador",BD_ESTADISTICA_INF_B[[#This Row],[Lanzam.]],0)</f>
        <v>0</v>
      </c>
      <c r="Y23" s="49">
        <f>IF(BD_ESTADISTICA_INF_B[[#This Row],[POSICION]]="portero",BD_ESTADISTICA_INF_B[[#This Row],[Lanzam.]],0)</f>
        <v>0</v>
      </c>
    </row>
    <row r="24" spans="1:25">
      <c r="A24" s="44" t="s">
        <v>19</v>
      </c>
      <c r="B24" s="45"/>
      <c r="C24" s="45"/>
      <c r="D24" s="45"/>
      <c r="E24" s="39" t="str">
        <f>IF(BD_ESTADISTICA_INF_B[[#This Row],[Lanzam.]]="","",IF(BD_ESTADISTICA_INF_B[[#This Row],[POSICION]]="jugador",B24/D24,C24/D24))</f>
        <v/>
      </c>
      <c r="H24" s="45"/>
      <c r="I24" s="45"/>
      <c r="J24" s="45"/>
      <c r="K24" s="45"/>
      <c r="L24" s="45"/>
      <c r="M24" s="45"/>
      <c r="N24" s="45"/>
      <c r="O24" s="45"/>
      <c r="P24" s="45"/>
      <c r="Q24" s="46">
        <v>2</v>
      </c>
      <c r="R24" s="47" t="s">
        <v>120</v>
      </c>
      <c r="S24" s="48" t="s">
        <v>79</v>
      </c>
      <c r="T24" s="40" t="s">
        <v>122</v>
      </c>
      <c r="U24" s="49" t="str">
        <f>IF(OR(BD_ESTADISTICA_INF_B[[#This Row],[Jugador]]="eudald",BD_ESTADISTICA_INF_B[[#This Row],[Jugador]]="jules",BD_ESTADISTICA_INF_B[[#This Row],[Jugador]]="JAN"),"PORTERO","JUGADOR")</f>
        <v>JUGADOR</v>
      </c>
      <c r="V24" s="49">
        <f>IF(BD_ESTADISTICA_INF_B[[#This Row],[POSICION]]="jugador",BD_ESTADISTICA_INF_B[[#This Row],[Goles]],0)</f>
        <v>0</v>
      </c>
      <c r="W24" s="49">
        <f>IF(BD_ESTADISTICA_INF_B[[#This Row],[POSICION]]="portero",BD_ESTADISTICA_INF_B[[#This Row],[Lanzam.]]-BD_ESTADISTICA_INF_B[[#This Row],[Paradas]],0)</f>
        <v>0</v>
      </c>
      <c r="X24" s="49">
        <f>IF(BD_ESTADISTICA_INF_B[[#This Row],[POSICION]]="jugador",BD_ESTADISTICA_INF_B[[#This Row],[Lanzam.]],0)</f>
        <v>0</v>
      </c>
      <c r="Y24" s="49">
        <f>IF(BD_ESTADISTICA_INF_B[[#This Row],[POSICION]]="portero",BD_ESTADISTICA_INF_B[[#This Row],[Lanzam.]],0)</f>
        <v>0</v>
      </c>
    </row>
    <row r="25" spans="1:25">
      <c r="A25" s="44" t="s">
        <v>20</v>
      </c>
      <c r="B25" s="45"/>
      <c r="C25" s="45"/>
      <c r="D25" s="45"/>
      <c r="E25" s="39" t="str">
        <f>IF(BD_ESTADISTICA_INF_B[[#This Row],[Lanzam.]]="","",IF(BD_ESTADISTICA_INF_B[[#This Row],[POSICION]]="jugador",B25/D25,C25/D25))</f>
        <v/>
      </c>
      <c r="H25" s="45"/>
      <c r="I25" s="45"/>
      <c r="J25" s="45"/>
      <c r="K25" s="45"/>
      <c r="L25" s="45"/>
      <c r="M25" s="45"/>
      <c r="N25" s="45"/>
      <c r="O25" s="45"/>
      <c r="P25" s="45"/>
      <c r="Q25" s="46">
        <v>2</v>
      </c>
      <c r="R25" s="47" t="s">
        <v>120</v>
      </c>
      <c r="S25" s="48" t="s">
        <v>79</v>
      </c>
      <c r="T25" s="40" t="s">
        <v>122</v>
      </c>
      <c r="U25" s="49" t="str">
        <f>IF(OR(BD_ESTADISTICA_INF_B[[#This Row],[Jugador]]="eudald",BD_ESTADISTICA_INF_B[[#This Row],[Jugador]]="jules",BD_ESTADISTICA_INF_B[[#This Row],[Jugador]]="JAN"),"PORTERO","JUGADOR")</f>
        <v>JUGADOR</v>
      </c>
      <c r="V25" s="49">
        <f>IF(BD_ESTADISTICA_INF_B[[#This Row],[POSICION]]="jugador",BD_ESTADISTICA_INF_B[[#This Row],[Goles]],0)</f>
        <v>0</v>
      </c>
      <c r="W25" s="49">
        <f>IF(BD_ESTADISTICA_INF_B[[#This Row],[POSICION]]="portero",BD_ESTADISTICA_INF_B[[#This Row],[Lanzam.]]-BD_ESTADISTICA_INF_B[[#This Row],[Paradas]],0)</f>
        <v>0</v>
      </c>
      <c r="X25" s="49">
        <f>IF(BD_ESTADISTICA_INF_B[[#This Row],[POSICION]]="jugador",BD_ESTADISTICA_INF_B[[#This Row],[Lanzam.]],0)</f>
        <v>0</v>
      </c>
      <c r="Y25" s="49">
        <f>IF(BD_ESTADISTICA_INF_B[[#This Row],[POSICION]]="portero",BD_ESTADISTICA_INF_B[[#This Row],[Lanzam.]],0)</f>
        <v>0</v>
      </c>
    </row>
    <row r="26" spans="1:25">
      <c r="A26" s="44" t="s">
        <v>21</v>
      </c>
      <c r="B26" s="45"/>
      <c r="C26" s="45"/>
      <c r="D26" s="45"/>
      <c r="E26" s="39" t="str">
        <f>IF(BD_ESTADISTICA_INF_B[[#This Row],[Lanzam.]]="","",IF(BD_ESTADISTICA_INF_B[[#This Row],[POSICION]]="jugador",B26/D26,C26/D26))</f>
        <v/>
      </c>
      <c r="H26" s="45"/>
      <c r="I26" s="45"/>
      <c r="J26" s="45"/>
      <c r="K26" s="45"/>
      <c r="L26" s="45"/>
      <c r="M26" s="45"/>
      <c r="N26" s="45"/>
      <c r="O26" s="45"/>
      <c r="P26" s="45"/>
      <c r="Q26" s="46">
        <v>2</v>
      </c>
      <c r="R26" s="47" t="s">
        <v>120</v>
      </c>
      <c r="S26" s="48" t="s">
        <v>79</v>
      </c>
      <c r="T26" s="40" t="s">
        <v>122</v>
      </c>
      <c r="U26" s="49" t="str">
        <f>IF(OR(BD_ESTADISTICA_INF_B[[#This Row],[Jugador]]="eudald",BD_ESTADISTICA_INF_B[[#This Row],[Jugador]]="jules",BD_ESTADISTICA_INF_B[[#This Row],[Jugador]]="JAN"),"PORTERO","JUGADOR")</f>
        <v>JUGADOR</v>
      </c>
      <c r="V26" s="49">
        <f>IF(BD_ESTADISTICA_INF_B[[#This Row],[POSICION]]="jugador",BD_ESTADISTICA_INF_B[[#This Row],[Goles]],0)</f>
        <v>0</v>
      </c>
      <c r="W26" s="49">
        <f>IF(BD_ESTADISTICA_INF_B[[#This Row],[POSICION]]="portero",BD_ESTADISTICA_INF_B[[#This Row],[Lanzam.]]-BD_ESTADISTICA_INF_B[[#This Row],[Paradas]],0)</f>
        <v>0</v>
      </c>
      <c r="X26" s="49">
        <f>IF(BD_ESTADISTICA_INF_B[[#This Row],[POSICION]]="jugador",BD_ESTADISTICA_INF_B[[#This Row],[Lanzam.]],0)</f>
        <v>0</v>
      </c>
      <c r="Y26" s="49">
        <f>IF(BD_ESTADISTICA_INF_B[[#This Row],[POSICION]]="portero",BD_ESTADISTICA_INF_B[[#This Row],[Lanzam.]],0)</f>
        <v>0</v>
      </c>
    </row>
    <row r="27" spans="1:25">
      <c r="A27" s="44" t="s">
        <v>40</v>
      </c>
      <c r="B27" s="45"/>
      <c r="C27" s="45"/>
      <c r="D27" s="45"/>
      <c r="E27" s="39" t="str">
        <f>IF(BD_ESTADISTICA_INF_B[[#This Row],[Lanzam.]]="","",IF(BD_ESTADISTICA_INF_B[[#This Row],[POSICION]]="jugador",B27/D27,C27/D27))</f>
        <v/>
      </c>
      <c r="H27" s="45"/>
      <c r="I27" s="45"/>
      <c r="J27" s="45"/>
      <c r="K27" s="45"/>
      <c r="L27" s="45"/>
      <c r="M27" s="45"/>
      <c r="N27" s="45"/>
      <c r="O27" s="45"/>
      <c r="P27" s="45"/>
      <c r="Q27" s="46">
        <v>2</v>
      </c>
      <c r="R27" s="47" t="s">
        <v>120</v>
      </c>
      <c r="S27" s="48" t="s">
        <v>79</v>
      </c>
      <c r="T27" s="40" t="s">
        <v>122</v>
      </c>
      <c r="U27" s="49" t="str">
        <f>IF(OR(BD_ESTADISTICA_INF_B[[#This Row],[Jugador]]="eudald",BD_ESTADISTICA_INF_B[[#This Row],[Jugador]]="jules",BD_ESTADISTICA_INF_B[[#This Row],[Jugador]]="JAN"),"PORTERO","JUGADOR")</f>
        <v>JUGADOR</v>
      </c>
      <c r="V27" s="49">
        <f>IF(BD_ESTADISTICA_INF_B[[#This Row],[POSICION]]="jugador",BD_ESTADISTICA_INF_B[[#This Row],[Goles]],0)</f>
        <v>0</v>
      </c>
      <c r="W27" s="49">
        <f>IF(BD_ESTADISTICA_INF_B[[#This Row],[POSICION]]="portero",BD_ESTADISTICA_INF_B[[#This Row],[Lanzam.]]-BD_ESTADISTICA_INF_B[[#This Row],[Paradas]],0)</f>
        <v>0</v>
      </c>
      <c r="X27" s="49">
        <f>IF(BD_ESTADISTICA_INF_B[[#This Row],[POSICION]]="jugador",BD_ESTADISTICA_INF_B[[#This Row],[Lanzam.]],0)</f>
        <v>0</v>
      </c>
      <c r="Y27" s="49">
        <f>IF(BD_ESTADISTICA_INF_B[[#This Row],[POSICION]]="portero",BD_ESTADISTICA_INF_B[[#This Row],[Lanzam.]],0)</f>
        <v>0</v>
      </c>
    </row>
    <row r="28" spans="1:25">
      <c r="A28" s="44" t="s">
        <v>41</v>
      </c>
      <c r="B28" s="45"/>
      <c r="C28" s="45"/>
      <c r="D28" s="45"/>
      <c r="E28" s="39" t="str">
        <f>IF(BD_ESTADISTICA_INF_B[[#This Row],[Lanzam.]]="","",IF(BD_ESTADISTICA_INF_B[[#This Row],[POSICION]]="jugador",B28/D28,C28/D28))</f>
        <v/>
      </c>
      <c r="H28" s="45"/>
      <c r="I28" s="45"/>
      <c r="J28" s="45"/>
      <c r="K28" s="45"/>
      <c r="L28" s="45"/>
      <c r="M28" s="45"/>
      <c r="N28" s="45"/>
      <c r="O28" s="45"/>
      <c r="P28" s="45"/>
      <c r="Q28" s="46">
        <v>2</v>
      </c>
      <c r="R28" s="47" t="s">
        <v>120</v>
      </c>
      <c r="S28" s="48" t="s">
        <v>79</v>
      </c>
      <c r="T28" s="40" t="s">
        <v>122</v>
      </c>
      <c r="U28" s="49" t="str">
        <f>IF(OR(BD_ESTADISTICA_INF_B[[#This Row],[Jugador]]="eudald",BD_ESTADISTICA_INF_B[[#This Row],[Jugador]]="jules",BD_ESTADISTICA_INF_B[[#This Row],[Jugador]]="JAN"),"PORTERO","JUGADOR")</f>
        <v>JUGADOR</v>
      </c>
      <c r="V28" s="49">
        <f>IF(BD_ESTADISTICA_INF_B[[#This Row],[POSICION]]="jugador",BD_ESTADISTICA_INF_B[[#This Row],[Goles]],0)</f>
        <v>0</v>
      </c>
      <c r="W28" s="49">
        <f>IF(BD_ESTADISTICA_INF_B[[#This Row],[POSICION]]="portero",BD_ESTADISTICA_INF_B[[#This Row],[Lanzam.]]-BD_ESTADISTICA_INF_B[[#This Row],[Paradas]],0)</f>
        <v>0</v>
      </c>
      <c r="X28" s="49">
        <f>IF(BD_ESTADISTICA_INF_B[[#This Row],[POSICION]]="jugador",BD_ESTADISTICA_INF_B[[#This Row],[Lanzam.]],0)</f>
        <v>0</v>
      </c>
      <c r="Y28" s="49">
        <f>IF(BD_ESTADISTICA_INF_B[[#This Row],[POSICION]]="portero",BD_ESTADISTICA_INF_B[[#This Row],[Lanzam.]],0)</f>
        <v>0</v>
      </c>
    </row>
    <row r="29" spans="1:25">
      <c r="A29" s="44" t="s">
        <v>23</v>
      </c>
      <c r="B29" s="45"/>
      <c r="C29" s="45"/>
      <c r="D29" s="45"/>
      <c r="E29" s="39" t="str">
        <f>IF(BD_ESTADISTICA_INF_B[[#This Row],[Lanzam.]]="","",IF(BD_ESTADISTICA_INF_B[[#This Row],[POSICION]]="jugador",B29/D29,C29/D29))</f>
        <v/>
      </c>
      <c r="H29" s="45"/>
      <c r="I29" s="45"/>
      <c r="J29" s="45"/>
      <c r="K29" s="45"/>
      <c r="L29" s="45"/>
      <c r="M29" s="45"/>
      <c r="N29" s="45"/>
      <c r="O29" s="45"/>
      <c r="P29" s="45"/>
      <c r="Q29" s="46">
        <v>2</v>
      </c>
      <c r="R29" s="47" t="s">
        <v>120</v>
      </c>
      <c r="S29" s="48" t="s">
        <v>79</v>
      </c>
      <c r="T29" s="40" t="s">
        <v>122</v>
      </c>
      <c r="U29" s="49" t="str">
        <f>IF(OR(BD_ESTADISTICA_INF_B[[#This Row],[Jugador]]="eudald",BD_ESTADISTICA_INF_B[[#This Row],[Jugador]]="jules",BD_ESTADISTICA_INF_B[[#This Row],[Jugador]]="JAN"),"PORTERO","JUGADOR")</f>
        <v>JUGADOR</v>
      </c>
      <c r="V29" s="49">
        <f>IF(BD_ESTADISTICA_INF_B[[#This Row],[POSICION]]="jugador",BD_ESTADISTICA_INF_B[[#This Row],[Goles]],0)</f>
        <v>0</v>
      </c>
      <c r="W29" s="49">
        <f>IF(BD_ESTADISTICA_INF_B[[#This Row],[POSICION]]="portero",BD_ESTADISTICA_INF_B[[#This Row],[Lanzam.]]-BD_ESTADISTICA_INF_B[[#This Row],[Paradas]],0)</f>
        <v>0</v>
      </c>
      <c r="X29" s="49">
        <f>IF(BD_ESTADISTICA_INF_B[[#This Row],[POSICION]]="jugador",BD_ESTADISTICA_INF_B[[#This Row],[Lanzam.]],0)</f>
        <v>0</v>
      </c>
      <c r="Y29" s="49">
        <f>IF(BD_ESTADISTICA_INF_B[[#This Row],[POSICION]]="portero",BD_ESTADISTICA_INF_B[[#This Row],[Lanzam.]],0)</f>
        <v>0</v>
      </c>
    </row>
    <row r="30" spans="1:25">
      <c r="A30" s="44" t="s">
        <v>24</v>
      </c>
      <c r="B30" s="45"/>
      <c r="C30" s="45"/>
      <c r="D30" s="45"/>
      <c r="E30" s="39" t="str">
        <f>IF(BD_ESTADISTICA_INF_B[[#This Row],[Lanzam.]]="","",IF(BD_ESTADISTICA_INF_B[[#This Row],[POSICION]]="jugador",B30/D30,C30/D30))</f>
        <v/>
      </c>
      <c r="H30" s="45"/>
      <c r="I30" s="45"/>
      <c r="J30" s="45"/>
      <c r="K30" s="45"/>
      <c r="L30" s="45"/>
      <c r="M30" s="45"/>
      <c r="N30" s="45"/>
      <c r="O30" s="45"/>
      <c r="P30" s="45"/>
      <c r="Q30" s="46">
        <v>2</v>
      </c>
      <c r="R30" s="47" t="s">
        <v>120</v>
      </c>
      <c r="S30" s="48" t="s">
        <v>79</v>
      </c>
      <c r="T30" s="40" t="s">
        <v>122</v>
      </c>
      <c r="U30" s="49" t="str">
        <f>IF(OR(BD_ESTADISTICA_INF_B[[#This Row],[Jugador]]="eudald",BD_ESTADISTICA_INF_B[[#This Row],[Jugador]]="jules",BD_ESTADISTICA_INF_B[[#This Row],[Jugador]]="JAN"),"PORTERO","JUGADOR")</f>
        <v>JUGADOR</v>
      </c>
      <c r="V30" s="49">
        <f>IF(BD_ESTADISTICA_INF_B[[#This Row],[POSICION]]="jugador",BD_ESTADISTICA_INF_B[[#This Row],[Goles]],0)</f>
        <v>0</v>
      </c>
      <c r="W30" s="49">
        <f>IF(BD_ESTADISTICA_INF_B[[#This Row],[POSICION]]="portero",BD_ESTADISTICA_INF_B[[#This Row],[Lanzam.]]-BD_ESTADISTICA_INF_B[[#This Row],[Paradas]],0)</f>
        <v>0</v>
      </c>
      <c r="X30" s="49">
        <f>IF(BD_ESTADISTICA_INF_B[[#This Row],[POSICION]]="jugador",BD_ESTADISTICA_INF_B[[#This Row],[Lanzam.]],0)</f>
        <v>0</v>
      </c>
      <c r="Y30" s="49">
        <f>IF(BD_ESTADISTICA_INF_B[[#This Row],[POSICION]]="portero",BD_ESTADISTICA_INF_B[[#This Row],[Lanzam.]],0)</f>
        <v>0</v>
      </c>
    </row>
    <row r="31" spans="1:25">
      <c r="A31" s="44" t="s">
        <v>25</v>
      </c>
      <c r="B31" s="45"/>
      <c r="C31" s="45"/>
      <c r="D31" s="45"/>
      <c r="E31" s="39" t="str">
        <f>IF(BD_ESTADISTICA_INF_B[[#This Row],[Lanzam.]]="","",IF(BD_ESTADISTICA_INF_B[[#This Row],[POSICION]]="jugador",B31/D31,C31/D31))</f>
        <v/>
      </c>
      <c r="H31" s="45"/>
      <c r="I31" s="45"/>
      <c r="J31" s="45"/>
      <c r="K31" s="45"/>
      <c r="L31" s="45"/>
      <c r="M31" s="45"/>
      <c r="N31" s="45"/>
      <c r="O31" s="45"/>
      <c r="P31" s="45"/>
      <c r="Q31" s="46">
        <v>2</v>
      </c>
      <c r="R31" s="47" t="s">
        <v>120</v>
      </c>
      <c r="S31" s="48" t="s">
        <v>79</v>
      </c>
      <c r="T31" s="40" t="s">
        <v>122</v>
      </c>
      <c r="U31" s="49" t="str">
        <f>IF(OR(BD_ESTADISTICA_INF_B[[#This Row],[Jugador]]="eudald",BD_ESTADISTICA_INF_B[[#This Row],[Jugador]]="jules",BD_ESTADISTICA_INF_B[[#This Row],[Jugador]]="JAN"),"PORTERO","JUGADOR")</f>
        <v>JUGADOR</v>
      </c>
      <c r="V31" s="49">
        <f>IF(BD_ESTADISTICA_INF_B[[#This Row],[POSICION]]="jugador",BD_ESTADISTICA_INF_B[[#This Row],[Goles]],0)</f>
        <v>0</v>
      </c>
      <c r="W31" s="49">
        <f>IF(BD_ESTADISTICA_INF_B[[#This Row],[POSICION]]="portero",BD_ESTADISTICA_INF_B[[#This Row],[Lanzam.]]-BD_ESTADISTICA_INF_B[[#This Row],[Paradas]],0)</f>
        <v>0</v>
      </c>
      <c r="X31" s="49">
        <f>IF(BD_ESTADISTICA_INF_B[[#This Row],[POSICION]]="jugador",BD_ESTADISTICA_INF_B[[#This Row],[Lanzam.]],0)</f>
        <v>0</v>
      </c>
      <c r="Y31" s="49">
        <f>IF(BD_ESTADISTICA_INF_B[[#This Row],[POSICION]]="portero",BD_ESTADISTICA_INF_B[[#This Row],[Lanzam.]],0)</f>
        <v>0</v>
      </c>
    </row>
    <row r="32" spans="1:25">
      <c r="A32" s="44" t="s">
        <v>26</v>
      </c>
      <c r="B32" s="45"/>
      <c r="C32" s="45"/>
      <c r="D32" s="45"/>
      <c r="E32" s="39" t="str">
        <f>IF(BD_ESTADISTICA_INF_B[[#This Row],[Lanzam.]]="","",IF(BD_ESTADISTICA_INF_B[[#This Row],[POSICION]]="jugador",B32/D32,C32/D32))</f>
        <v/>
      </c>
      <c r="H32" s="45"/>
      <c r="I32" s="45"/>
      <c r="J32" s="45"/>
      <c r="K32" s="45"/>
      <c r="L32" s="45"/>
      <c r="M32" s="45"/>
      <c r="N32" s="45"/>
      <c r="O32" s="45"/>
      <c r="P32" s="45"/>
      <c r="Q32" s="46">
        <v>2</v>
      </c>
      <c r="R32" s="47" t="s">
        <v>120</v>
      </c>
      <c r="S32" s="48" t="s">
        <v>79</v>
      </c>
      <c r="T32" s="40" t="s">
        <v>122</v>
      </c>
      <c r="U32" s="49" t="str">
        <f>IF(OR(BD_ESTADISTICA_INF_B[[#This Row],[Jugador]]="eudald",BD_ESTADISTICA_INF_B[[#This Row],[Jugador]]="jules",BD_ESTADISTICA_INF_B[[#This Row],[Jugador]]="JAN"),"PORTERO","JUGADOR")</f>
        <v>JUGADOR</v>
      </c>
      <c r="V32" s="49">
        <f>IF(BD_ESTADISTICA_INF_B[[#This Row],[POSICION]]="jugador",BD_ESTADISTICA_INF_B[[#This Row],[Goles]],0)</f>
        <v>0</v>
      </c>
      <c r="W32" s="49">
        <f>IF(BD_ESTADISTICA_INF_B[[#This Row],[POSICION]]="portero",BD_ESTADISTICA_INF_B[[#This Row],[Lanzam.]]-BD_ESTADISTICA_INF_B[[#This Row],[Paradas]],0)</f>
        <v>0</v>
      </c>
      <c r="X32" s="49">
        <f>IF(BD_ESTADISTICA_INF_B[[#This Row],[POSICION]]="jugador",BD_ESTADISTICA_INF_B[[#This Row],[Lanzam.]],0)</f>
        <v>0</v>
      </c>
      <c r="Y32" s="49">
        <f>IF(BD_ESTADISTICA_INF_B[[#This Row],[POSICION]]="portero",BD_ESTADISTICA_INF_B[[#This Row],[Lanzam.]],0)</f>
        <v>0</v>
      </c>
    </row>
    <row r="33" spans="1:25">
      <c r="A33" s="44" t="s">
        <v>27</v>
      </c>
      <c r="B33" s="45"/>
      <c r="C33" s="45"/>
      <c r="D33" s="45"/>
      <c r="E33" s="39" t="str">
        <f>IF(BD_ESTADISTICA_INF_B[[#This Row],[Lanzam.]]="","",IF(BD_ESTADISTICA_INF_B[[#This Row],[POSICION]]="jugador",B33/D33,C33/D33))</f>
        <v/>
      </c>
      <c r="H33" s="45"/>
      <c r="I33" s="45"/>
      <c r="J33" s="45"/>
      <c r="K33" s="45"/>
      <c r="L33" s="45"/>
      <c r="M33" s="45"/>
      <c r="N33" s="45"/>
      <c r="O33" s="45"/>
      <c r="P33" s="45"/>
      <c r="Q33" s="46">
        <v>2</v>
      </c>
      <c r="R33" s="47" t="s">
        <v>120</v>
      </c>
      <c r="S33" s="48" t="s">
        <v>79</v>
      </c>
      <c r="T33" s="40" t="s">
        <v>122</v>
      </c>
      <c r="U33" s="49" t="str">
        <f>IF(OR(BD_ESTADISTICA_INF_B[[#This Row],[Jugador]]="eudald",BD_ESTADISTICA_INF_B[[#This Row],[Jugador]]="jules",BD_ESTADISTICA_INF_B[[#This Row],[Jugador]]="JAN"),"PORTERO","JUGADOR")</f>
        <v>JUGADOR</v>
      </c>
      <c r="V33" s="49">
        <f>IF(BD_ESTADISTICA_INF_B[[#This Row],[POSICION]]="jugador",BD_ESTADISTICA_INF_B[[#This Row],[Goles]],0)</f>
        <v>0</v>
      </c>
      <c r="W33" s="49">
        <f>IF(BD_ESTADISTICA_INF_B[[#This Row],[POSICION]]="portero",BD_ESTADISTICA_INF_B[[#This Row],[Lanzam.]]-BD_ESTADISTICA_INF_B[[#This Row],[Paradas]],0)</f>
        <v>0</v>
      </c>
      <c r="X33" s="49">
        <f>IF(BD_ESTADISTICA_INF_B[[#This Row],[POSICION]]="jugador",BD_ESTADISTICA_INF_B[[#This Row],[Lanzam.]],0)</f>
        <v>0</v>
      </c>
      <c r="Y33" s="49">
        <f>IF(BD_ESTADISTICA_INF_B[[#This Row],[POSICION]]="portero",BD_ESTADISTICA_INF_B[[#This Row],[Lanzam.]],0)</f>
        <v>0</v>
      </c>
    </row>
    <row r="34" spans="1:25">
      <c r="A34" s="44" t="s">
        <v>28</v>
      </c>
      <c r="B34" s="45"/>
      <c r="C34" s="45"/>
      <c r="D34" s="45"/>
      <c r="E34" s="39" t="str">
        <f>IF(BD_ESTADISTICA_INF_B[[#This Row],[Lanzam.]]="","",IF(BD_ESTADISTICA_INF_B[[#This Row],[POSICION]]="jugador",B34/D34,C34/D34))</f>
        <v/>
      </c>
      <c r="H34" s="45"/>
      <c r="I34" s="45"/>
      <c r="J34" s="45"/>
      <c r="K34" s="45"/>
      <c r="L34" s="45"/>
      <c r="M34" s="45"/>
      <c r="N34" s="45"/>
      <c r="O34" s="45"/>
      <c r="P34" s="45"/>
      <c r="Q34" s="46">
        <v>2</v>
      </c>
      <c r="R34" s="47" t="s">
        <v>120</v>
      </c>
      <c r="S34" s="48" t="s">
        <v>79</v>
      </c>
      <c r="T34" s="40" t="s">
        <v>122</v>
      </c>
      <c r="U34" s="49" t="str">
        <f>IF(OR(BD_ESTADISTICA_INF_B[[#This Row],[Jugador]]="eudald",BD_ESTADISTICA_INF_B[[#This Row],[Jugador]]="jules",BD_ESTADISTICA_INF_B[[#This Row],[Jugador]]="JAN"),"PORTERO","JUGADOR")</f>
        <v>JUGADOR</v>
      </c>
      <c r="V34" s="49">
        <f>IF(BD_ESTADISTICA_INF_B[[#This Row],[POSICION]]="jugador",BD_ESTADISTICA_INF_B[[#This Row],[Goles]],0)</f>
        <v>0</v>
      </c>
      <c r="W34" s="49">
        <f>IF(BD_ESTADISTICA_INF_B[[#This Row],[POSICION]]="portero",BD_ESTADISTICA_INF_B[[#This Row],[Lanzam.]]-BD_ESTADISTICA_INF_B[[#This Row],[Paradas]],0)</f>
        <v>0</v>
      </c>
      <c r="X34" s="49">
        <f>IF(BD_ESTADISTICA_INF_B[[#This Row],[POSICION]]="jugador",BD_ESTADISTICA_INF_B[[#This Row],[Lanzam.]],0)</f>
        <v>0</v>
      </c>
      <c r="Y34" s="49">
        <f>IF(BD_ESTADISTICA_INF_B[[#This Row],[POSICION]]="portero",BD_ESTADISTICA_INF_B[[#This Row],[Lanzam.]],0)</f>
        <v>0</v>
      </c>
    </row>
    <row r="35" spans="1:25">
      <c r="A35" s="44" t="s">
        <v>31</v>
      </c>
      <c r="B35" s="45"/>
      <c r="C35" s="45"/>
      <c r="D35" s="45"/>
      <c r="E35" s="39" t="str">
        <f>IF(BD_ESTADISTICA_INF_B[[#This Row],[Lanzam.]]="","",IF(BD_ESTADISTICA_INF_B[[#This Row],[POSICION]]="jugador",B35/D35,C35/D35))</f>
        <v/>
      </c>
      <c r="H35" s="45"/>
      <c r="I35" s="45"/>
      <c r="J35" s="45"/>
      <c r="K35" s="45"/>
      <c r="L35" s="45"/>
      <c r="M35" s="45"/>
      <c r="N35" s="45"/>
      <c r="O35" s="45"/>
      <c r="P35" s="45"/>
      <c r="Q35" s="46">
        <v>2</v>
      </c>
      <c r="R35" s="47" t="s">
        <v>120</v>
      </c>
      <c r="S35" s="48" t="s">
        <v>79</v>
      </c>
      <c r="T35" s="40" t="s">
        <v>122</v>
      </c>
      <c r="U35" s="49" t="str">
        <f>IF(OR(BD_ESTADISTICA_INF_B[[#This Row],[Jugador]]="eudald",BD_ESTADISTICA_INF_B[[#This Row],[Jugador]]="jules",BD_ESTADISTICA_INF_B[[#This Row],[Jugador]]="JAN"),"PORTERO","JUGADOR")</f>
        <v>PORTERO</v>
      </c>
      <c r="V35" s="49">
        <f>IF(BD_ESTADISTICA_INF_B[[#This Row],[POSICION]]="jugador",BD_ESTADISTICA_INF_B[[#This Row],[Goles]],0)</f>
        <v>0</v>
      </c>
      <c r="W35" s="49">
        <f>IF(BD_ESTADISTICA_INF_B[[#This Row],[POSICION]]="portero",BD_ESTADISTICA_INF_B[[#This Row],[Lanzam.]]-BD_ESTADISTICA_INF_B[[#This Row],[Paradas]],0)</f>
        <v>0</v>
      </c>
      <c r="X35" s="49">
        <f>IF(BD_ESTADISTICA_INF_B[[#This Row],[POSICION]]="jugador",BD_ESTADISTICA_INF_B[[#This Row],[Lanzam.]],0)</f>
        <v>0</v>
      </c>
      <c r="Y35" s="49">
        <f>IF(BD_ESTADISTICA_INF_B[[#This Row],[POSICION]]="portero",BD_ESTADISTICA_INF_B[[#This Row],[Lanzam.]],0)</f>
        <v>0</v>
      </c>
    </row>
    <row r="36" spans="1:25">
      <c r="A36" s="44" t="s">
        <v>29</v>
      </c>
      <c r="B36" s="45"/>
      <c r="C36" s="45"/>
      <c r="D36" s="45"/>
      <c r="E36" s="39" t="str">
        <f>IF(BD_ESTADISTICA_INF_B[[#This Row],[Lanzam.]]="","",IF(BD_ESTADISTICA_INF_B[[#This Row],[POSICION]]="jugador",B36/D36,C36/D36))</f>
        <v/>
      </c>
      <c r="H36" s="45"/>
      <c r="I36" s="45"/>
      <c r="J36" s="45"/>
      <c r="K36" s="45"/>
      <c r="L36" s="45"/>
      <c r="M36" s="45"/>
      <c r="N36" s="45"/>
      <c r="O36" s="45"/>
      <c r="P36" s="45"/>
      <c r="Q36" s="46">
        <v>2</v>
      </c>
      <c r="R36" s="47" t="s">
        <v>120</v>
      </c>
      <c r="S36" s="48" t="s">
        <v>79</v>
      </c>
      <c r="T36" s="40" t="s">
        <v>122</v>
      </c>
      <c r="U36" s="49" t="str">
        <f>IF(OR(BD_ESTADISTICA_INF_B[[#This Row],[Jugador]]="eudald",BD_ESTADISTICA_INF_B[[#This Row],[Jugador]]="jules",BD_ESTADISTICA_INF_B[[#This Row],[Jugador]]="JAN"),"PORTERO","JUGADOR")</f>
        <v>PORTERO</v>
      </c>
      <c r="V36" s="49">
        <f>IF(BD_ESTADISTICA_INF_B[[#This Row],[POSICION]]="jugador",BD_ESTADISTICA_INF_B[[#This Row],[Goles]],0)</f>
        <v>0</v>
      </c>
      <c r="W36" s="49">
        <f>IF(BD_ESTADISTICA_INF_B[[#This Row],[POSICION]]="portero",BD_ESTADISTICA_INF_B[[#This Row],[Lanzam.]]-BD_ESTADISTICA_INF_B[[#This Row],[Paradas]],0)</f>
        <v>0</v>
      </c>
      <c r="X36" s="49">
        <f>IF(BD_ESTADISTICA_INF_B[[#This Row],[POSICION]]="jugador",BD_ESTADISTICA_INF_B[[#This Row],[Lanzam.]],0)</f>
        <v>0</v>
      </c>
      <c r="Y36" s="49">
        <f>IF(BD_ESTADISTICA_INF_B[[#This Row],[POSICION]]="portero",BD_ESTADISTICA_INF_B[[#This Row],[Lanzam.]],0)</f>
        <v>0</v>
      </c>
    </row>
    <row r="37" spans="1:25">
      <c r="A37" s="44" t="s">
        <v>30</v>
      </c>
      <c r="B37" s="45"/>
      <c r="C37" s="45"/>
      <c r="D37" s="45"/>
      <c r="E37" s="39" t="str">
        <f>IF(BD_ESTADISTICA_INF_B[[#This Row],[Lanzam.]]="","",IF(BD_ESTADISTICA_INF_B[[#This Row],[POSICION]]="jugador",B37/D37,C37/D37))</f>
        <v/>
      </c>
      <c r="H37" s="45"/>
      <c r="I37" s="45"/>
      <c r="J37" s="45"/>
      <c r="K37" s="45"/>
      <c r="L37" s="45"/>
      <c r="M37" s="45"/>
      <c r="N37" s="45"/>
      <c r="O37" s="45"/>
      <c r="P37" s="45"/>
      <c r="Q37" s="46">
        <v>2</v>
      </c>
      <c r="R37" s="47" t="s">
        <v>120</v>
      </c>
      <c r="S37" s="48" t="s">
        <v>79</v>
      </c>
      <c r="T37" s="40" t="s">
        <v>122</v>
      </c>
      <c r="U37" s="49" t="str">
        <f>IF(OR(BD_ESTADISTICA_INF_B[[#This Row],[Jugador]]="eudald",BD_ESTADISTICA_INF_B[[#This Row],[Jugador]]="jules",BD_ESTADISTICA_INF_B[[#This Row],[Jugador]]="JAN"),"PORTERO","JUGADOR")</f>
        <v>PORTERO</v>
      </c>
      <c r="V37" s="49">
        <f>IF(BD_ESTADISTICA_INF_B[[#This Row],[POSICION]]="jugador",BD_ESTADISTICA_INF_B[[#This Row],[Goles]],0)</f>
        <v>0</v>
      </c>
      <c r="W37" s="49">
        <f>IF(BD_ESTADISTICA_INF_B[[#This Row],[POSICION]]="portero",BD_ESTADISTICA_INF_B[[#This Row],[Lanzam.]]-BD_ESTADISTICA_INF_B[[#This Row],[Paradas]],0)</f>
        <v>0</v>
      </c>
      <c r="X37" s="49">
        <f>IF(BD_ESTADISTICA_INF_B[[#This Row],[POSICION]]="jugador",BD_ESTADISTICA_INF_B[[#This Row],[Lanzam.]],0)</f>
        <v>0</v>
      </c>
      <c r="Y37" s="49">
        <f>IF(BD_ESTADISTICA_INF_B[[#This Row],[POSICION]]="portero",BD_ESTADISTICA_INF_B[[#This Row],[Lanzam.]],0)</f>
        <v>0</v>
      </c>
    </row>
    <row r="38" spans="1:25">
      <c r="A38" s="44" t="s">
        <v>42</v>
      </c>
      <c r="B38" s="45"/>
      <c r="C38" s="45"/>
      <c r="D38" s="45"/>
      <c r="E38" s="39" t="str">
        <f>IF(BD_ESTADISTICA_INF_B[[#This Row],[Lanzam.]]="","",IF(BD_ESTADISTICA_INF_B[[#This Row],[POSICION]]="jugador",B38/D38,C38/D38))</f>
        <v/>
      </c>
      <c r="H38" s="45"/>
      <c r="I38" s="45"/>
      <c r="J38" s="45"/>
      <c r="K38" s="45"/>
      <c r="L38" s="45"/>
      <c r="M38" s="45"/>
      <c r="N38" s="45"/>
      <c r="O38" s="45"/>
      <c r="P38" s="45"/>
      <c r="Q38" s="46">
        <v>2</v>
      </c>
      <c r="R38" s="47" t="s">
        <v>120</v>
      </c>
      <c r="S38" s="48" t="s">
        <v>79</v>
      </c>
      <c r="T38" s="40" t="s">
        <v>122</v>
      </c>
      <c r="U38" s="49" t="str">
        <f>IF(OR(BD_ESTADISTICA_INF_B[[#This Row],[Jugador]]="eudald",BD_ESTADISTICA_INF_B[[#This Row],[Jugador]]="jules",BD_ESTADISTICA_INF_B[[#This Row],[Jugador]]="JAN"),"PORTERO","JUGADOR")</f>
        <v>JUGADOR</v>
      </c>
      <c r="V38" s="49">
        <f>IF(BD_ESTADISTICA_INF_B[[#This Row],[POSICION]]="jugador",BD_ESTADISTICA_INF_B[[#This Row],[Goles]],0)</f>
        <v>0</v>
      </c>
      <c r="W38" s="49">
        <f>IF(BD_ESTADISTICA_INF_B[[#This Row],[POSICION]]="portero",BD_ESTADISTICA_INF_B[[#This Row],[Lanzam.]]-BD_ESTADISTICA_INF_B[[#This Row],[Paradas]],0)</f>
        <v>0</v>
      </c>
      <c r="X38" s="49">
        <f>IF(BD_ESTADISTICA_INF_B[[#This Row],[POSICION]]="jugador",BD_ESTADISTICA_INF_B[[#This Row],[Lanzam.]],0)</f>
        <v>0</v>
      </c>
      <c r="Y38" s="49">
        <f>IF(BD_ESTADISTICA_INF_B[[#This Row],[POSICION]]="portero",BD_ESTADISTICA_INF_B[[#This Row],[Lanzam.]],0)</f>
        <v>0</v>
      </c>
    </row>
    <row r="39" spans="1:25">
      <c r="A39" s="44" t="s">
        <v>22</v>
      </c>
      <c r="B39" s="45"/>
      <c r="C39" s="45"/>
      <c r="D39" s="45"/>
      <c r="E39" s="39" t="str">
        <f>IF(BD_ESTADISTICA_INF_B[[#This Row],[Lanzam.]]="","",IF(BD_ESTADISTICA_INF_B[[#This Row],[POSICION]]="jugador",B39/D39,C39/D39))</f>
        <v/>
      </c>
      <c r="H39" s="45"/>
      <c r="I39" s="45"/>
      <c r="J39" s="45"/>
      <c r="K39" s="45"/>
      <c r="L39" s="45"/>
      <c r="M39" s="45"/>
      <c r="N39" s="45"/>
      <c r="O39" s="45"/>
      <c r="P39" s="45"/>
      <c r="Q39" s="46">
        <v>2</v>
      </c>
      <c r="R39" s="47" t="s">
        <v>120</v>
      </c>
      <c r="S39" s="48" t="s">
        <v>79</v>
      </c>
      <c r="T39" s="40" t="s">
        <v>122</v>
      </c>
      <c r="U39" s="49" t="str">
        <f>IF(OR(BD_ESTADISTICA_INF_B[[#This Row],[Jugador]]="eudald",BD_ESTADISTICA_INF_B[[#This Row],[Jugador]]="jules",BD_ESTADISTICA_INF_B[[#This Row],[Jugador]]="JAN"),"PORTERO","JUGADOR")</f>
        <v>JUGADOR</v>
      </c>
      <c r="V39" s="49">
        <f>IF(BD_ESTADISTICA_INF_B[[#This Row],[POSICION]]="jugador",BD_ESTADISTICA_INF_B[[#This Row],[Goles]],0)</f>
        <v>0</v>
      </c>
      <c r="W39" s="49">
        <f>IF(BD_ESTADISTICA_INF_B[[#This Row],[POSICION]]="portero",BD_ESTADISTICA_INF_B[[#This Row],[Lanzam.]]-BD_ESTADISTICA_INF_B[[#This Row],[Paradas]],0)</f>
        <v>0</v>
      </c>
      <c r="X39" s="49">
        <f>IF(BD_ESTADISTICA_INF_B[[#This Row],[POSICION]]="jugador",BD_ESTADISTICA_INF_B[[#This Row],[Lanzam.]],0)</f>
        <v>0</v>
      </c>
      <c r="Y39" s="49">
        <f>IF(BD_ESTADISTICA_INF_B[[#This Row],[POSICION]]="portero",BD_ESTADISTICA_INF_B[[#This Row],[Lanzam.]],0)</f>
        <v>0</v>
      </c>
    </row>
    <row r="40" spans="1:25">
      <c r="A40" s="44" t="s">
        <v>16</v>
      </c>
      <c r="B40" s="45"/>
      <c r="C40" s="45"/>
      <c r="D40" s="45"/>
      <c r="E40" s="39" t="str">
        <f>IF(BD_ESTADISTICA_INF_B[[#This Row],[Lanzam.]]="","",IF(BD_ESTADISTICA_INF_B[[#This Row],[POSICION]]="jugador",B40/D40,C40/D40))</f>
        <v/>
      </c>
      <c r="H40" s="45"/>
      <c r="I40" s="45"/>
      <c r="J40" s="45"/>
      <c r="K40" s="45"/>
      <c r="L40" s="45"/>
      <c r="M40" s="45"/>
      <c r="N40" s="45"/>
      <c r="O40" s="45"/>
      <c r="P40" s="45"/>
      <c r="Q40" s="46">
        <v>3</v>
      </c>
      <c r="R40" s="47" t="s">
        <v>120</v>
      </c>
      <c r="S40" s="48" t="s">
        <v>102</v>
      </c>
      <c r="T40" s="40" t="s">
        <v>123</v>
      </c>
      <c r="U40" s="49" t="str">
        <f>IF(OR(BD_ESTADISTICA_INF_B[[#This Row],[Jugador]]="eudald",BD_ESTADISTICA_INF_B[[#This Row],[Jugador]]="jules",BD_ESTADISTICA_INF_B[[#This Row],[Jugador]]="JAN"),"PORTERO","JUGADOR")</f>
        <v>JUGADOR</v>
      </c>
      <c r="V40" s="49">
        <f>IF(BD_ESTADISTICA_INF_B[[#This Row],[POSICION]]="jugador",BD_ESTADISTICA_INF_B[[#This Row],[Goles]],0)</f>
        <v>0</v>
      </c>
      <c r="W40" s="49">
        <f>IF(BD_ESTADISTICA_INF_B[[#This Row],[POSICION]]="portero",BD_ESTADISTICA_INF_B[[#This Row],[Lanzam.]]-BD_ESTADISTICA_INF_B[[#This Row],[Paradas]],0)</f>
        <v>0</v>
      </c>
      <c r="X40" s="49">
        <f>IF(BD_ESTADISTICA_INF_B[[#This Row],[POSICION]]="jugador",BD_ESTADISTICA_INF_B[[#This Row],[Lanzam.]],0)</f>
        <v>0</v>
      </c>
      <c r="Y40" s="49">
        <f>IF(BD_ESTADISTICA_INF_B[[#This Row],[POSICION]]="portero",BD_ESTADISTICA_INF_B[[#This Row],[Lanzam.]],0)</f>
        <v>0</v>
      </c>
    </row>
    <row r="41" spans="1:25">
      <c r="A41" s="44" t="s">
        <v>17</v>
      </c>
      <c r="B41" s="45"/>
      <c r="C41" s="45"/>
      <c r="D41" s="45"/>
      <c r="E41" s="39" t="str">
        <f>IF(BD_ESTADISTICA_INF_B[[#This Row],[Lanzam.]]="","",IF(BD_ESTADISTICA_INF_B[[#This Row],[POSICION]]="jugador",B41/D41,C41/D41))</f>
        <v/>
      </c>
      <c r="H41" s="45"/>
      <c r="I41" s="45"/>
      <c r="J41" s="45"/>
      <c r="K41" s="45"/>
      <c r="L41" s="45"/>
      <c r="M41" s="45"/>
      <c r="N41" s="45"/>
      <c r="O41" s="45"/>
      <c r="P41" s="45"/>
      <c r="Q41" s="46">
        <v>3</v>
      </c>
      <c r="R41" s="47" t="s">
        <v>120</v>
      </c>
      <c r="S41" s="48" t="s">
        <v>102</v>
      </c>
      <c r="T41" s="40" t="s">
        <v>123</v>
      </c>
      <c r="U41" s="49" t="str">
        <f>IF(OR(BD_ESTADISTICA_INF_B[[#This Row],[Jugador]]="eudald",BD_ESTADISTICA_INF_B[[#This Row],[Jugador]]="jules",BD_ESTADISTICA_INF_B[[#This Row],[Jugador]]="JAN"),"PORTERO","JUGADOR")</f>
        <v>JUGADOR</v>
      </c>
      <c r="V41" s="49">
        <f>IF(BD_ESTADISTICA_INF_B[[#This Row],[POSICION]]="jugador",BD_ESTADISTICA_INF_B[[#This Row],[Goles]],0)</f>
        <v>0</v>
      </c>
      <c r="W41" s="49">
        <f>IF(BD_ESTADISTICA_INF_B[[#This Row],[POSICION]]="portero",BD_ESTADISTICA_INF_B[[#This Row],[Lanzam.]]-BD_ESTADISTICA_INF_B[[#This Row],[Paradas]],0)</f>
        <v>0</v>
      </c>
      <c r="X41" s="49">
        <f>IF(BD_ESTADISTICA_INF_B[[#This Row],[POSICION]]="jugador",BD_ESTADISTICA_INF_B[[#This Row],[Lanzam.]],0)</f>
        <v>0</v>
      </c>
      <c r="Y41" s="49">
        <f>IF(BD_ESTADISTICA_INF_B[[#This Row],[POSICION]]="portero",BD_ESTADISTICA_INF_B[[#This Row],[Lanzam.]],0)</f>
        <v>0</v>
      </c>
    </row>
    <row r="42" spans="1:25">
      <c r="A42" s="44" t="s">
        <v>18</v>
      </c>
      <c r="B42" s="45"/>
      <c r="C42" s="45"/>
      <c r="D42" s="45"/>
      <c r="E42" s="39" t="str">
        <f>IF(BD_ESTADISTICA_INF_B[[#This Row],[Lanzam.]]="","",IF(BD_ESTADISTICA_INF_B[[#This Row],[POSICION]]="jugador",B42/D42,C42/D42))</f>
        <v/>
      </c>
      <c r="H42" s="45"/>
      <c r="I42" s="45"/>
      <c r="J42" s="45"/>
      <c r="K42" s="45"/>
      <c r="L42" s="45"/>
      <c r="M42" s="45"/>
      <c r="N42" s="45"/>
      <c r="O42" s="45"/>
      <c r="P42" s="45"/>
      <c r="Q42" s="46">
        <v>3</v>
      </c>
      <c r="R42" s="47" t="s">
        <v>120</v>
      </c>
      <c r="S42" s="48" t="s">
        <v>102</v>
      </c>
      <c r="T42" s="40" t="s">
        <v>123</v>
      </c>
      <c r="U42" s="49" t="str">
        <f>IF(OR(BD_ESTADISTICA_INF_B[[#This Row],[Jugador]]="eudald",BD_ESTADISTICA_INF_B[[#This Row],[Jugador]]="jules",BD_ESTADISTICA_INF_B[[#This Row],[Jugador]]="JAN"),"PORTERO","JUGADOR")</f>
        <v>JUGADOR</v>
      </c>
      <c r="V42" s="49">
        <f>IF(BD_ESTADISTICA_INF_B[[#This Row],[POSICION]]="jugador",BD_ESTADISTICA_INF_B[[#This Row],[Goles]],0)</f>
        <v>0</v>
      </c>
      <c r="W42" s="49">
        <f>IF(BD_ESTADISTICA_INF_B[[#This Row],[POSICION]]="portero",BD_ESTADISTICA_INF_B[[#This Row],[Lanzam.]]-BD_ESTADISTICA_INF_B[[#This Row],[Paradas]],0)</f>
        <v>0</v>
      </c>
      <c r="X42" s="49">
        <f>IF(BD_ESTADISTICA_INF_B[[#This Row],[POSICION]]="jugador",BD_ESTADISTICA_INF_B[[#This Row],[Lanzam.]],0)</f>
        <v>0</v>
      </c>
      <c r="Y42" s="49">
        <f>IF(BD_ESTADISTICA_INF_B[[#This Row],[POSICION]]="portero",BD_ESTADISTICA_INF_B[[#This Row],[Lanzam.]],0)</f>
        <v>0</v>
      </c>
    </row>
    <row r="43" spans="1:25">
      <c r="A43" s="44" t="s">
        <v>19</v>
      </c>
      <c r="B43" s="45"/>
      <c r="C43" s="45"/>
      <c r="D43" s="45"/>
      <c r="E43" s="39" t="str">
        <f>IF(BD_ESTADISTICA_INF_B[[#This Row],[Lanzam.]]="","",IF(BD_ESTADISTICA_INF_B[[#This Row],[POSICION]]="jugador",B43/D43,C43/D43))</f>
        <v/>
      </c>
      <c r="H43" s="45"/>
      <c r="I43" s="45"/>
      <c r="J43" s="45"/>
      <c r="K43" s="45"/>
      <c r="L43" s="45"/>
      <c r="M43" s="45"/>
      <c r="N43" s="45"/>
      <c r="O43" s="45"/>
      <c r="P43" s="45"/>
      <c r="Q43" s="46">
        <v>3</v>
      </c>
      <c r="R43" s="47" t="s">
        <v>120</v>
      </c>
      <c r="S43" s="48" t="s">
        <v>102</v>
      </c>
      <c r="T43" s="40" t="s">
        <v>123</v>
      </c>
      <c r="U43" s="49" t="str">
        <f>IF(OR(BD_ESTADISTICA_INF_B[[#This Row],[Jugador]]="eudald",BD_ESTADISTICA_INF_B[[#This Row],[Jugador]]="jules",BD_ESTADISTICA_INF_B[[#This Row],[Jugador]]="JAN"),"PORTERO","JUGADOR")</f>
        <v>JUGADOR</v>
      </c>
      <c r="V43" s="49">
        <f>IF(BD_ESTADISTICA_INF_B[[#This Row],[POSICION]]="jugador",BD_ESTADISTICA_INF_B[[#This Row],[Goles]],0)</f>
        <v>0</v>
      </c>
      <c r="W43" s="49">
        <f>IF(BD_ESTADISTICA_INF_B[[#This Row],[POSICION]]="portero",BD_ESTADISTICA_INF_B[[#This Row],[Lanzam.]]-BD_ESTADISTICA_INF_B[[#This Row],[Paradas]],0)</f>
        <v>0</v>
      </c>
      <c r="X43" s="49">
        <f>IF(BD_ESTADISTICA_INF_B[[#This Row],[POSICION]]="jugador",BD_ESTADISTICA_INF_B[[#This Row],[Lanzam.]],0)</f>
        <v>0</v>
      </c>
      <c r="Y43" s="49">
        <f>IF(BD_ESTADISTICA_INF_B[[#This Row],[POSICION]]="portero",BD_ESTADISTICA_INF_B[[#This Row],[Lanzam.]],0)</f>
        <v>0</v>
      </c>
    </row>
    <row r="44" spans="1:25">
      <c r="A44" s="44" t="s">
        <v>20</v>
      </c>
      <c r="B44" s="45"/>
      <c r="C44" s="45"/>
      <c r="D44" s="45"/>
      <c r="E44" s="39" t="str">
        <f>IF(BD_ESTADISTICA_INF_B[[#This Row],[Lanzam.]]="","",IF(BD_ESTADISTICA_INF_B[[#This Row],[POSICION]]="jugador",B44/D44,C44/D44))</f>
        <v/>
      </c>
      <c r="H44" s="45"/>
      <c r="I44" s="45"/>
      <c r="J44" s="45"/>
      <c r="K44" s="45"/>
      <c r="L44" s="45"/>
      <c r="M44" s="45"/>
      <c r="N44" s="45"/>
      <c r="O44" s="45"/>
      <c r="P44" s="45"/>
      <c r="Q44" s="46">
        <v>3</v>
      </c>
      <c r="R44" s="47" t="s">
        <v>120</v>
      </c>
      <c r="S44" s="48" t="s">
        <v>102</v>
      </c>
      <c r="T44" s="40" t="s">
        <v>123</v>
      </c>
      <c r="U44" s="49" t="str">
        <f>IF(OR(BD_ESTADISTICA_INF_B[[#This Row],[Jugador]]="eudald",BD_ESTADISTICA_INF_B[[#This Row],[Jugador]]="jules",BD_ESTADISTICA_INF_B[[#This Row],[Jugador]]="JAN"),"PORTERO","JUGADOR")</f>
        <v>JUGADOR</v>
      </c>
      <c r="V44" s="49">
        <f>IF(BD_ESTADISTICA_INF_B[[#This Row],[POSICION]]="jugador",BD_ESTADISTICA_INF_B[[#This Row],[Goles]],0)</f>
        <v>0</v>
      </c>
      <c r="W44" s="49">
        <f>IF(BD_ESTADISTICA_INF_B[[#This Row],[POSICION]]="portero",BD_ESTADISTICA_INF_B[[#This Row],[Lanzam.]]-BD_ESTADISTICA_INF_B[[#This Row],[Paradas]],0)</f>
        <v>0</v>
      </c>
      <c r="X44" s="49">
        <f>IF(BD_ESTADISTICA_INF_B[[#This Row],[POSICION]]="jugador",BD_ESTADISTICA_INF_B[[#This Row],[Lanzam.]],0)</f>
        <v>0</v>
      </c>
      <c r="Y44" s="49">
        <f>IF(BD_ESTADISTICA_INF_B[[#This Row],[POSICION]]="portero",BD_ESTADISTICA_INF_B[[#This Row],[Lanzam.]],0)</f>
        <v>0</v>
      </c>
    </row>
    <row r="45" spans="1:25">
      <c r="A45" s="44" t="s">
        <v>21</v>
      </c>
      <c r="B45" s="45"/>
      <c r="C45" s="45"/>
      <c r="D45" s="45"/>
      <c r="E45" s="39" t="str">
        <f>IF(BD_ESTADISTICA_INF_B[[#This Row],[Lanzam.]]="","",IF(BD_ESTADISTICA_INF_B[[#This Row],[POSICION]]="jugador",B45/D45,C45/D45))</f>
        <v/>
      </c>
      <c r="H45" s="45"/>
      <c r="I45" s="45"/>
      <c r="J45" s="45"/>
      <c r="K45" s="45"/>
      <c r="L45" s="45"/>
      <c r="M45" s="45"/>
      <c r="N45" s="45"/>
      <c r="O45" s="45"/>
      <c r="P45" s="45"/>
      <c r="Q45" s="46">
        <v>3</v>
      </c>
      <c r="R45" s="47" t="s">
        <v>120</v>
      </c>
      <c r="S45" s="48" t="s">
        <v>102</v>
      </c>
      <c r="T45" s="40" t="s">
        <v>123</v>
      </c>
      <c r="U45" s="49" t="str">
        <f>IF(OR(BD_ESTADISTICA_INF_B[[#This Row],[Jugador]]="eudald",BD_ESTADISTICA_INF_B[[#This Row],[Jugador]]="jules",BD_ESTADISTICA_INF_B[[#This Row],[Jugador]]="JAN"),"PORTERO","JUGADOR")</f>
        <v>JUGADOR</v>
      </c>
      <c r="V45" s="49">
        <f>IF(BD_ESTADISTICA_INF_B[[#This Row],[POSICION]]="jugador",BD_ESTADISTICA_INF_B[[#This Row],[Goles]],0)</f>
        <v>0</v>
      </c>
      <c r="W45" s="49">
        <f>IF(BD_ESTADISTICA_INF_B[[#This Row],[POSICION]]="portero",BD_ESTADISTICA_INF_B[[#This Row],[Lanzam.]]-BD_ESTADISTICA_INF_B[[#This Row],[Paradas]],0)</f>
        <v>0</v>
      </c>
      <c r="X45" s="49">
        <f>IF(BD_ESTADISTICA_INF_B[[#This Row],[POSICION]]="jugador",BD_ESTADISTICA_INF_B[[#This Row],[Lanzam.]],0)</f>
        <v>0</v>
      </c>
      <c r="Y45" s="49">
        <f>IF(BD_ESTADISTICA_INF_B[[#This Row],[POSICION]]="portero",BD_ESTADISTICA_INF_B[[#This Row],[Lanzam.]],0)</f>
        <v>0</v>
      </c>
    </row>
    <row r="46" spans="1:25">
      <c r="A46" s="44" t="s">
        <v>40</v>
      </c>
      <c r="B46" s="45"/>
      <c r="C46" s="45"/>
      <c r="D46" s="45"/>
      <c r="E46" s="39" t="str">
        <f>IF(BD_ESTADISTICA_INF_B[[#This Row],[Lanzam.]]="","",IF(BD_ESTADISTICA_INF_B[[#This Row],[POSICION]]="jugador",B46/D46,C46/D46))</f>
        <v/>
      </c>
      <c r="H46" s="45"/>
      <c r="I46" s="45"/>
      <c r="J46" s="45"/>
      <c r="K46" s="45"/>
      <c r="L46" s="45"/>
      <c r="M46" s="45"/>
      <c r="N46" s="45"/>
      <c r="O46" s="45"/>
      <c r="P46" s="45"/>
      <c r="Q46" s="46">
        <v>3</v>
      </c>
      <c r="R46" s="47" t="s">
        <v>120</v>
      </c>
      <c r="S46" s="48" t="s">
        <v>102</v>
      </c>
      <c r="T46" s="40" t="s">
        <v>123</v>
      </c>
      <c r="U46" s="49" t="str">
        <f>IF(OR(BD_ESTADISTICA_INF_B[[#This Row],[Jugador]]="eudald",BD_ESTADISTICA_INF_B[[#This Row],[Jugador]]="jules",BD_ESTADISTICA_INF_B[[#This Row],[Jugador]]="JAN"),"PORTERO","JUGADOR")</f>
        <v>JUGADOR</v>
      </c>
      <c r="V46" s="49">
        <f>IF(BD_ESTADISTICA_INF_B[[#This Row],[POSICION]]="jugador",BD_ESTADISTICA_INF_B[[#This Row],[Goles]],0)</f>
        <v>0</v>
      </c>
      <c r="W46" s="49">
        <f>IF(BD_ESTADISTICA_INF_B[[#This Row],[POSICION]]="portero",BD_ESTADISTICA_INF_B[[#This Row],[Lanzam.]]-BD_ESTADISTICA_INF_B[[#This Row],[Paradas]],0)</f>
        <v>0</v>
      </c>
      <c r="X46" s="49">
        <f>IF(BD_ESTADISTICA_INF_B[[#This Row],[POSICION]]="jugador",BD_ESTADISTICA_INF_B[[#This Row],[Lanzam.]],0)</f>
        <v>0</v>
      </c>
      <c r="Y46" s="49">
        <f>IF(BD_ESTADISTICA_INF_B[[#This Row],[POSICION]]="portero",BD_ESTADISTICA_INF_B[[#This Row],[Lanzam.]],0)</f>
        <v>0</v>
      </c>
    </row>
    <row r="47" spans="1:25">
      <c r="A47" s="44" t="s">
        <v>41</v>
      </c>
      <c r="B47" s="45"/>
      <c r="C47" s="45"/>
      <c r="D47" s="45"/>
      <c r="E47" s="39" t="str">
        <f>IF(BD_ESTADISTICA_INF_B[[#This Row],[Lanzam.]]="","",IF(BD_ESTADISTICA_INF_B[[#This Row],[POSICION]]="jugador",B47/D47,C47/D47))</f>
        <v/>
      </c>
      <c r="H47" s="45"/>
      <c r="I47" s="45"/>
      <c r="J47" s="45"/>
      <c r="K47" s="45"/>
      <c r="L47" s="45"/>
      <c r="M47" s="45"/>
      <c r="N47" s="45"/>
      <c r="O47" s="45"/>
      <c r="P47" s="45"/>
      <c r="Q47" s="46">
        <v>3</v>
      </c>
      <c r="R47" s="47" t="s">
        <v>120</v>
      </c>
      <c r="S47" s="48" t="s">
        <v>102</v>
      </c>
      <c r="T47" s="40" t="s">
        <v>123</v>
      </c>
      <c r="U47" s="49" t="str">
        <f>IF(OR(BD_ESTADISTICA_INF_B[[#This Row],[Jugador]]="eudald",BD_ESTADISTICA_INF_B[[#This Row],[Jugador]]="jules",BD_ESTADISTICA_INF_B[[#This Row],[Jugador]]="JAN"),"PORTERO","JUGADOR")</f>
        <v>JUGADOR</v>
      </c>
      <c r="V47" s="49">
        <f>IF(BD_ESTADISTICA_INF_B[[#This Row],[POSICION]]="jugador",BD_ESTADISTICA_INF_B[[#This Row],[Goles]],0)</f>
        <v>0</v>
      </c>
      <c r="W47" s="49">
        <f>IF(BD_ESTADISTICA_INF_B[[#This Row],[POSICION]]="portero",BD_ESTADISTICA_INF_B[[#This Row],[Lanzam.]]-BD_ESTADISTICA_INF_B[[#This Row],[Paradas]],0)</f>
        <v>0</v>
      </c>
      <c r="X47" s="49">
        <f>IF(BD_ESTADISTICA_INF_B[[#This Row],[POSICION]]="jugador",BD_ESTADISTICA_INF_B[[#This Row],[Lanzam.]],0)</f>
        <v>0</v>
      </c>
      <c r="Y47" s="49">
        <f>IF(BD_ESTADISTICA_INF_B[[#This Row],[POSICION]]="portero",BD_ESTADISTICA_INF_B[[#This Row],[Lanzam.]],0)</f>
        <v>0</v>
      </c>
    </row>
    <row r="48" spans="1:25">
      <c r="A48" s="44" t="s">
        <v>23</v>
      </c>
      <c r="B48" s="45"/>
      <c r="C48" s="45"/>
      <c r="D48" s="45"/>
      <c r="E48" s="39" t="str">
        <f>IF(BD_ESTADISTICA_INF_B[[#This Row],[Lanzam.]]="","",IF(BD_ESTADISTICA_INF_B[[#This Row],[POSICION]]="jugador",B48/D48,C48/D48))</f>
        <v/>
      </c>
      <c r="H48" s="45"/>
      <c r="I48" s="45"/>
      <c r="J48" s="45"/>
      <c r="K48" s="45"/>
      <c r="L48" s="45"/>
      <c r="M48" s="45"/>
      <c r="N48" s="45"/>
      <c r="O48" s="45"/>
      <c r="P48" s="45"/>
      <c r="Q48" s="46">
        <v>3</v>
      </c>
      <c r="R48" s="47" t="s">
        <v>120</v>
      </c>
      <c r="S48" s="48" t="s">
        <v>102</v>
      </c>
      <c r="T48" s="40" t="s">
        <v>123</v>
      </c>
      <c r="U48" s="49" t="str">
        <f>IF(OR(BD_ESTADISTICA_INF_B[[#This Row],[Jugador]]="eudald",BD_ESTADISTICA_INF_B[[#This Row],[Jugador]]="jules",BD_ESTADISTICA_INF_B[[#This Row],[Jugador]]="JAN"),"PORTERO","JUGADOR")</f>
        <v>JUGADOR</v>
      </c>
      <c r="V48" s="49">
        <f>IF(BD_ESTADISTICA_INF_B[[#This Row],[POSICION]]="jugador",BD_ESTADISTICA_INF_B[[#This Row],[Goles]],0)</f>
        <v>0</v>
      </c>
      <c r="W48" s="49">
        <f>IF(BD_ESTADISTICA_INF_B[[#This Row],[POSICION]]="portero",BD_ESTADISTICA_INF_B[[#This Row],[Lanzam.]]-BD_ESTADISTICA_INF_B[[#This Row],[Paradas]],0)</f>
        <v>0</v>
      </c>
      <c r="X48" s="49">
        <f>IF(BD_ESTADISTICA_INF_B[[#This Row],[POSICION]]="jugador",BD_ESTADISTICA_INF_B[[#This Row],[Lanzam.]],0)</f>
        <v>0</v>
      </c>
      <c r="Y48" s="49">
        <f>IF(BD_ESTADISTICA_INF_B[[#This Row],[POSICION]]="portero",BD_ESTADISTICA_INF_B[[#This Row],[Lanzam.]],0)</f>
        <v>0</v>
      </c>
    </row>
    <row r="49" spans="1:25">
      <c r="A49" s="44" t="s">
        <v>24</v>
      </c>
      <c r="B49" s="45"/>
      <c r="C49" s="45"/>
      <c r="D49" s="45"/>
      <c r="E49" s="39" t="str">
        <f>IF(BD_ESTADISTICA_INF_B[[#This Row],[Lanzam.]]="","",IF(BD_ESTADISTICA_INF_B[[#This Row],[POSICION]]="jugador",B49/D49,C49/D49))</f>
        <v/>
      </c>
      <c r="H49" s="45"/>
      <c r="I49" s="45"/>
      <c r="J49" s="45"/>
      <c r="K49" s="45"/>
      <c r="L49" s="45"/>
      <c r="M49" s="45"/>
      <c r="N49" s="45"/>
      <c r="O49" s="45"/>
      <c r="P49" s="45"/>
      <c r="Q49" s="46">
        <v>3</v>
      </c>
      <c r="R49" s="47" t="s">
        <v>120</v>
      </c>
      <c r="S49" s="48" t="s">
        <v>102</v>
      </c>
      <c r="T49" s="40" t="s">
        <v>123</v>
      </c>
      <c r="U49" s="49" t="str">
        <f>IF(OR(BD_ESTADISTICA_INF_B[[#This Row],[Jugador]]="eudald",BD_ESTADISTICA_INF_B[[#This Row],[Jugador]]="jules",BD_ESTADISTICA_INF_B[[#This Row],[Jugador]]="JAN"),"PORTERO","JUGADOR")</f>
        <v>JUGADOR</v>
      </c>
      <c r="V49" s="49">
        <f>IF(BD_ESTADISTICA_INF_B[[#This Row],[POSICION]]="jugador",BD_ESTADISTICA_INF_B[[#This Row],[Goles]],0)</f>
        <v>0</v>
      </c>
      <c r="W49" s="49">
        <f>IF(BD_ESTADISTICA_INF_B[[#This Row],[POSICION]]="portero",BD_ESTADISTICA_INF_B[[#This Row],[Lanzam.]]-BD_ESTADISTICA_INF_B[[#This Row],[Paradas]],0)</f>
        <v>0</v>
      </c>
      <c r="X49" s="49">
        <f>IF(BD_ESTADISTICA_INF_B[[#This Row],[POSICION]]="jugador",BD_ESTADISTICA_INF_B[[#This Row],[Lanzam.]],0)</f>
        <v>0</v>
      </c>
      <c r="Y49" s="49">
        <f>IF(BD_ESTADISTICA_INF_B[[#This Row],[POSICION]]="portero",BD_ESTADISTICA_INF_B[[#This Row],[Lanzam.]],0)</f>
        <v>0</v>
      </c>
    </row>
    <row r="50" spans="1:25">
      <c r="A50" s="44" t="s">
        <v>25</v>
      </c>
      <c r="B50" s="45"/>
      <c r="C50" s="45"/>
      <c r="D50" s="45"/>
      <c r="E50" s="39" t="str">
        <f>IF(BD_ESTADISTICA_INF_B[[#This Row],[Lanzam.]]="","",IF(BD_ESTADISTICA_INF_B[[#This Row],[POSICION]]="jugador",B50/D50,C50/D50))</f>
        <v/>
      </c>
      <c r="H50" s="45"/>
      <c r="I50" s="45"/>
      <c r="J50" s="45"/>
      <c r="K50" s="45"/>
      <c r="L50" s="45"/>
      <c r="M50" s="45"/>
      <c r="N50" s="45"/>
      <c r="O50" s="45"/>
      <c r="P50" s="45"/>
      <c r="Q50" s="46">
        <v>3</v>
      </c>
      <c r="R50" s="47" t="s">
        <v>120</v>
      </c>
      <c r="S50" s="48" t="s">
        <v>102</v>
      </c>
      <c r="T50" s="40" t="s">
        <v>123</v>
      </c>
      <c r="U50" s="49" t="str">
        <f>IF(OR(BD_ESTADISTICA_INF_B[[#This Row],[Jugador]]="eudald",BD_ESTADISTICA_INF_B[[#This Row],[Jugador]]="jules",BD_ESTADISTICA_INF_B[[#This Row],[Jugador]]="JAN"),"PORTERO","JUGADOR")</f>
        <v>JUGADOR</v>
      </c>
      <c r="V50" s="49">
        <f>IF(BD_ESTADISTICA_INF_B[[#This Row],[POSICION]]="jugador",BD_ESTADISTICA_INF_B[[#This Row],[Goles]],0)</f>
        <v>0</v>
      </c>
      <c r="W50" s="49">
        <f>IF(BD_ESTADISTICA_INF_B[[#This Row],[POSICION]]="portero",BD_ESTADISTICA_INF_B[[#This Row],[Lanzam.]]-BD_ESTADISTICA_INF_B[[#This Row],[Paradas]],0)</f>
        <v>0</v>
      </c>
      <c r="X50" s="49">
        <f>IF(BD_ESTADISTICA_INF_B[[#This Row],[POSICION]]="jugador",BD_ESTADISTICA_INF_B[[#This Row],[Lanzam.]],0)</f>
        <v>0</v>
      </c>
      <c r="Y50" s="49">
        <f>IF(BD_ESTADISTICA_INF_B[[#This Row],[POSICION]]="portero",BD_ESTADISTICA_INF_B[[#This Row],[Lanzam.]],0)</f>
        <v>0</v>
      </c>
    </row>
    <row r="51" spans="1:25">
      <c r="A51" s="44" t="s">
        <v>26</v>
      </c>
      <c r="B51" s="45"/>
      <c r="C51" s="45"/>
      <c r="D51" s="45"/>
      <c r="E51" s="39" t="str">
        <f>IF(BD_ESTADISTICA_INF_B[[#This Row],[Lanzam.]]="","",IF(BD_ESTADISTICA_INF_B[[#This Row],[POSICION]]="jugador",B51/D51,C51/D51))</f>
        <v/>
      </c>
      <c r="H51" s="45"/>
      <c r="I51" s="45"/>
      <c r="J51" s="45"/>
      <c r="K51" s="45"/>
      <c r="L51" s="45"/>
      <c r="M51" s="45"/>
      <c r="N51" s="45"/>
      <c r="O51" s="45"/>
      <c r="P51" s="45"/>
      <c r="Q51" s="46">
        <v>3</v>
      </c>
      <c r="R51" s="47" t="s">
        <v>120</v>
      </c>
      <c r="S51" s="48" t="s">
        <v>102</v>
      </c>
      <c r="T51" s="40" t="s">
        <v>123</v>
      </c>
      <c r="U51" s="49" t="str">
        <f>IF(OR(BD_ESTADISTICA_INF_B[[#This Row],[Jugador]]="eudald",BD_ESTADISTICA_INF_B[[#This Row],[Jugador]]="jules",BD_ESTADISTICA_INF_B[[#This Row],[Jugador]]="JAN"),"PORTERO","JUGADOR")</f>
        <v>JUGADOR</v>
      </c>
      <c r="V51" s="49">
        <f>IF(BD_ESTADISTICA_INF_B[[#This Row],[POSICION]]="jugador",BD_ESTADISTICA_INF_B[[#This Row],[Goles]],0)</f>
        <v>0</v>
      </c>
      <c r="W51" s="49">
        <f>IF(BD_ESTADISTICA_INF_B[[#This Row],[POSICION]]="portero",BD_ESTADISTICA_INF_B[[#This Row],[Lanzam.]]-BD_ESTADISTICA_INF_B[[#This Row],[Paradas]],0)</f>
        <v>0</v>
      </c>
      <c r="X51" s="49">
        <f>IF(BD_ESTADISTICA_INF_B[[#This Row],[POSICION]]="jugador",BD_ESTADISTICA_INF_B[[#This Row],[Lanzam.]],0)</f>
        <v>0</v>
      </c>
      <c r="Y51" s="49">
        <f>IF(BD_ESTADISTICA_INF_B[[#This Row],[POSICION]]="portero",BD_ESTADISTICA_INF_B[[#This Row],[Lanzam.]],0)</f>
        <v>0</v>
      </c>
    </row>
    <row r="52" spans="1:25">
      <c r="A52" s="44" t="s">
        <v>27</v>
      </c>
      <c r="B52" s="45"/>
      <c r="C52" s="45"/>
      <c r="D52" s="45"/>
      <c r="E52" s="39" t="str">
        <f>IF(BD_ESTADISTICA_INF_B[[#This Row],[Lanzam.]]="","",IF(BD_ESTADISTICA_INF_B[[#This Row],[POSICION]]="jugador",B52/D52,C52/D52))</f>
        <v/>
      </c>
      <c r="H52" s="45"/>
      <c r="I52" s="45"/>
      <c r="J52" s="45"/>
      <c r="K52" s="45"/>
      <c r="L52" s="45"/>
      <c r="M52" s="45"/>
      <c r="N52" s="45"/>
      <c r="O52" s="45"/>
      <c r="P52" s="45"/>
      <c r="Q52" s="46">
        <v>3</v>
      </c>
      <c r="R52" s="47" t="s">
        <v>120</v>
      </c>
      <c r="S52" s="48" t="s">
        <v>102</v>
      </c>
      <c r="T52" s="40" t="s">
        <v>123</v>
      </c>
      <c r="U52" s="49" t="str">
        <f>IF(OR(BD_ESTADISTICA_INF_B[[#This Row],[Jugador]]="eudald",BD_ESTADISTICA_INF_B[[#This Row],[Jugador]]="jules",BD_ESTADISTICA_INF_B[[#This Row],[Jugador]]="JAN"),"PORTERO","JUGADOR")</f>
        <v>JUGADOR</v>
      </c>
      <c r="V52" s="49">
        <f>IF(BD_ESTADISTICA_INF_B[[#This Row],[POSICION]]="jugador",BD_ESTADISTICA_INF_B[[#This Row],[Goles]],0)</f>
        <v>0</v>
      </c>
      <c r="W52" s="49">
        <f>IF(BD_ESTADISTICA_INF_B[[#This Row],[POSICION]]="portero",BD_ESTADISTICA_INF_B[[#This Row],[Lanzam.]]-BD_ESTADISTICA_INF_B[[#This Row],[Paradas]],0)</f>
        <v>0</v>
      </c>
      <c r="X52" s="49">
        <f>IF(BD_ESTADISTICA_INF_B[[#This Row],[POSICION]]="jugador",BD_ESTADISTICA_INF_B[[#This Row],[Lanzam.]],0)</f>
        <v>0</v>
      </c>
      <c r="Y52" s="49">
        <f>IF(BD_ESTADISTICA_INF_B[[#This Row],[POSICION]]="portero",BD_ESTADISTICA_INF_B[[#This Row],[Lanzam.]],0)</f>
        <v>0</v>
      </c>
    </row>
    <row r="53" spans="1:25">
      <c r="A53" s="44" t="s">
        <v>28</v>
      </c>
      <c r="B53" s="45"/>
      <c r="C53" s="45"/>
      <c r="D53" s="45"/>
      <c r="E53" s="39" t="str">
        <f>IF(BD_ESTADISTICA_INF_B[[#This Row],[Lanzam.]]="","",IF(BD_ESTADISTICA_INF_B[[#This Row],[POSICION]]="jugador",B53/D53,C53/D53))</f>
        <v/>
      </c>
      <c r="H53" s="45"/>
      <c r="I53" s="45"/>
      <c r="J53" s="45"/>
      <c r="K53" s="45"/>
      <c r="L53" s="45"/>
      <c r="M53" s="45"/>
      <c r="N53" s="45"/>
      <c r="O53" s="45"/>
      <c r="P53" s="45"/>
      <c r="Q53" s="46">
        <v>3</v>
      </c>
      <c r="R53" s="47" t="s">
        <v>120</v>
      </c>
      <c r="S53" s="48" t="s">
        <v>102</v>
      </c>
      <c r="T53" s="40" t="s">
        <v>123</v>
      </c>
      <c r="U53" s="49" t="str">
        <f>IF(OR(BD_ESTADISTICA_INF_B[[#This Row],[Jugador]]="eudald",BD_ESTADISTICA_INF_B[[#This Row],[Jugador]]="jules",BD_ESTADISTICA_INF_B[[#This Row],[Jugador]]="JAN"),"PORTERO","JUGADOR")</f>
        <v>JUGADOR</v>
      </c>
      <c r="V53" s="49">
        <f>IF(BD_ESTADISTICA_INF_B[[#This Row],[POSICION]]="jugador",BD_ESTADISTICA_INF_B[[#This Row],[Goles]],0)</f>
        <v>0</v>
      </c>
      <c r="W53" s="49">
        <f>IF(BD_ESTADISTICA_INF_B[[#This Row],[POSICION]]="portero",BD_ESTADISTICA_INF_B[[#This Row],[Lanzam.]]-BD_ESTADISTICA_INF_B[[#This Row],[Paradas]],0)</f>
        <v>0</v>
      </c>
      <c r="X53" s="49">
        <f>IF(BD_ESTADISTICA_INF_B[[#This Row],[POSICION]]="jugador",BD_ESTADISTICA_INF_B[[#This Row],[Lanzam.]],0)</f>
        <v>0</v>
      </c>
      <c r="Y53" s="49">
        <f>IF(BD_ESTADISTICA_INF_B[[#This Row],[POSICION]]="portero",BD_ESTADISTICA_INF_B[[#This Row],[Lanzam.]],0)</f>
        <v>0</v>
      </c>
    </row>
    <row r="54" spans="1:25">
      <c r="A54" s="44" t="s">
        <v>31</v>
      </c>
      <c r="B54" s="45"/>
      <c r="C54" s="45"/>
      <c r="D54" s="45"/>
      <c r="E54" s="39" t="str">
        <f>IF(BD_ESTADISTICA_INF_B[[#This Row],[Lanzam.]]="","",IF(BD_ESTADISTICA_INF_B[[#This Row],[POSICION]]="jugador",B54/D54,C54/D54))</f>
        <v/>
      </c>
      <c r="H54" s="45"/>
      <c r="I54" s="45"/>
      <c r="J54" s="45"/>
      <c r="K54" s="45"/>
      <c r="L54" s="45"/>
      <c r="M54" s="45"/>
      <c r="N54" s="45"/>
      <c r="O54" s="45"/>
      <c r="P54" s="45"/>
      <c r="Q54" s="46">
        <v>3</v>
      </c>
      <c r="R54" s="47" t="s">
        <v>120</v>
      </c>
      <c r="S54" s="48" t="s">
        <v>102</v>
      </c>
      <c r="T54" s="40" t="s">
        <v>123</v>
      </c>
      <c r="U54" s="49" t="str">
        <f>IF(OR(BD_ESTADISTICA_INF_B[[#This Row],[Jugador]]="eudald",BD_ESTADISTICA_INF_B[[#This Row],[Jugador]]="jules",BD_ESTADISTICA_INF_B[[#This Row],[Jugador]]="JAN"),"PORTERO","JUGADOR")</f>
        <v>PORTERO</v>
      </c>
      <c r="V54" s="49">
        <f>IF(BD_ESTADISTICA_INF_B[[#This Row],[POSICION]]="jugador",BD_ESTADISTICA_INF_B[[#This Row],[Goles]],0)</f>
        <v>0</v>
      </c>
      <c r="W54" s="49">
        <f>IF(BD_ESTADISTICA_INF_B[[#This Row],[POSICION]]="portero",BD_ESTADISTICA_INF_B[[#This Row],[Lanzam.]]-BD_ESTADISTICA_INF_B[[#This Row],[Paradas]],0)</f>
        <v>0</v>
      </c>
      <c r="X54" s="49">
        <f>IF(BD_ESTADISTICA_INF_B[[#This Row],[POSICION]]="jugador",BD_ESTADISTICA_INF_B[[#This Row],[Lanzam.]],0)</f>
        <v>0</v>
      </c>
      <c r="Y54" s="49">
        <f>IF(BD_ESTADISTICA_INF_B[[#This Row],[POSICION]]="portero",BD_ESTADISTICA_INF_B[[#This Row],[Lanzam.]],0)</f>
        <v>0</v>
      </c>
    </row>
    <row r="55" spans="1:25">
      <c r="A55" s="44" t="s">
        <v>29</v>
      </c>
      <c r="B55" s="45"/>
      <c r="C55" s="45"/>
      <c r="D55" s="45"/>
      <c r="E55" s="39" t="str">
        <f>IF(BD_ESTADISTICA_INF_B[[#This Row],[Lanzam.]]="","",IF(BD_ESTADISTICA_INF_B[[#This Row],[POSICION]]="jugador",B55/D55,C55/D55))</f>
        <v/>
      </c>
      <c r="H55" s="45"/>
      <c r="I55" s="45"/>
      <c r="J55" s="45"/>
      <c r="K55" s="45"/>
      <c r="L55" s="45"/>
      <c r="M55" s="45"/>
      <c r="N55" s="45"/>
      <c r="O55" s="45"/>
      <c r="P55" s="45"/>
      <c r="Q55" s="46">
        <v>3</v>
      </c>
      <c r="R55" s="47" t="s">
        <v>120</v>
      </c>
      <c r="S55" s="48" t="s">
        <v>102</v>
      </c>
      <c r="T55" s="40" t="s">
        <v>123</v>
      </c>
      <c r="U55" s="49" t="str">
        <f>IF(OR(BD_ESTADISTICA_INF_B[[#This Row],[Jugador]]="eudald",BD_ESTADISTICA_INF_B[[#This Row],[Jugador]]="jules",BD_ESTADISTICA_INF_B[[#This Row],[Jugador]]="JAN"),"PORTERO","JUGADOR")</f>
        <v>PORTERO</v>
      </c>
      <c r="V55" s="49">
        <f>IF(BD_ESTADISTICA_INF_B[[#This Row],[POSICION]]="jugador",BD_ESTADISTICA_INF_B[[#This Row],[Goles]],0)</f>
        <v>0</v>
      </c>
      <c r="W55" s="49">
        <f>IF(BD_ESTADISTICA_INF_B[[#This Row],[POSICION]]="portero",BD_ESTADISTICA_INF_B[[#This Row],[Lanzam.]]-BD_ESTADISTICA_INF_B[[#This Row],[Paradas]],0)</f>
        <v>0</v>
      </c>
      <c r="X55" s="49">
        <f>IF(BD_ESTADISTICA_INF_B[[#This Row],[POSICION]]="jugador",BD_ESTADISTICA_INF_B[[#This Row],[Lanzam.]],0)</f>
        <v>0</v>
      </c>
      <c r="Y55" s="49">
        <f>IF(BD_ESTADISTICA_INF_B[[#This Row],[POSICION]]="portero",BD_ESTADISTICA_INF_B[[#This Row],[Lanzam.]],0)</f>
        <v>0</v>
      </c>
    </row>
    <row r="56" spans="1:25">
      <c r="A56" s="44" t="s">
        <v>30</v>
      </c>
      <c r="B56" s="45"/>
      <c r="C56" s="45"/>
      <c r="D56" s="45"/>
      <c r="E56" s="39" t="str">
        <f>IF(BD_ESTADISTICA_INF_B[[#This Row],[Lanzam.]]="","",IF(BD_ESTADISTICA_INF_B[[#This Row],[POSICION]]="jugador",B56/D56,C56/D56))</f>
        <v/>
      </c>
      <c r="H56" s="45"/>
      <c r="I56" s="45"/>
      <c r="J56" s="45"/>
      <c r="K56" s="45"/>
      <c r="L56" s="45"/>
      <c r="M56" s="45"/>
      <c r="N56" s="45"/>
      <c r="O56" s="45"/>
      <c r="P56" s="45"/>
      <c r="Q56" s="46">
        <v>3</v>
      </c>
      <c r="R56" s="47" t="s">
        <v>120</v>
      </c>
      <c r="S56" s="48" t="s">
        <v>102</v>
      </c>
      <c r="T56" s="40" t="s">
        <v>123</v>
      </c>
      <c r="U56" s="49" t="str">
        <f>IF(OR(BD_ESTADISTICA_INF_B[[#This Row],[Jugador]]="eudald",BD_ESTADISTICA_INF_B[[#This Row],[Jugador]]="jules",BD_ESTADISTICA_INF_B[[#This Row],[Jugador]]="JAN"),"PORTERO","JUGADOR")</f>
        <v>PORTERO</v>
      </c>
      <c r="V56" s="49">
        <f>IF(BD_ESTADISTICA_INF_B[[#This Row],[POSICION]]="jugador",BD_ESTADISTICA_INF_B[[#This Row],[Goles]],0)</f>
        <v>0</v>
      </c>
      <c r="W56" s="49">
        <f>IF(BD_ESTADISTICA_INF_B[[#This Row],[POSICION]]="portero",BD_ESTADISTICA_INF_B[[#This Row],[Lanzam.]]-BD_ESTADISTICA_INF_B[[#This Row],[Paradas]],0)</f>
        <v>0</v>
      </c>
      <c r="X56" s="49">
        <f>IF(BD_ESTADISTICA_INF_B[[#This Row],[POSICION]]="jugador",BD_ESTADISTICA_INF_B[[#This Row],[Lanzam.]],0)</f>
        <v>0</v>
      </c>
      <c r="Y56" s="49">
        <f>IF(BD_ESTADISTICA_INF_B[[#This Row],[POSICION]]="portero",BD_ESTADISTICA_INF_B[[#This Row],[Lanzam.]],0)</f>
        <v>0</v>
      </c>
    </row>
    <row r="57" spans="1:25">
      <c r="A57" s="44" t="s">
        <v>42</v>
      </c>
      <c r="B57" s="45"/>
      <c r="C57" s="45"/>
      <c r="D57" s="45"/>
      <c r="E57" s="39" t="str">
        <f>IF(BD_ESTADISTICA_INF_B[[#This Row],[Lanzam.]]="","",IF(BD_ESTADISTICA_INF_B[[#This Row],[POSICION]]="jugador",B57/D57,C57/D57))</f>
        <v/>
      </c>
      <c r="H57" s="45"/>
      <c r="I57" s="45"/>
      <c r="J57" s="45"/>
      <c r="K57" s="45"/>
      <c r="L57" s="45"/>
      <c r="M57" s="45"/>
      <c r="N57" s="45"/>
      <c r="O57" s="45"/>
      <c r="P57" s="45"/>
      <c r="Q57" s="46">
        <v>3</v>
      </c>
      <c r="R57" s="47" t="s">
        <v>120</v>
      </c>
      <c r="S57" s="48" t="s">
        <v>102</v>
      </c>
      <c r="T57" s="40" t="s">
        <v>123</v>
      </c>
      <c r="U57" s="49" t="str">
        <f>IF(OR(BD_ESTADISTICA_INF_B[[#This Row],[Jugador]]="eudald",BD_ESTADISTICA_INF_B[[#This Row],[Jugador]]="jules",BD_ESTADISTICA_INF_B[[#This Row],[Jugador]]="JAN"),"PORTERO","JUGADOR")</f>
        <v>JUGADOR</v>
      </c>
      <c r="V57" s="49">
        <f>IF(BD_ESTADISTICA_INF_B[[#This Row],[POSICION]]="jugador",BD_ESTADISTICA_INF_B[[#This Row],[Goles]],0)</f>
        <v>0</v>
      </c>
      <c r="W57" s="49">
        <f>IF(BD_ESTADISTICA_INF_B[[#This Row],[POSICION]]="portero",BD_ESTADISTICA_INF_B[[#This Row],[Lanzam.]]-BD_ESTADISTICA_INF_B[[#This Row],[Paradas]],0)</f>
        <v>0</v>
      </c>
      <c r="X57" s="49">
        <f>IF(BD_ESTADISTICA_INF_B[[#This Row],[POSICION]]="jugador",BD_ESTADISTICA_INF_B[[#This Row],[Lanzam.]],0)</f>
        <v>0</v>
      </c>
      <c r="Y57" s="49">
        <f>IF(BD_ESTADISTICA_INF_B[[#This Row],[POSICION]]="portero",BD_ESTADISTICA_INF_B[[#This Row],[Lanzam.]],0)</f>
        <v>0</v>
      </c>
    </row>
    <row r="58" spans="1:25">
      <c r="A58" s="44" t="s">
        <v>22</v>
      </c>
      <c r="B58" s="45"/>
      <c r="C58" s="45"/>
      <c r="D58" s="45"/>
      <c r="E58" s="39" t="str">
        <f>IF(BD_ESTADISTICA_INF_B[[#This Row],[Lanzam.]]="","",IF(BD_ESTADISTICA_INF_B[[#This Row],[POSICION]]="jugador",B58/D58,C58/D58))</f>
        <v/>
      </c>
      <c r="H58" s="45"/>
      <c r="I58" s="45"/>
      <c r="J58" s="45"/>
      <c r="K58" s="45"/>
      <c r="L58" s="45"/>
      <c r="M58" s="45"/>
      <c r="N58" s="45"/>
      <c r="O58" s="45"/>
      <c r="P58" s="45"/>
      <c r="Q58" s="46">
        <v>3</v>
      </c>
      <c r="R58" s="47" t="s">
        <v>120</v>
      </c>
      <c r="S58" s="48" t="s">
        <v>102</v>
      </c>
      <c r="T58" s="40" t="s">
        <v>123</v>
      </c>
      <c r="U58" s="49" t="str">
        <f>IF(OR(BD_ESTADISTICA_INF_B[[#This Row],[Jugador]]="eudald",BD_ESTADISTICA_INF_B[[#This Row],[Jugador]]="jules",BD_ESTADISTICA_INF_B[[#This Row],[Jugador]]="JAN"),"PORTERO","JUGADOR")</f>
        <v>JUGADOR</v>
      </c>
      <c r="V58" s="49">
        <f>IF(BD_ESTADISTICA_INF_B[[#This Row],[POSICION]]="jugador",BD_ESTADISTICA_INF_B[[#This Row],[Goles]],0)</f>
        <v>0</v>
      </c>
      <c r="W58" s="49">
        <f>IF(BD_ESTADISTICA_INF_B[[#This Row],[POSICION]]="portero",BD_ESTADISTICA_INF_B[[#This Row],[Lanzam.]]-BD_ESTADISTICA_INF_B[[#This Row],[Paradas]],0)</f>
        <v>0</v>
      </c>
      <c r="X58" s="49">
        <f>IF(BD_ESTADISTICA_INF_B[[#This Row],[POSICION]]="jugador",BD_ESTADISTICA_INF_B[[#This Row],[Lanzam.]],0)</f>
        <v>0</v>
      </c>
      <c r="Y58" s="49">
        <f>IF(BD_ESTADISTICA_INF_B[[#This Row],[POSICION]]="portero",BD_ESTADISTICA_INF_B[[#This Row],[Lanzam.]],0)</f>
        <v>0</v>
      </c>
    </row>
  </sheetData>
  <phoneticPr fontId="3" type="noConversion"/>
  <pageMargins left="0.70000000000000007" right="0.70000000000000007" top="0.75" bottom="0.75" header="0.30000000000000004" footer="0.30000000000000004"/>
  <pageSetup paperSize="9" fitToWidth="0" fitToHeight="0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0AFA5-55A8-4C23-B1EC-9E29476B05AA}">
  <sheetPr codeName="Hoja2">
    <tabColor rgb="FF002060"/>
  </sheetPr>
  <dimension ref="A1:AR12"/>
  <sheetViews>
    <sheetView zoomScale="99" zoomScaleNormal="90" workbookViewId="0">
      <selection activeCell="C13" sqref="C13"/>
    </sheetView>
  </sheetViews>
  <sheetFormatPr baseColWidth="10" defaultRowHeight="13.8"/>
  <cols>
    <col min="1" max="1" width="2.796875" customWidth="1"/>
    <col min="3" max="3" width="22.8984375" bestFit="1" customWidth="1"/>
    <col min="4" max="4" width="14.296875" bestFit="1" customWidth="1"/>
    <col min="5" max="5" width="16.69921875" bestFit="1" customWidth="1"/>
    <col min="6" max="6" width="17" bestFit="1" customWidth="1"/>
    <col min="7" max="7" width="17.09765625" bestFit="1" customWidth="1"/>
    <col min="8" max="8" width="16.59765625" bestFit="1" customWidth="1"/>
    <col min="9" max="9" width="18.69921875" bestFit="1" customWidth="1"/>
    <col min="10" max="10" width="17.09765625" bestFit="1" customWidth="1"/>
    <col min="11" max="11" width="14.296875" bestFit="1" customWidth="1"/>
    <col min="12" max="12" width="16.69921875" bestFit="1" customWidth="1"/>
    <col min="13" max="13" width="21.8984375" bestFit="1" customWidth="1"/>
    <col min="14" max="14" width="21.3984375" bestFit="1" customWidth="1"/>
    <col min="15" max="15" width="9.296875" bestFit="1" customWidth="1"/>
    <col min="16" max="16" width="24.796875" bestFit="1" customWidth="1"/>
    <col min="17" max="17" width="25.09765625" bestFit="1" customWidth="1"/>
    <col min="18" max="18" width="11.09765625" bestFit="1" customWidth="1"/>
    <col min="19" max="19" width="19" bestFit="1" customWidth="1"/>
    <col min="20" max="20" width="22.69921875" bestFit="1" customWidth="1"/>
    <col min="21" max="21" width="15.296875" bestFit="1" customWidth="1"/>
    <col min="23" max="23" width="25.09765625" bestFit="1" customWidth="1"/>
    <col min="24" max="24" width="13.296875" bestFit="1" customWidth="1"/>
    <col min="25" max="25" width="6.09765625" bestFit="1" customWidth="1"/>
    <col min="26" max="26" width="13.69921875" bestFit="1" customWidth="1"/>
    <col min="27" max="27" width="11.69921875" bestFit="1" customWidth="1"/>
    <col min="29" max="29" width="16.59765625" bestFit="1" customWidth="1"/>
    <col min="31" max="31" width="11.09765625" bestFit="1" customWidth="1"/>
    <col min="32" max="32" width="19" bestFit="1" customWidth="1"/>
    <col min="33" max="33" width="22.69921875" bestFit="1" customWidth="1"/>
    <col min="34" max="34" width="15.296875" bestFit="1" customWidth="1"/>
    <col min="35" max="35" width="15" bestFit="1" customWidth="1"/>
    <col min="36" max="36" width="18" bestFit="1" customWidth="1"/>
    <col min="37" max="37" width="13.5" bestFit="1" customWidth="1"/>
    <col min="38" max="38" width="13.296875" bestFit="1" customWidth="1"/>
    <col min="39" max="39" width="13" bestFit="1" customWidth="1"/>
    <col min="41" max="41" width="12.3984375" bestFit="1" customWidth="1"/>
    <col min="42" max="42" width="15.59765625" bestFit="1" customWidth="1"/>
    <col min="43" max="43" width="26" bestFit="1" customWidth="1"/>
    <col min="44" max="44" width="17.296875" customWidth="1"/>
  </cols>
  <sheetData>
    <row r="1" spans="1:44">
      <c r="N1" s="41" t="s">
        <v>13</v>
      </c>
      <c r="O1" s="38" t="s">
        <v>33</v>
      </c>
    </row>
    <row r="2" spans="1:44">
      <c r="A2" s="12"/>
    </row>
    <row r="3" spans="1:44">
      <c r="A3" s="13"/>
      <c r="D3" s="38" t="s">
        <v>36</v>
      </c>
      <c r="E3" s="38" t="s">
        <v>37</v>
      </c>
      <c r="G3" s="41" t="s">
        <v>34</v>
      </c>
      <c r="H3" t="s">
        <v>39</v>
      </c>
      <c r="J3" s="41" t="s">
        <v>34</v>
      </c>
      <c r="K3" s="38" t="s">
        <v>36</v>
      </c>
      <c r="L3" s="38" t="s">
        <v>37</v>
      </c>
      <c r="N3" s="41" t="s">
        <v>34</v>
      </c>
      <c r="R3" s="38" t="s">
        <v>45</v>
      </c>
      <c r="S3" s="38" t="s">
        <v>47</v>
      </c>
      <c r="T3" s="38" t="s">
        <v>46</v>
      </c>
      <c r="U3" s="38" t="s">
        <v>44</v>
      </c>
      <c r="X3" s="38" t="s">
        <v>51</v>
      </c>
      <c r="Y3" s="38" t="s">
        <v>50</v>
      </c>
      <c r="Z3" s="38" t="s">
        <v>49</v>
      </c>
      <c r="AA3" s="38" t="s">
        <v>48</v>
      </c>
      <c r="AC3" t="s">
        <v>39</v>
      </c>
    </row>
    <row r="4" spans="1:44">
      <c r="A4" s="14"/>
      <c r="C4" s="42">
        <v>1</v>
      </c>
      <c r="D4" s="52"/>
      <c r="E4" s="52"/>
      <c r="F4" s="17"/>
      <c r="G4" s="42">
        <v>1</v>
      </c>
      <c r="H4" s="43" t="e">
        <v>#DIV/0!</v>
      </c>
      <c r="J4" s="42" t="s">
        <v>28</v>
      </c>
      <c r="K4" s="52"/>
      <c r="L4" s="52"/>
      <c r="N4" s="42" t="s">
        <v>121</v>
      </c>
      <c r="Q4" s="42">
        <v>1</v>
      </c>
      <c r="R4" s="52"/>
      <c r="S4" s="52"/>
      <c r="T4" s="52"/>
      <c r="U4" s="52"/>
      <c r="W4" s="42">
        <v>1</v>
      </c>
      <c r="X4" s="52"/>
      <c r="Y4" s="52"/>
      <c r="Z4" s="52"/>
      <c r="AA4" s="52"/>
      <c r="AC4" s="43" t="e">
        <v>#DIV/0!</v>
      </c>
      <c r="AE4" s="38" t="s">
        <v>45</v>
      </c>
      <c r="AF4" s="38" t="s">
        <v>47</v>
      </c>
      <c r="AG4" s="38" t="s">
        <v>46</v>
      </c>
      <c r="AH4" s="38" t="s">
        <v>44</v>
      </c>
      <c r="AJ4" s="38" t="s">
        <v>89</v>
      </c>
      <c r="AK4" s="38" t="s">
        <v>90</v>
      </c>
      <c r="AL4" s="38" t="s">
        <v>91</v>
      </c>
      <c r="AM4" s="38" t="s">
        <v>94</v>
      </c>
      <c r="AO4" s="42">
        <v>1</v>
      </c>
      <c r="AQ4" t="s">
        <v>95</v>
      </c>
      <c r="AR4">
        <f>GETPIVOTDATA("Recuperaciones",$AE$4)/Analisis_Equipo!AI2</f>
        <v>0</v>
      </c>
    </row>
    <row r="5" spans="1:44">
      <c r="C5" s="50" t="s">
        <v>121</v>
      </c>
      <c r="D5" s="52"/>
      <c r="E5" s="52"/>
      <c r="F5" s="17"/>
      <c r="G5" s="42">
        <v>2</v>
      </c>
      <c r="H5" s="43" t="e">
        <v>#DIV/0!</v>
      </c>
      <c r="J5" s="42" t="s">
        <v>35</v>
      </c>
      <c r="K5" s="52"/>
      <c r="L5" s="52"/>
      <c r="N5" s="42" t="s">
        <v>122</v>
      </c>
      <c r="Q5" s="50" t="s">
        <v>121</v>
      </c>
      <c r="R5" s="52"/>
      <c r="S5" s="52"/>
      <c r="T5" s="52"/>
      <c r="U5" s="52"/>
      <c r="W5" s="50" t="s">
        <v>121</v>
      </c>
      <c r="X5" s="52"/>
      <c r="Y5" s="52"/>
      <c r="Z5" s="52"/>
      <c r="AA5" s="52"/>
      <c r="AE5" s="52"/>
      <c r="AF5" s="52"/>
      <c r="AG5" s="52"/>
      <c r="AH5" s="52"/>
      <c r="AJ5" s="52"/>
      <c r="AK5" s="52"/>
      <c r="AL5" s="52"/>
      <c r="AM5" s="52"/>
      <c r="AO5" s="42">
        <v>2</v>
      </c>
      <c r="AQ5" t="s">
        <v>96</v>
      </c>
      <c r="AR5">
        <f>GETPIVOTDATA("Exclusiones provocadas",$AE$4)/Analisis_Equipo!AI2</f>
        <v>0</v>
      </c>
    </row>
    <row r="6" spans="1:44">
      <c r="C6" s="42">
        <v>2</v>
      </c>
      <c r="D6" s="52"/>
      <c r="E6" s="52"/>
      <c r="F6" s="17"/>
      <c r="G6" s="42">
        <v>3</v>
      </c>
      <c r="H6" s="43" t="e">
        <v>#DIV/0!</v>
      </c>
      <c r="N6" s="42" t="s">
        <v>123</v>
      </c>
      <c r="Q6" s="42">
        <v>2</v>
      </c>
      <c r="R6" s="52"/>
      <c r="S6" s="52"/>
      <c r="T6" s="52"/>
      <c r="U6" s="52"/>
      <c r="W6" s="42">
        <v>2</v>
      </c>
      <c r="X6" s="52"/>
      <c r="Y6" s="52"/>
      <c r="Z6" s="52"/>
      <c r="AA6" s="52"/>
      <c r="AO6" s="42">
        <v>3</v>
      </c>
      <c r="AQ6" t="s">
        <v>97</v>
      </c>
      <c r="AR6">
        <f>GETPIVOTDATA("Penaltis provocados",$AE$4)/Analisis_Equipo!AI2</f>
        <v>0</v>
      </c>
    </row>
    <row r="7" spans="1:44">
      <c r="C7" s="50" t="s">
        <v>122</v>
      </c>
      <c r="D7" s="52"/>
      <c r="E7" s="52"/>
      <c r="F7" s="17"/>
      <c r="G7" s="42" t="s">
        <v>35</v>
      </c>
      <c r="H7" s="43" t="e">
        <v>#DIV/0!</v>
      </c>
      <c r="N7" s="42" t="s">
        <v>35</v>
      </c>
      <c r="Q7" s="50" t="s">
        <v>122</v>
      </c>
      <c r="R7" s="52"/>
      <c r="S7" s="52"/>
      <c r="T7" s="52"/>
      <c r="U7" s="52"/>
      <c r="W7" s="50" t="s">
        <v>122</v>
      </c>
      <c r="X7" s="52"/>
      <c r="Y7" s="52"/>
      <c r="Z7" s="52"/>
      <c r="AA7" s="52"/>
      <c r="AO7" s="42" t="s">
        <v>35</v>
      </c>
      <c r="AQ7" t="s">
        <v>98</v>
      </c>
      <c r="AR7">
        <f>GETPIVOTDATA("Asistencias",$AE$4)/Analisis_Equipo!AI2</f>
        <v>0</v>
      </c>
    </row>
    <row r="8" spans="1:44">
      <c r="C8" s="42">
        <v>3</v>
      </c>
      <c r="D8" s="52"/>
      <c r="E8" s="52"/>
      <c r="F8" s="17"/>
      <c r="Q8" s="42">
        <v>3</v>
      </c>
      <c r="R8" s="52"/>
      <c r="S8" s="52"/>
      <c r="T8" s="52"/>
      <c r="U8" s="52"/>
      <c r="W8" s="42">
        <v>3</v>
      </c>
      <c r="X8" s="52"/>
      <c r="Y8" s="52"/>
      <c r="Z8" s="52"/>
      <c r="AA8" s="52"/>
    </row>
    <row r="9" spans="1:44">
      <c r="C9" s="50" t="s">
        <v>123</v>
      </c>
      <c r="D9" s="52"/>
      <c r="E9" s="52"/>
      <c r="F9" s="17"/>
      <c r="Q9" s="50" t="s">
        <v>123</v>
      </c>
      <c r="R9" s="52"/>
      <c r="S9" s="52"/>
      <c r="T9" s="52"/>
      <c r="U9" s="52"/>
      <c r="W9" s="50" t="s">
        <v>123</v>
      </c>
      <c r="X9" s="52"/>
      <c r="Y9" s="52"/>
      <c r="Z9" s="52"/>
      <c r="AA9" s="52"/>
    </row>
    <row r="10" spans="1:44">
      <c r="C10" s="42" t="s">
        <v>35</v>
      </c>
      <c r="D10" s="52"/>
      <c r="E10" s="52"/>
      <c r="F10" s="17"/>
      <c r="Q10" s="42" t="s">
        <v>35</v>
      </c>
      <c r="R10" s="52"/>
      <c r="S10" s="52"/>
      <c r="T10" s="52"/>
      <c r="U10" s="52"/>
      <c r="W10" s="42" t="s">
        <v>35</v>
      </c>
      <c r="X10" s="52"/>
      <c r="Y10" s="52"/>
      <c r="Z10" s="52"/>
      <c r="AA10" s="52"/>
    </row>
    <row r="11" spans="1:44">
      <c r="F11" s="17"/>
    </row>
    <row r="12" spans="1:44">
      <c r="F12" s="17"/>
    </row>
  </sheetData>
  <pageMargins left="0.7" right="0.7" top="0.75" bottom="0.75" header="0.3" footer="0.3"/>
  <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4C067-4328-4CB6-8082-7E9D1DAA88BA}">
  <sheetPr codeName="Hoja3">
    <tabColor rgb="FF002060"/>
  </sheetPr>
  <dimension ref="A2:AX31"/>
  <sheetViews>
    <sheetView topLeftCell="Y1" zoomScale="99" zoomScaleNormal="90" workbookViewId="0">
      <selection activeCell="AI3" sqref="AI3"/>
    </sheetView>
  </sheetViews>
  <sheetFormatPr baseColWidth="10" defaultRowHeight="13.8"/>
  <cols>
    <col min="1" max="1" width="2.796875" customWidth="1"/>
    <col min="3" max="3" width="22.8984375" bestFit="1" customWidth="1"/>
    <col min="4" max="4" width="19.19921875" bestFit="1" customWidth="1"/>
    <col min="5" max="5" width="30.69921875" bestFit="1" customWidth="1"/>
    <col min="6" max="6" width="17.796875" style="19" bestFit="1" customWidth="1"/>
    <col min="7" max="7" width="19.19921875" bestFit="1" customWidth="1"/>
    <col min="8" max="8" width="30.69921875" style="17" bestFit="1" customWidth="1"/>
    <col min="9" max="9" width="17.59765625" style="20" bestFit="1" customWidth="1"/>
    <col min="10" max="10" width="17" bestFit="1" customWidth="1"/>
    <col min="11" max="11" width="22.8984375" bestFit="1" customWidth="1"/>
    <col min="12" max="12" width="16.3984375" bestFit="1" customWidth="1"/>
    <col min="13" max="13" width="20.19921875" bestFit="1" customWidth="1"/>
    <col min="14" max="14" width="25.296875" style="20" bestFit="1" customWidth="1"/>
    <col min="15" max="15" width="24.296875" style="20" customWidth="1"/>
    <col min="16" max="16" width="20.19921875" bestFit="1" customWidth="1"/>
    <col min="17" max="17" width="16.3984375" bestFit="1" customWidth="1"/>
    <col min="18" max="18" width="17.59765625" style="20" bestFit="1" customWidth="1"/>
    <col min="19" max="19" width="10.796875" bestFit="1" customWidth="1"/>
    <col min="20" max="20" width="25.09765625" bestFit="1" customWidth="1"/>
    <col min="21" max="21" width="11.09765625" bestFit="1" customWidth="1"/>
    <col min="22" max="22" width="19" bestFit="1" customWidth="1"/>
    <col min="23" max="23" width="22.69921875" bestFit="1" customWidth="1"/>
    <col min="24" max="24" width="15.296875" bestFit="1" customWidth="1"/>
    <col min="25" max="25" width="13" bestFit="1" customWidth="1"/>
    <col min="26" max="26" width="25.09765625" bestFit="1" customWidth="1"/>
    <col min="27" max="27" width="13.296875" bestFit="1" customWidth="1"/>
    <col min="28" max="28" width="6.09765625" bestFit="1" customWidth="1"/>
    <col min="29" max="29" width="13.69921875" bestFit="1" customWidth="1"/>
    <col min="30" max="30" width="11.69921875" bestFit="1" customWidth="1"/>
    <col min="34" max="34" width="18.59765625" bestFit="1" customWidth="1"/>
    <col min="37" max="37" width="11.09765625" bestFit="1" customWidth="1"/>
    <col min="38" max="38" width="15.296875" bestFit="1" customWidth="1"/>
    <col min="39" max="39" width="19.59765625" bestFit="1" customWidth="1"/>
    <col min="40" max="40" width="11.69921875" bestFit="1" customWidth="1"/>
    <col min="41" max="41" width="15" bestFit="1" customWidth="1"/>
    <col min="42" max="42" width="11.09765625" bestFit="1" customWidth="1"/>
    <col min="43" max="43" width="19" bestFit="1" customWidth="1"/>
    <col min="44" max="44" width="22.69921875" bestFit="1" customWidth="1"/>
    <col min="45" max="45" width="15.296875" bestFit="1" customWidth="1"/>
    <col min="46" max="46" width="15" bestFit="1" customWidth="1"/>
    <col min="47" max="47" width="13.296875" bestFit="1" customWidth="1"/>
    <col min="48" max="48" width="6.09765625" bestFit="1" customWidth="1"/>
    <col min="49" max="49" width="13.69921875" bestFit="1" customWidth="1"/>
    <col min="50" max="50" width="11.69921875" bestFit="1" customWidth="1"/>
    <col min="51" max="51" width="10.8984375" bestFit="1" customWidth="1"/>
  </cols>
  <sheetData>
    <row r="2" spans="1:50">
      <c r="A2" s="12"/>
      <c r="D2" s="38" t="s">
        <v>56</v>
      </c>
      <c r="E2" s="38" t="s">
        <v>57</v>
      </c>
      <c r="F2" s="51" t="s">
        <v>58</v>
      </c>
      <c r="G2" s="38" t="s">
        <v>56</v>
      </c>
      <c r="H2" s="38" t="s">
        <v>57</v>
      </c>
      <c r="I2" s="51" t="s">
        <v>59</v>
      </c>
      <c r="L2" s="38" t="s">
        <v>61</v>
      </c>
      <c r="M2" s="38" t="s">
        <v>60</v>
      </c>
      <c r="N2" s="51" t="s">
        <v>62</v>
      </c>
      <c r="P2" s="38" t="s">
        <v>60</v>
      </c>
      <c r="Q2" s="38" t="s">
        <v>61</v>
      </c>
      <c r="R2" s="51" t="s">
        <v>63</v>
      </c>
      <c r="U2" s="38" t="s">
        <v>45</v>
      </c>
      <c r="V2" s="38" t="s">
        <v>47</v>
      </c>
      <c r="W2" s="38" t="s">
        <v>46</v>
      </c>
      <c r="X2" s="38" t="s">
        <v>44</v>
      </c>
      <c r="AA2" s="38" t="s">
        <v>51</v>
      </c>
      <c r="AB2" s="38" t="s">
        <v>50</v>
      </c>
      <c r="AC2" s="38" t="s">
        <v>49</v>
      </c>
      <c r="AD2" s="38" t="s">
        <v>48</v>
      </c>
      <c r="AH2" t="s">
        <v>64</v>
      </c>
      <c r="AI2">
        <v>8</v>
      </c>
      <c r="AK2" s="38" t="s">
        <v>51</v>
      </c>
      <c r="AL2" s="38" t="s">
        <v>50</v>
      </c>
      <c r="AM2" s="38" t="s">
        <v>49</v>
      </c>
      <c r="AN2" s="38" t="s">
        <v>48</v>
      </c>
    </row>
    <row r="3" spans="1:50">
      <c r="A3" s="13"/>
      <c r="C3" s="42">
        <v>1</v>
      </c>
      <c r="D3" s="52">
        <v>0</v>
      </c>
      <c r="E3" s="52">
        <v>0</v>
      </c>
      <c r="F3" s="51" t="e">
        <v>#DIV/0!</v>
      </c>
      <c r="G3" s="52">
        <v>0</v>
      </c>
      <c r="H3" s="52">
        <v>0</v>
      </c>
      <c r="I3" s="51" t="e">
        <v>#DIV/0!</v>
      </c>
      <c r="K3" s="42">
        <v>1</v>
      </c>
      <c r="L3" s="52">
        <v>0</v>
      </c>
      <c r="M3" s="52">
        <v>0</v>
      </c>
      <c r="N3" s="51" t="e">
        <v>#DIV/0!</v>
      </c>
      <c r="P3" s="52">
        <v>0</v>
      </c>
      <c r="Q3" s="52"/>
      <c r="R3" s="51" t="e">
        <v>#DIV/0!</v>
      </c>
      <c r="T3" s="42">
        <v>1</v>
      </c>
      <c r="U3" s="52"/>
      <c r="V3" s="52"/>
      <c r="W3" s="52"/>
      <c r="X3" s="52"/>
      <c r="Z3" s="42">
        <v>1</v>
      </c>
      <c r="AA3" s="52"/>
      <c r="AB3" s="52"/>
      <c r="AC3" s="52"/>
      <c r="AD3" s="52"/>
      <c r="AH3" t="s">
        <v>65</v>
      </c>
      <c r="AI3">
        <f>GETPIVOTDATA("Suma de goles favor",$G$2)</f>
        <v>0</v>
      </c>
      <c r="AK3" s="52"/>
      <c r="AL3" s="52"/>
      <c r="AM3" s="52"/>
      <c r="AN3" s="52"/>
    </row>
    <row r="4" spans="1:50">
      <c r="A4" s="14"/>
      <c r="C4" s="50" t="s">
        <v>121</v>
      </c>
      <c r="D4" s="52">
        <v>0</v>
      </c>
      <c r="E4" s="52">
        <v>0</v>
      </c>
      <c r="F4" s="51" t="e">
        <v>#DIV/0!</v>
      </c>
      <c r="H4"/>
      <c r="K4" s="50" t="s">
        <v>121</v>
      </c>
      <c r="L4" s="52">
        <v>0</v>
      </c>
      <c r="M4" s="52">
        <v>0</v>
      </c>
      <c r="N4" s="51" t="e">
        <v>#DIV/0!</v>
      </c>
      <c r="T4" s="50" t="s">
        <v>121</v>
      </c>
      <c r="U4" s="52"/>
      <c r="V4" s="52"/>
      <c r="W4" s="52"/>
      <c r="X4" s="52"/>
      <c r="Z4" s="50" t="s">
        <v>121</v>
      </c>
      <c r="AA4" s="52"/>
      <c r="AB4" s="52"/>
      <c r="AC4" s="52"/>
      <c r="AD4" s="52"/>
      <c r="AH4" t="s">
        <v>66</v>
      </c>
      <c r="AI4">
        <f>GETPIVOTDATA("Suma de goles contra",$P$2)</f>
        <v>0</v>
      </c>
      <c r="AP4" s="38" t="s">
        <v>45</v>
      </c>
      <c r="AQ4" s="38" t="s">
        <v>47</v>
      </c>
      <c r="AR4" s="38" t="s">
        <v>46</v>
      </c>
      <c r="AS4" s="38" t="s">
        <v>44</v>
      </c>
      <c r="AU4" s="38" t="s">
        <v>51</v>
      </c>
      <c r="AV4" s="38" t="s">
        <v>50</v>
      </c>
      <c r="AW4" s="38" t="s">
        <v>49</v>
      </c>
      <c r="AX4" s="38" t="s">
        <v>48</v>
      </c>
    </row>
    <row r="5" spans="1:50">
      <c r="C5" s="42">
        <v>2</v>
      </c>
      <c r="D5" s="52">
        <v>0</v>
      </c>
      <c r="E5" s="52">
        <v>0</v>
      </c>
      <c r="F5" s="51" t="e">
        <v>#DIV/0!</v>
      </c>
      <c r="H5"/>
      <c r="K5" s="42">
        <v>2</v>
      </c>
      <c r="L5" s="52">
        <v>0</v>
      </c>
      <c r="M5" s="52">
        <v>0</v>
      </c>
      <c r="N5" s="51" t="e">
        <v>#DIV/0!</v>
      </c>
      <c r="T5" s="42">
        <v>2</v>
      </c>
      <c r="U5" s="52"/>
      <c r="V5" s="52"/>
      <c r="W5" s="52"/>
      <c r="X5" s="52"/>
      <c r="Z5" s="42">
        <v>2</v>
      </c>
      <c r="AA5" s="52"/>
      <c r="AB5" s="52"/>
      <c r="AC5" s="52"/>
      <c r="AD5" s="52"/>
      <c r="AH5" t="s">
        <v>67</v>
      </c>
      <c r="AI5">
        <f>GETPIVOTDATA("Suma de Paradas",$P$2)</f>
        <v>0</v>
      </c>
      <c r="AJ5" s="26">
        <f>AI5/AI2</f>
        <v>0</v>
      </c>
      <c r="AK5" s="38" t="s">
        <v>45</v>
      </c>
      <c r="AL5" s="38" t="s">
        <v>44</v>
      </c>
      <c r="AM5" s="38" t="s">
        <v>75</v>
      </c>
      <c r="AP5" s="52"/>
      <c r="AQ5" s="52"/>
      <c r="AR5" s="52"/>
      <c r="AS5" s="52"/>
      <c r="AU5" s="52"/>
      <c r="AV5" s="52"/>
      <c r="AW5" s="52"/>
      <c r="AX5" s="52"/>
    </row>
    <row r="6" spans="1:50">
      <c r="C6" s="50" t="s">
        <v>122</v>
      </c>
      <c r="D6" s="52">
        <v>0</v>
      </c>
      <c r="E6" s="52">
        <v>0</v>
      </c>
      <c r="F6" s="51" t="e">
        <v>#DIV/0!</v>
      </c>
      <c r="H6"/>
      <c r="K6" s="50" t="s">
        <v>122</v>
      </c>
      <c r="L6" s="52">
        <v>0</v>
      </c>
      <c r="M6" s="52">
        <v>0</v>
      </c>
      <c r="N6" s="51" t="e">
        <v>#DIV/0!</v>
      </c>
      <c r="T6" s="50" t="s">
        <v>122</v>
      </c>
      <c r="U6" s="52"/>
      <c r="V6" s="52"/>
      <c r="W6" s="52"/>
      <c r="X6" s="52"/>
      <c r="Z6" s="50" t="s">
        <v>122</v>
      </c>
      <c r="AA6" s="52"/>
      <c r="AB6" s="52"/>
      <c r="AC6" s="52"/>
      <c r="AD6" s="52"/>
      <c r="AH6" t="s">
        <v>68</v>
      </c>
      <c r="AI6">
        <f>GETPIVOTDATA("Suma de lanzamientos realizados",$G$2)</f>
        <v>0</v>
      </c>
      <c r="AJ6" s="26">
        <f>AI6/AI2</f>
        <v>0</v>
      </c>
      <c r="AK6" s="52"/>
      <c r="AL6" s="52"/>
      <c r="AM6" s="52"/>
    </row>
    <row r="7" spans="1:50">
      <c r="C7" s="42">
        <v>3</v>
      </c>
      <c r="D7" s="52">
        <v>0</v>
      </c>
      <c r="E7" s="52">
        <v>0</v>
      </c>
      <c r="F7" s="51" t="e">
        <v>#DIV/0!</v>
      </c>
      <c r="H7"/>
      <c r="K7" s="42">
        <v>3</v>
      </c>
      <c r="L7" s="52">
        <v>0</v>
      </c>
      <c r="M7" s="52">
        <v>0</v>
      </c>
      <c r="N7" s="51" t="e">
        <v>#DIV/0!</v>
      </c>
      <c r="T7" s="42">
        <v>3</v>
      </c>
      <c r="U7" s="52"/>
      <c r="V7" s="52"/>
      <c r="W7" s="52"/>
      <c r="X7" s="52"/>
      <c r="Z7" s="42">
        <v>3</v>
      </c>
      <c r="AA7" s="52"/>
      <c r="AB7" s="52"/>
      <c r="AC7" s="52"/>
      <c r="AD7" s="52"/>
      <c r="AH7" t="s">
        <v>69</v>
      </c>
      <c r="AI7" s="21" t="e">
        <f>GETPIVOTDATA("Suma de Campo11",$G$2)</f>
        <v>#DIV/0!</v>
      </c>
    </row>
    <row r="8" spans="1:50">
      <c r="C8" s="50" t="s">
        <v>123</v>
      </c>
      <c r="D8" s="52">
        <v>0</v>
      </c>
      <c r="E8" s="52">
        <v>0</v>
      </c>
      <c r="F8" s="51" t="e">
        <v>#DIV/0!</v>
      </c>
      <c r="H8"/>
      <c r="K8" s="50" t="s">
        <v>123</v>
      </c>
      <c r="L8" s="52">
        <v>0</v>
      </c>
      <c r="M8" s="52">
        <v>0</v>
      </c>
      <c r="N8" s="51" t="e">
        <v>#DIV/0!</v>
      </c>
      <c r="T8" s="50" t="s">
        <v>123</v>
      </c>
      <c r="U8" s="52"/>
      <c r="V8" s="52"/>
      <c r="W8" s="52"/>
      <c r="X8" s="52"/>
      <c r="Z8" s="50" t="s">
        <v>123</v>
      </c>
      <c r="AA8" s="52"/>
      <c r="AB8" s="52"/>
      <c r="AC8" s="52"/>
      <c r="AD8" s="52"/>
      <c r="AH8" t="s">
        <v>72</v>
      </c>
      <c r="AI8" s="21">
        <f>AI3/AI2</f>
        <v>0</v>
      </c>
    </row>
    <row r="9" spans="1:50">
      <c r="C9" s="42" t="s">
        <v>35</v>
      </c>
      <c r="D9" s="52">
        <v>0</v>
      </c>
      <c r="E9" s="52">
        <v>0</v>
      </c>
      <c r="F9" s="51" t="e">
        <v>#DIV/0!</v>
      </c>
      <c r="H9"/>
      <c r="K9" s="42" t="s">
        <v>35</v>
      </c>
      <c r="L9" s="52">
        <v>0</v>
      </c>
      <c r="M9" s="52">
        <v>0</v>
      </c>
      <c r="N9" s="51" t="e">
        <v>#DIV/0!</v>
      </c>
      <c r="O9"/>
      <c r="T9" s="42" t="s">
        <v>35</v>
      </c>
      <c r="U9" s="52"/>
      <c r="V9" s="52"/>
      <c r="W9" s="52"/>
      <c r="X9" s="52"/>
      <c r="Z9" s="42" t="s">
        <v>35</v>
      </c>
      <c r="AA9" s="52"/>
      <c r="AB9" s="52"/>
      <c r="AC9" s="52"/>
      <c r="AD9" s="52"/>
      <c r="AH9" t="s">
        <v>70</v>
      </c>
      <c r="AI9" s="18" t="e">
        <f>GETPIVOTDATA("Suma de Paradas",$P$2)/(AI4+AI5)</f>
        <v>#DIV/0!</v>
      </c>
    </row>
    <row r="10" spans="1:50">
      <c r="F10"/>
      <c r="G10" s="16"/>
      <c r="N10"/>
      <c r="AH10" t="s">
        <v>71</v>
      </c>
      <c r="AI10" s="21">
        <f>AI4/AI2</f>
        <v>0</v>
      </c>
    </row>
    <row r="11" spans="1:50">
      <c r="F11"/>
      <c r="G11" s="16"/>
      <c r="N11"/>
      <c r="AH11" t="s">
        <v>73</v>
      </c>
      <c r="AI11">
        <f>GETPIVOTDATA("Asistencias",$AK$5)</f>
        <v>0</v>
      </c>
      <c r="AJ11" s="21">
        <f>AI11/AI2</f>
        <v>0</v>
      </c>
    </row>
    <row r="12" spans="1:50">
      <c r="F12"/>
      <c r="G12" s="16"/>
      <c r="N12"/>
      <c r="AH12" t="s">
        <v>74</v>
      </c>
      <c r="AI12">
        <f>GETPIVOTDATA("Pérdidas pase",$AK$2)+GETPIVOTDATA("Áreas",$AK$2)+GETPIVOTDATA("Perdidas otros",$AK$2)</f>
        <v>0</v>
      </c>
      <c r="AJ12" s="21">
        <f>AI12/$AI$2</f>
        <v>0</v>
      </c>
    </row>
    <row r="13" spans="1:50">
      <c r="F13"/>
      <c r="N13"/>
      <c r="AH13" t="s">
        <v>76</v>
      </c>
      <c r="AI13">
        <f>GETPIVOTDATA("Recuperaciones",$AK$5)</f>
        <v>0</v>
      </c>
      <c r="AJ13" s="21">
        <f>AI13/$AI$2</f>
        <v>0</v>
      </c>
    </row>
    <row r="14" spans="1:50">
      <c r="F14"/>
      <c r="N14"/>
      <c r="AH14" t="s">
        <v>77</v>
      </c>
      <c r="AI14">
        <f>GETPIVOTDATA("Suma de Exclusión +",$AK$5)</f>
        <v>0</v>
      </c>
      <c r="AJ14" s="21">
        <f>AI14/$AI$2</f>
        <v>0</v>
      </c>
    </row>
    <row r="15" spans="1:50">
      <c r="F15"/>
      <c r="N15"/>
      <c r="AH15" t="s">
        <v>78</v>
      </c>
      <c r="AI15">
        <f>GETPIVOTDATA("Exclusiones",$AK$2)</f>
        <v>0</v>
      </c>
      <c r="AJ15" s="21">
        <f>AI15/$AI$2</f>
        <v>0</v>
      </c>
    </row>
    <row r="16" spans="1:50">
      <c r="F16"/>
      <c r="N16"/>
      <c r="AH16" t="s">
        <v>80</v>
      </c>
      <c r="AI16">
        <f>GETPIVOTDATA("Penaltis provocados",$T$2)</f>
        <v>0</v>
      </c>
    </row>
    <row r="17" spans="6:35">
      <c r="F17"/>
      <c r="N17"/>
      <c r="AH17" t="s">
        <v>81</v>
      </c>
      <c r="AI17">
        <f>GETPIVOTDATA("Pérdidas pase",$Z$2)</f>
        <v>0</v>
      </c>
    </row>
    <row r="18" spans="6:35">
      <c r="F18"/>
      <c r="N18"/>
      <c r="AH18" t="s">
        <v>82</v>
      </c>
      <c r="AI18">
        <f>GETPIVOTDATA("Perdidas otros",$Z$2)</f>
        <v>0</v>
      </c>
    </row>
    <row r="19" spans="6:35">
      <c r="F19"/>
      <c r="N19"/>
      <c r="AH19" t="s">
        <v>83</v>
      </c>
      <c r="AI19">
        <f>GETPIVOTDATA("Áreas",$Z$2)</f>
        <v>0</v>
      </c>
    </row>
    <row r="20" spans="6:35">
      <c r="F20"/>
      <c r="N20"/>
    </row>
    <row r="21" spans="6:35">
      <c r="F21"/>
      <c r="N21"/>
    </row>
    <row r="22" spans="6:35">
      <c r="F22"/>
      <c r="N22"/>
    </row>
    <row r="23" spans="6:35">
      <c r="F23"/>
      <c r="N23"/>
    </row>
    <row r="24" spans="6:35">
      <c r="F24"/>
      <c r="N24"/>
    </row>
    <row r="25" spans="6:35">
      <c r="F25"/>
      <c r="N25"/>
    </row>
    <row r="26" spans="6:35">
      <c r="F26"/>
      <c r="N26"/>
    </row>
    <row r="27" spans="6:35">
      <c r="F27"/>
      <c r="N27"/>
    </row>
    <row r="28" spans="6:35">
      <c r="F28"/>
      <c r="N28"/>
    </row>
    <row r="29" spans="6:35">
      <c r="F29"/>
      <c r="N29"/>
    </row>
    <row r="30" spans="6:35">
      <c r="F30"/>
      <c r="N30"/>
    </row>
    <row r="31" spans="6:35">
      <c r="F31"/>
      <c r="N31"/>
    </row>
  </sheetData>
  <pageMargins left="0.7" right="0.7" top="0.75" bottom="0.75" header="0.3" footer="0.3"/>
  <pageSetup paperSize="9" orientation="portrait" r:id="rId11"/>
  <drawing r:id="rId1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76CC1-036D-4B82-A14F-8FB7C164C39A}">
  <sheetPr codeName="Hoja4">
    <tabColor theme="9" tint="-0.499984740745262"/>
  </sheetPr>
  <dimension ref="A1:N29"/>
  <sheetViews>
    <sheetView zoomScale="124" zoomScaleNormal="140" workbookViewId="0">
      <selection activeCell="O16" sqref="O16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8C62-6EBD-4AD7-8D29-2A9CE3054673}">
  <sheetPr codeName="Hoja5">
    <tabColor theme="9" tint="-0.499984740745262"/>
  </sheetPr>
  <dimension ref="A1:N29"/>
  <sheetViews>
    <sheetView zoomScale="124" zoomScaleNormal="140" workbookViewId="0">
      <selection activeCell="O30" sqref="O30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FBBEA-E41E-42BF-AFF6-5A274E23316B}">
  <sheetPr codeName="Hoja6">
    <tabColor theme="9" tint="-0.499984740745262"/>
  </sheetPr>
  <dimension ref="A1:N30"/>
  <sheetViews>
    <sheetView topLeftCell="A18" zoomScale="142" zoomScaleNormal="142" workbookViewId="0"/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ht="15" thickTop="1" thickBot="1">
      <c r="A2" s="15" t="s">
        <v>93</v>
      </c>
      <c r="B2" s="15"/>
      <c r="C2" s="15"/>
      <c r="D2" s="53" t="s">
        <v>87</v>
      </c>
      <c r="E2" s="54"/>
      <c r="F2" s="25"/>
      <c r="G2" s="15"/>
      <c r="H2" s="15"/>
      <c r="I2" s="15"/>
      <c r="J2" s="15"/>
      <c r="K2" s="15"/>
      <c r="L2" s="15"/>
      <c r="M2" s="15"/>
      <c r="N2" s="15"/>
    </row>
    <row r="3" spans="1:14" ht="6" customHeight="1" thickTop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22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E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2C88C0-2571-4593-9673-B75EA4C284CB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5F9053CB-3449-4751-A057-123D4A02AC71}">
          <x14:formula1>
            <xm:f>'cuadro desplegable'!$C$4:$G$4</xm:f>
          </x14:formula1>
          <xm:sqref>D2:E2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B8377-2ECC-4B5C-B675-8A66641CE7E9}">
  <sheetPr codeName="Hoja8">
    <tabColor theme="9" tint="-0.499984740745262"/>
  </sheetPr>
  <dimension ref="A1:O30"/>
  <sheetViews>
    <sheetView zoomScale="142" zoomScaleNormal="142" workbookViewId="0">
      <selection activeCell="L2" sqref="L2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5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5" ht="14.4" thickBot="1">
      <c r="A2" s="15" t="s">
        <v>93</v>
      </c>
      <c r="B2" s="15"/>
      <c r="C2" s="15"/>
      <c r="D2" s="55" t="s">
        <v>99</v>
      </c>
      <c r="E2" s="56"/>
      <c r="F2" s="57"/>
      <c r="G2" s="15"/>
      <c r="H2" s="15"/>
      <c r="I2" s="15"/>
      <c r="J2" s="15"/>
      <c r="K2" s="15"/>
      <c r="L2" s="15"/>
      <c r="M2" s="15"/>
      <c r="N2" s="15"/>
      <c r="O2" s="15"/>
    </row>
    <row r="3" spans="1:15" ht="6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5">
      <c r="A7" s="15"/>
      <c r="B7" s="15"/>
      <c r="C7" s="15"/>
      <c r="D7" s="22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F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EDB4C1-F717-449C-AF97-1631549C7EC5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CBBF40F0-BEEF-4B10-A0ED-0F6444E57F33}">
          <x14:formula1>
            <xm:f>'cuadro desplegable'!$C$8:$E$8</xm:f>
          </x14:formula1>
          <xm:sqref>D2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79EC3-01C6-4470-A1D3-C08EF6114D1A}">
  <sheetPr codeName="Hoja7"/>
  <dimension ref="C4:G8"/>
  <sheetViews>
    <sheetView workbookViewId="0">
      <selection activeCell="F14" sqref="F14"/>
    </sheetView>
  </sheetViews>
  <sheetFormatPr baseColWidth="10" defaultRowHeight="13.8"/>
  <cols>
    <col min="3" max="3" width="16.69921875" bestFit="1" customWidth="1"/>
    <col min="5" max="5" width="15.69921875" bestFit="1" customWidth="1"/>
    <col min="6" max="6" width="16.296875" bestFit="1" customWidth="1"/>
  </cols>
  <sheetData>
    <row r="4" spans="3:7">
      <c r="C4" s="23" t="s">
        <v>85</v>
      </c>
      <c r="D4" s="23" t="s">
        <v>86</v>
      </c>
      <c r="E4" s="23" t="s">
        <v>87</v>
      </c>
      <c r="F4" s="23" t="s">
        <v>88</v>
      </c>
      <c r="G4" s="24" t="s">
        <v>92</v>
      </c>
    </row>
    <row r="8" spans="3:7">
      <c r="C8" t="s">
        <v>99</v>
      </c>
      <c r="D8" t="s">
        <v>100</v>
      </c>
      <c r="E8" t="s">
        <v>101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79079-5097-43F5-9CB4-067C04A15D14}">
  <sheetPr codeName="Hoja9">
    <tabColor theme="9" tint="-0.499984740745262"/>
  </sheetPr>
  <dimension ref="A1:N29"/>
  <sheetViews>
    <sheetView zoomScale="130" zoomScaleNormal="130" workbookViewId="0">
      <selection activeCell="B29" sqref="B29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PORTADA</vt:lpstr>
      <vt:lpstr>Datos</vt:lpstr>
      <vt:lpstr>Analisis</vt:lpstr>
      <vt:lpstr>Analisis_Equipo</vt:lpstr>
      <vt:lpstr>Individual</vt:lpstr>
      <vt:lpstr>Equipo</vt:lpstr>
      <vt:lpstr>fitlro_individual</vt:lpstr>
      <vt:lpstr>filtro_equipo</vt:lpstr>
      <vt:lpstr>cuadro desplegable</vt:lpstr>
      <vt:lpstr>J1_Individual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Espejo</dc:creator>
  <cp:lastModifiedBy>Lucas Espejo Sanchez</cp:lastModifiedBy>
  <dcterms:created xsi:type="dcterms:W3CDTF">2025-07-01T18:01:32Z</dcterms:created>
  <dcterms:modified xsi:type="dcterms:W3CDTF">2026-08-25T11:13:51Z</dcterms:modified>
</cp:coreProperties>
</file>