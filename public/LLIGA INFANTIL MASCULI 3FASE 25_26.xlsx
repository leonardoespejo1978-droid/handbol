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slicers/slicer1.xml" ContentType="application/vnd.ms-excel.slicer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ml.chartshapes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slicers/slicer2.xml" ContentType="application/vnd.ms-excel.slicer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slicers/slicer3.xml" ContentType="application/vnd.ms-excel.slicer+xml"/>
  <Override PartName="/xl/charts/chart2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slicers/slicer4.xml" ContentType="application/vnd.ms-excel.slicer+xml"/>
  <Override PartName="/xl/charts/chart3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9.xml" ContentType="application/vnd.openxmlformats-officedocument.drawing+xml"/>
  <Override PartName="/xl/slicers/slicer5.xml" ContentType="application/vnd.ms-excel.slicer+xml"/>
  <Override PartName="/xl/charts/chart4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4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44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45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0.xml" ContentType="application/vnd.openxmlformats-officedocument.drawingml.chartshapes+xml"/>
  <Override PartName="/xl/charts/chart46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handbol-frontend\public\"/>
    </mc:Choice>
  </mc:AlternateContent>
  <xr:revisionPtr revIDLastSave="0" documentId="13_ncr:80001_{6B65356D-1147-4A3F-86E0-7C88C9DD053D}" xr6:coauthVersionLast="36" xr6:coauthVersionMax="36" xr10:uidLastSave="{00000000-0000-0000-0000-000000000000}"/>
  <bookViews>
    <workbookView xWindow="0" yWindow="0" windowWidth="23040" windowHeight="11280" xr2:uid="{3B2EC4C0-8558-47FA-8786-A516E5352AED}"/>
  </bookViews>
  <sheets>
    <sheet name="PORTADA" sheetId="11" r:id="rId1"/>
    <sheet name="Datos" sheetId="1" r:id="rId2"/>
    <sheet name="Analisis" sheetId="2" r:id="rId3"/>
    <sheet name="Analisis_Equipo" sheetId="6" r:id="rId4"/>
    <sheet name="Individual" sheetId="3" r:id="rId5"/>
    <sheet name="Equipo" sheetId="4" r:id="rId6"/>
    <sheet name="fitlro_individual" sheetId="7" r:id="rId7"/>
    <sheet name="filtro_equipo" sheetId="9" r:id="rId8"/>
    <sheet name="cuadro desplegable" sheetId="8" r:id="rId9"/>
    <sheet name="J1_Individual" sheetId="10" r:id="rId10"/>
  </sheets>
  <definedNames>
    <definedName name="_xlnm._FilterDatabase" localSheetId="1" hidden="1">Datos!$A$1:$Q$115</definedName>
    <definedName name="SegmentaciónDeDatos_Jugador" localSheetId="0">#N/A</definedName>
    <definedName name="SegmentaciónDeDatos_Jugador">#N/A</definedName>
    <definedName name="SegmentaciónDeDatos_Jugador1">""</definedName>
    <definedName name="SegmentaciónDeDatos_POSICION1" localSheetId="0">#N/A</definedName>
    <definedName name="SegmentaciónDeDatos_POSICION1">#N/A</definedName>
    <definedName name="SegmentaciónDeDatos_rival" localSheetId="0">#N/A</definedName>
    <definedName name="SegmentaciónDeDatos_rival">#N/A</definedName>
  </definedNames>
  <calcPr calcId="191029"/>
  <pivotCaches>
    <pivotCache cacheId="6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15" i="1" l="1"/>
  <c r="W115" i="1" s="1"/>
  <c r="S114" i="1"/>
  <c r="T114" i="1" s="1"/>
  <c r="S113" i="1"/>
  <c r="U113" i="1" s="1"/>
  <c r="S112" i="1"/>
  <c r="V112" i="1" s="1"/>
  <c r="S111" i="1"/>
  <c r="W111" i="1" s="1"/>
  <c r="S110" i="1"/>
  <c r="U110" i="1" s="1"/>
  <c r="S109" i="1"/>
  <c r="U109" i="1" s="1"/>
  <c r="S108" i="1"/>
  <c r="V108" i="1" s="1"/>
  <c r="S107" i="1"/>
  <c r="W107" i="1" s="1"/>
  <c r="S106" i="1"/>
  <c r="W106" i="1" s="1"/>
  <c r="S105" i="1"/>
  <c r="V105" i="1" s="1"/>
  <c r="S104" i="1"/>
  <c r="E104" i="1" s="1"/>
  <c r="S103" i="1"/>
  <c r="W103" i="1" s="1"/>
  <c r="S102" i="1"/>
  <c r="E102" i="1" s="1"/>
  <c r="S101" i="1"/>
  <c r="U101" i="1" s="1"/>
  <c r="S100" i="1"/>
  <c r="W100" i="1" s="1"/>
  <c r="S99" i="1"/>
  <c r="U99" i="1" s="1"/>
  <c r="S98" i="1"/>
  <c r="V98" i="1" s="1"/>
  <c r="S97" i="1"/>
  <c r="W97" i="1" s="1"/>
  <c r="S96" i="1"/>
  <c r="V96" i="1" s="1"/>
  <c r="S95" i="1"/>
  <c r="V95" i="1" s="1"/>
  <c r="S94" i="1"/>
  <c r="T94" i="1" s="1"/>
  <c r="S93" i="1"/>
  <c r="W93" i="1" s="1"/>
  <c r="S92" i="1"/>
  <c r="W92" i="1" s="1"/>
  <c r="S91" i="1"/>
  <c r="W91" i="1" s="1"/>
  <c r="S90" i="1"/>
  <c r="W90" i="1" s="1"/>
  <c r="S89" i="1"/>
  <c r="U89" i="1" s="1"/>
  <c r="S88" i="1"/>
  <c r="U88" i="1" s="1"/>
  <c r="S87" i="1"/>
  <c r="V87" i="1" s="1"/>
  <c r="S86" i="1"/>
  <c r="E86" i="1" s="1"/>
  <c r="S85" i="1"/>
  <c r="V85" i="1" s="1"/>
  <c r="W84" i="1"/>
  <c r="S84" i="1"/>
  <c r="V84" i="1" s="1"/>
  <c r="S83" i="1"/>
  <c r="V83" i="1" s="1"/>
  <c r="S82" i="1"/>
  <c r="W82" i="1" s="1"/>
  <c r="S81" i="1"/>
  <c r="T81" i="1" s="1"/>
  <c r="S80" i="1"/>
  <c r="W80" i="1" s="1"/>
  <c r="S79" i="1"/>
  <c r="W79" i="1" s="1"/>
  <c r="S78" i="1"/>
  <c r="W78" i="1" s="1"/>
  <c r="W77" i="1"/>
  <c r="S77" i="1"/>
  <c r="U77" i="1" s="1"/>
  <c r="E115" i="1"/>
  <c r="E114" i="1"/>
  <c r="E113" i="1"/>
  <c r="E112" i="1"/>
  <c r="E111" i="1"/>
  <c r="E110" i="1"/>
  <c r="E108" i="1"/>
  <c r="E107" i="1"/>
  <c r="E106" i="1"/>
  <c r="E105" i="1"/>
  <c r="E103" i="1"/>
  <c r="E101" i="1"/>
  <c r="E100" i="1"/>
  <c r="E99" i="1"/>
  <c r="E98" i="1"/>
  <c r="E92" i="1"/>
  <c r="E91" i="1"/>
  <c r="E82" i="1"/>
  <c r="E81" i="1"/>
  <c r="E77" i="1"/>
  <c r="E73" i="1"/>
  <c r="E67" i="1"/>
  <c r="E62" i="1"/>
  <c r="E61" i="1"/>
  <c r="E60" i="1"/>
  <c r="S59" i="1"/>
  <c r="T59" i="1" s="1"/>
  <c r="S60" i="1"/>
  <c r="T60" i="1" s="1"/>
  <c r="S61" i="1"/>
  <c r="U61" i="1" s="1"/>
  <c r="S62" i="1"/>
  <c r="U62" i="1" s="1"/>
  <c r="S63" i="1"/>
  <c r="W63" i="1" s="1"/>
  <c r="S64" i="1"/>
  <c r="W64" i="1" s="1"/>
  <c r="S65" i="1"/>
  <c r="W65" i="1" s="1"/>
  <c r="T65" i="1"/>
  <c r="S66" i="1"/>
  <c r="T66" i="1" s="1"/>
  <c r="S67" i="1"/>
  <c r="V67" i="1" s="1"/>
  <c r="S68" i="1"/>
  <c r="V68" i="1" s="1"/>
  <c r="S69" i="1"/>
  <c r="U69" i="1" s="1"/>
  <c r="S70" i="1"/>
  <c r="E70" i="1" s="1"/>
  <c r="T70" i="1"/>
  <c r="S71" i="1"/>
  <c r="T71" i="1" s="1"/>
  <c r="S72" i="1"/>
  <c r="E72" i="1" s="1"/>
  <c r="T72" i="1"/>
  <c r="U72" i="1"/>
  <c r="V72" i="1"/>
  <c r="W72" i="1"/>
  <c r="S73" i="1"/>
  <c r="U73" i="1" s="1"/>
  <c r="S74" i="1"/>
  <c r="W74" i="1" s="1"/>
  <c r="S75" i="1"/>
  <c r="W75" i="1" s="1"/>
  <c r="S76" i="1"/>
  <c r="E76" i="1" s="1"/>
  <c r="T76" i="1"/>
  <c r="S40" i="1"/>
  <c r="T40" i="1" s="1"/>
  <c r="S41" i="1"/>
  <c r="T41" i="1" s="1"/>
  <c r="S42" i="1"/>
  <c r="V42" i="1" s="1"/>
  <c r="S43" i="1"/>
  <c r="T43" i="1" s="1"/>
  <c r="S44" i="1"/>
  <c r="U44" i="1" s="1"/>
  <c r="S45" i="1"/>
  <c r="U45" i="1" s="1"/>
  <c r="S46" i="1"/>
  <c r="W46" i="1" s="1"/>
  <c r="S47" i="1"/>
  <c r="U47" i="1" s="1"/>
  <c r="S48" i="1"/>
  <c r="U48" i="1" s="1"/>
  <c r="S49" i="1"/>
  <c r="W49" i="1" s="1"/>
  <c r="S50" i="1"/>
  <c r="W50" i="1" s="1"/>
  <c r="S51" i="1"/>
  <c r="T51" i="1" s="1"/>
  <c r="S52" i="1"/>
  <c r="T52" i="1" s="1"/>
  <c r="S53" i="1"/>
  <c r="T53" i="1" s="1"/>
  <c r="S54" i="1"/>
  <c r="V54" i="1" s="1"/>
  <c r="S55" i="1"/>
  <c r="U55" i="1" s="1"/>
  <c r="S56" i="1"/>
  <c r="W56" i="1" s="1"/>
  <c r="T56" i="1"/>
  <c r="S57" i="1"/>
  <c r="T57" i="1" s="1"/>
  <c r="S58" i="1"/>
  <c r="T58" i="1" s="1"/>
  <c r="E58" i="1"/>
  <c r="E56" i="1"/>
  <c r="E53" i="1"/>
  <c r="E47" i="1"/>
  <c r="E44" i="1"/>
  <c r="E39" i="1"/>
  <c r="E35" i="1"/>
  <c r="E32" i="1"/>
  <c r="E30" i="1"/>
  <c r="E24" i="1"/>
  <c r="E23" i="1"/>
  <c r="S21" i="1"/>
  <c r="E21" i="1" s="1"/>
  <c r="S22" i="1"/>
  <c r="E22" i="1" s="1"/>
  <c r="S23" i="1"/>
  <c r="W23" i="1" s="1"/>
  <c r="S24" i="1"/>
  <c r="W24" i="1" s="1"/>
  <c r="S25" i="1"/>
  <c r="E25" i="1" s="1"/>
  <c r="S26" i="1"/>
  <c r="E26" i="1" s="1"/>
  <c r="S27" i="1"/>
  <c r="E27" i="1" s="1"/>
  <c r="S28" i="1"/>
  <c r="W28" i="1" s="1"/>
  <c r="S29" i="1"/>
  <c r="W29" i="1" s="1"/>
  <c r="S30" i="1"/>
  <c r="W30" i="1" s="1"/>
  <c r="S31" i="1"/>
  <c r="T31" i="1" s="1"/>
  <c r="S32" i="1"/>
  <c r="W32" i="1" s="1"/>
  <c r="S33" i="1"/>
  <c r="E33" i="1" s="1"/>
  <c r="S34" i="1"/>
  <c r="E34" i="1" s="1"/>
  <c r="S35" i="1"/>
  <c r="W35" i="1" s="1"/>
  <c r="S36" i="1"/>
  <c r="E36" i="1" s="1"/>
  <c r="S37" i="1"/>
  <c r="E37" i="1" s="1"/>
  <c r="S38" i="1"/>
  <c r="E38" i="1" s="1"/>
  <c r="S39" i="1"/>
  <c r="W39" i="1" s="1"/>
  <c r="E20" i="1"/>
  <c r="E17" i="1"/>
  <c r="E14" i="1"/>
  <c r="E12" i="1"/>
  <c r="E6" i="1"/>
  <c r="S2" i="1"/>
  <c r="U2" i="1" s="1"/>
  <c r="S3" i="1"/>
  <c r="W3" i="1" s="1"/>
  <c r="S4" i="1"/>
  <c r="W4" i="1" s="1"/>
  <c r="S5" i="1"/>
  <c r="V5" i="1" s="1"/>
  <c r="S6" i="1"/>
  <c r="V6" i="1" s="1"/>
  <c r="S7" i="1"/>
  <c r="T7" i="1" s="1"/>
  <c r="S8" i="1"/>
  <c r="T8" i="1" s="1"/>
  <c r="S9" i="1"/>
  <c r="T9" i="1" s="1"/>
  <c r="S10" i="1"/>
  <c r="W10" i="1" s="1"/>
  <c r="S11" i="1"/>
  <c r="W11" i="1" s="1"/>
  <c r="S12" i="1"/>
  <c r="U12" i="1" s="1"/>
  <c r="S13" i="1"/>
  <c r="U13" i="1" s="1"/>
  <c r="S14" i="1"/>
  <c r="T14" i="1" s="1"/>
  <c r="S15" i="1"/>
  <c r="E15" i="1" s="1"/>
  <c r="S16" i="1"/>
  <c r="U16" i="1" s="1"/>
  <c r="S17" i="1"/>
  <c r="V17" i="1" s="1"/>
  <c r="S18" i="1"/>
  <c r="V18" i="1" s="1"/>
  <c r="S19" i="1"/>
  <c r="T19" i="1" s="1"/>
  <c r="S20" i="1"/>
  <c r="T20" i="1" s="1"/>
  <c r="T111" i="1" l="1"/>
  <c r="T99" i="1"/>
  <c r="U111" i="1"/>
  <c r="V111" i="1"/>
  <c r="U87" i="1"/>
  <c r="V99" i="1"/>
  <c r="U106" i="1"/>
  <c r="T82" i="1"/>
  <c r="U94" i="1"/>
  <c r="W99" i="1"/>
  <c r="V106" i="1"/>
  <c r="U82" i="1"/>
  <c r="W87" i="1"/>
  <c r="V94" i="1"/>
  <c r="V82" i="1"/>
  <c r="W94" i="1"/>
  <c r="V113" i="1"/>
  <c r="V101" i="1"/>
  <c r="T73" i="1"/>
  <c r="T67" i="1"/>
  <c r="V89" i="1"/>
  <c r="W101" i="1"/>
  <c r="W108" i="1"/>
  <c r="T87" i="1"/>
  <c r="T106" i="1"/>
  <c r="W113" i="1"/>
  <c r="V77" i="1"/>
  <c r="W89" i="1"/>
  <c r="W96" i="1"/>
  <c r="T80" i="1"/>
  <c r="T104" i="1"/>
  <c r="E97" i="1"/>
  <c r="E109" i="1"/>
  <c r="T97" i="1"/>
  <c r="T78" i="1"/>
  <c r="V80" i="1"/>
  <c r="U85" i="1"/>
  <c r="T90" i="1"/>
  <c r="V92" i="1"/>
  <c r="T102" i="1"/>
  <c r="V104" i="1"/>
  <c r="U102" i="1"/>
  <c r="W104" i="1"/>
  <c r="T107" i="1"/>
  <c r="V109" i="1"/>
  <c r="U114" i="1"/>
  <c r="U83" i="1"/>
  <c r="W85" i="1"/>
  <c r="T88" i="1"/>
  <c r="V90" i="1"/>
  <c r="W109" i="1"/>
  <c r="V114" i="1"/>
  <c r="U100" i="1"/>
  <c r="W102" i="1"/>
  <c r="T105" i="1"/>
  <c r="V107" i="1"/>
  <c r="W114" i="1"/>
  <c r="U81" i="1"/>
  <c r="W83" i="1"/>
  <c r="T86" i="1"/>
  <c r="V88" i="1"/>
  <c r="U93" i="1"/>
  <c r="W95" i="1"/>
  <c r="T98" i="1"/>
  <c r="V100" i="1"/>
  <c r="T79" i="1"/>
  <c r="V81" i="1"/>
  <c r="U86" i="1"/>
  <c r="W88" i="1"/>
  <c r="T91" i="1"/>
  <c r="V93" i="1"/>
  <c r="W112" i="1"/>
  <c r="W81" i="1"/>
  <c r="T84" i="1"/>
  <c r="V86" i="1"/>
  <c r="U103" i="1"/>
  <c r="W105" i="1"/>
  <c r="T108" i="1"/>
  <c r="V110" i="1"/>
  <c r="U115" i="1"/>
  <c r="E85" i="1"/>
  <c r="T77" i="1"/>
  <c r="V79" i="1"/>
  <c r="U84" i="1"/>
  <c r="W86" i="1"/>
  <c r="T89" i="1"/>
  <c r="V91" i="1"/>
  <c r="U96" i="1"/>
  <c r="W98" i="1"/>
  <c r="T101" i="1"/>
  <c r="V103" i="1"/>
  <c r="U108" i="1"/>
  <c r="W110" i="1"/>
  <c r="T113" i="1"/>
  <c r="V115" i="1"/>
  <c r="T92" i="1"/>
  <c r="U80" i="1"/>
  <c r="T85" i="1"/>
  <c r="U92" i="1"/>
  <c r="U104" i="1"/>
  <c r="T109" i="1"/>
  <c r="U97" i="1"/>
  <c r="U78" i="1"/>
  <c r="T83" i="1"/>
  <c r="U90" i="1"/>
  <c r="T95" i="1"/>
  <c r="V97" i="1"/>
  <c r="V78" i="1"/>
  <c r="U95" i="1"/>
  <c r="T100" i="1"/>
  <c r="V102" i="1"/>
  <c r="U107" i="1"/>
  <c r="T112" i="1"/>
  <c r="T93" i="1"/>
  <c r="U112" i="1"/>
  <c r="U105" i="1"/>
  <c r="T110" i="1"/>
  <c r="U98" i="1"/>
  <c r="T103" i="1"/>
  <c r="T115" i="1"/>
  <c r="U79" i="1"/>
  <c r="U91" i="1"/>
  <c r="T96" i="1"/>
  <c r="E94" i="1"/>
  <c r="V59" i="1"/>
  <c r="U59" i="1"/>
  <c r="E83" i="1"/>
  <c r="E84" i="1"/>
  <c r="E78" i="1"/>
  <c r="E95" i="1"/>
  <c r="E87" i="1"/>
  <c r="E90" i="1"/>
  <c r="W76" i="1"/>
  <c r="T62" i="1"/>
  <c r="E96" i="1"/>
  <c r="V76" i="1"/>
  <c r="T45" i="1"/>
  <c r="U76" i="1"/>
  <c r="U71" i="1"/>
  <c r="E88" i="1"/>
  <c r="E89" i="1"/>
  <c r="V53" i="1"/>
  <c r="U53" i="1"/>
  <c r="W43" i="1"/>
  <c r="E79" i="1"/>
  <c r="E80" i="1"/>
  <c r="E93" i="1"/>
  <c r="U67" i="1"/>
  <c r="W59" i="1"/>
  <c r="U43" i="1"/>
  <c r="W62" i="1"/>
  <c r="T69" i="1"/>
  <c r="V62" i="1"/>
  <c r="E48" i="1"/>
  <c r="E75" i="1"/>
  <c r="V75" i="1"/>
  <c r="V56" i="1"/>
  <c r="V49" i="1"/>
  <c r="U75" i="1"/>
  <c r="U56" i="1"/>
  <c r="T49" i="1"/>
  <c r="W41" i="1"/>
  <c r="T75" i="1"/>
  <c r="U70" i="1"/>
  <c r="V64" i="1"/>
  <c r="U64" i="1"/>
  <c r="T64" i="1"/>
  <c r="E41" i="1"/>
  <c r="V74" i="1"/>
  <c r="E65" i="1"/>
  <c r="U74" i="1"/>
  <c r="W70" i="1"/>
  <c r="V65" i="1"/>
  <c r="T74" i="1"/>
  <c r="V70" i="1"/>
  <c r="U65" i="1"/>
  <c r="E69" i="1"/>
  <c r="E54" i="1"/>
  <c r="E66" i="1"/>
  <c r="E40" i="1"/>
  <c r="W67" i="1"/>
  <c r="W55" i="1"/>
  <c r="W48" i="1"/>
  <c r="V71" i="1"/>
  <c r="E74" i="1"/>
  <c r="E63" i="1"/>
  <c r="E28" i="1"/>
  <c r="U54" i="1"/>
  <c r="U68" i="1"/>
  <c r="T61" i="1"/>
  <c r="E64" i="1"/>
  <c r="E68" i="1"/>
  <c r="E59" i="1"/>
  <c r="E71" i="1"/>
  <c r="E49" i="1"/>
  <c r="E52" i="1"/>
  <c r="W71" i="1"/>
  <c r="T68" i="1"/>
  <c r="E43" i="1"/>
  <c r="E42" i="1"/>
  <c r="W69" i="1"/>
  <c r="V63" i="1"/>
  <c r="V45" i="1"/>
  <c r="V69" i="1"/>
  <c r="U63" i="1"/>
  <c r="U60" i="1"/>
  <c r="E55" i="1"/>
  <c r="W60" i="1"/>
  <c r="W45" i="1"/>
  <c r="V60" i="1"/>
  <c r="E45" i="1"/>
  <c r="T63" i="1"/>
  <c r="W66" i="1"/>
  <c r="V73" i="1"/>
  <c r="W68" i="1"/>
  <c r="U66" i="1"/>
  <c r="V61" i="1"/>
  <c r="W73" i="1"/>
  <c r="V66" i="1"/>
  <c r="W61" i="1"/>
  <c r="E46" i="1"/>
  <c r="V48" i="1"/>
  <c r="E50" i="1"/>
  <c r="W51" i="1"/>
  <c r="T48" i="1"/>
  <c r="T44" i="1"/>
  <c r="U21" i="1"/>
  <c r="E51" i="1"/>
  <c r="V51" i="1"/>
  <c r="U51" i="1"/>
  <c r="V46" i="1"/>
  <c r="U46" i="1"/>
  <c r="T46" i="1"/>
  <c r="T42" i="1"/>
  <c r="E57" i="1"/>
  <c r="U49" i="1"/>
  <c r="W58" i="1"/>
  <c r="V58" i="1"/>
  <c r="U58" i="1"/>
  <c r="U42" i="1"/>
  <c r="W9" i="1"/>
  <c r="V57" i="1"/>
  <c r="T54" i="1"/>
  <c r="V50" i="1"/>
  <c r="T47" i="1"/>
  <c r="W44" i="1"/>
  <c r="V41" i="1"/>
  <c r="W57" i="1"/>
  <c r="U57" i="1"/>
  <c r="U50" i="1"/>
  <c r="V44" i="1"/>
  <c r="W53" i="1"/>
  <c r="T50" i="1"/>
  <c r="U41" i="1"/>
  <c r="V55" i="1"/>
  <c r="V43" i="1"/>
  <c r="T55" i="1"/>
  <c r="W52" i="1"/>
  <c r="W40" i="1"/>
  <c r="W54" i="1"/>
  <c r="U52" i="1"/>
  <c r="V47" i="1"/>
  <c r="W42" i="1"/>
  <c r="U40" i="1"/>
  <c r="V52" i="1"/>
  <c r="W47" i="1"/>
  <c r="V40" i="1"/>
  <c r="T26" i="1"/>
  <c r="U27" i="1"/>
  <c r="V27" i="1"/>
  <c r="W27" i="1"/>
  <c r="U28" i="1"/>
  <c r="V28" i="1"/>
  <c r="T30" i="1"/>
  <c r="U30" i="1"/>
  <c r="U33" i="1"/>
  <c r="T38" i="1"/>
  <c r="T21" i="1"/>
  <c r="T39" i="1"/>
  <c r="T36" i="1"/>
  <c r="U36" i="1"/>
  <c r="T24" i="1"/>
  <c r="V36" i="1"/>
  <c r="U24" i="1"/>
  <c r="W36" i="1"/>
  <c r="V24" i="1"/>
  <c r="U37" i="1"/>
  <c r="V37" i="1"/>
  <c r="U25" i="1"/>
  <c r="V30" i="1"/>
  <c r="W37" i="1"/>
  <c r="V25" i="1"/>
  <c r="U31" i="1"/>
  <c r="E31" i="1"/>
  <c r="W25" i="1"/>
  <c r="V31" i="1"/>
  <c r="W31" i="1"/>
  <c r="U39" i="1"/>
  <c r="T27" i="1"/>
  <c r="T33" i="1"/>
  <c r="V39" i="1"/>
  <c r="V33" i="1"/>
  <c r="W21" i="1"/>
  <c r="W33" i="1"/>
  <c r="T22" i="1"/>
  <c r="T25" i="1"/>
  <c r="T28" i="1"/>
  <c r="T34" i="1"/>
  <c r="T37" i="1"/>
  <c r="V21" i="1"/>
  <c r="U34" i="1"/>
  <c r="E29" i="1"/>
  <c r="V22" i="1"/>
  <c r="W34" i="1"/>
  <c r="T32" i="1"/>
  <c r="U23" i="1"/>
  <c r="U26" i="1"/>
  <c r="U29" i="1"/>
  <c r="U32" i="1"/>
  <c r="U35" i="1"/>
  <c r="U38" i="1"/>
  <c r="V23" i="1"/>
  <c r="V26" i="1"/>
  <c r="V29" i="1"/>
  <c r="V32" i="1"/>
  <c r="V35" i="1"/>
  <c r="V38" i="1"/>
  <c r="U22" i="1"/>
  <c r="U10" i="1"/>
  <c r="V34" i="1"/>
  <c r="U9" i="1"/>
  <c r="W22" i="1"/>
  <c r="T23" i="1"/>
  <c r="T29" i="1"/>
  <c r="T35" i="1"/>
  <c r="W26" i="1"/>
  <c r="W38" i="1"/>
  <c r="W14" i="1"/>
  <c r="E9" i="1"/>
  <c r="W16" i="1"/>
  <c r="W15" i="1"/>
  <c r="W2" i="1"/>
  <c r="E13" i="1"/>
  <c r="U15" i="1"/>
  <c r="U14" i="1"/>
  <c r="U11" i="1"/>
  <c r="W8" i="1"/>
  <c r="E19" i="1"/>
  <c r="W7" i="1"/>
  <c r="U8" i="1"/>
  <c r="U7" i="1"/>
  <c r="V16" i="1"/>
  <c r="T18" i="1"/>
  <c r="W20" i="1"/>
  <c r="V15" i="1"/>
  <c r="T17" i="1"/>
  <c r="E7" i="1"/>
  <c r="W19" i="1"/>
  <c r="V14" i="1"/>
  <c r="T16" i="1"/>
  <c r="W18" i="1"/>
  <c r="U20" i="1"/>
  <c r="T15" i="1"/>
  <c r="E10" i="1"/>
  <c r="W17" i="1"/>
  <c r="U19" i="1"/>
  <c r="E11" i="1"/>
  <c r="V4" i="1"/>
  <c r="V3" i="1"/>
  <c r="T6" i="1"/>
  <c r="E2" i="1"/>
  <c r="V2" i="1"/>
  <c r="T5" i="1"/>
  <c r="E3" i="1"/>
  <c r="U6" i="1"/>
  <c r="T4" i="1"/>
  <c r="E4" i="1"/>
  <c r="E16" i="1"/>
  <c r="W6" i="1"/>
  <c r="U5" i="1"/>
  <c r="T3" i="1"/>
  <c r="E5" i="1"/>
  <c r="W5" i="1"/>
  <c r="U18" i="1"/>
  <c r="U4" i="1"/>
  <c r="T2" i="1"/>
  <c r="E18" i="1"/>
  <c r="U17" i="1"/>
  <c r="U3" i="1"/>
  <c r="E8" i="1"/>
  <c r="V11" i="1"/>
  <c r="T13" i="1"/>
  <c r="T12" i="1"/>
  <c r="V9" i="1"/>
  <c r="T11" i="1"/>
  <c r="V13" i="1"/>
  <c r="V12" i="1"/>
  <c r="V10" i="1"/>
  <c r="W13" i="1"/>
  <c r="V20" i="1"/>
  <c r="V8" i="1"/>
  <c r="T10" i="1"/>
  <c r="W12" i="1"/>
  <c r="V19" i="1"/>
  <c r="V7" i="1"/>
  <c r="AI2" i="6"/>
  <c r="AI6" i="6"/>
  <c r="AI11" i="6"/>
  <c r="AR4" i="2"/>
  <c r="AI5" i="6"/>
  <c r="AI17" i="6"/>
  <c r="AI12" i="6"/>
  <c r="AI4" i="6"/>
  <c r="AR6" i="2"/>
  <c r="AI3" i="6"/>
  <c r="AR7" i="2"/>
  <c r="AI14" i="6"/>
  <c r="AI16" i="6"/>
  <c r="AI19" i="6"/>
  <c r="AI18" i="6"/>
  <c r="AI15" i="6"/>
  <c r="AI7" i="6"/>
  <c r="AI13" i="6"/>
  <c r="AR5" i="2"/>
  <c r="AJ6" i="6" l="1"/>
  <c r="AJ5" i="6"/>
  <c r="AJ11" i="6"/>
  <c r="AJ12" i="6"/>
  <c r="AI8" i="6"/>
  <c r="AJ13" i="6"/>
  <c r="AI10" i="6"/>
  <c r="AJ14" i="6"/>
  <c r="AJ15" i="6"/>
  <c r="AI9" i="6"/>
</calcChain>
</file>

<file path=xl/sharedStrings.xml><?xml version="1.0" encoding="utf-8"?>
<sst xmlns="http://schemas.openxmlformats.org/spreadsheetml/2006/main" count="540" uniqueCount="126">
  <si>
    <t>Jugador</t>
  </si>
  <si>
    <t>Goles</t>
  </si>
  <si>
    <t>Paradas</t>
  </si>
  <si>
    <t>Lanzam.</t>
  </si>
  <si>
    <t>% lanz</t>
  </si>
  <si>
    <t>Asistencia</t>
  </si>
  <si>
    <t>Exclusión</t>
  </si>
  <si>
    <t>Pase</t>
  </si>
  <si>
    <t>Área</t>
  </si>
  <si>
    <t>Pasos</t>
  </si>
  <si>
    <t>Otro</t>
  </si>
  <si>
    <t>Recup.</t>
  </si>
  <si>
    <t>Exclusión +</t>
  </si>
  <si>
    <t>JORNADA</t>
  </si>
  <si>
    <t>FASE</t>
  </si>
  <si>
    <t>L/V</t>
  </si>
  <si>
    <t>Adai</t>
  </si>
  <si>
    <t>Albert</t>
  </si>
  <si>
    <t>A. Espeso</t>
  </si>
  <si>
    <t>Manel</t>
  </si>
  <si>
    <t>Jordi</t>
  </si>
  <si>
    <t>Roger</t>
  </si>
  <si>
    <t>Maxim</t>
  </si>
  <si>
    <t>Joan Pau</t>
  </si>
  <si>
    <t>Gerard</t>
  </si>
  <si>
    <t>Marçal</t>
  </si>
  <si>
    <t>Unai</t>
  </si>
  <si>
    <t>Leo</t>
  </si>
  <si>
    <t>A. Estapé</t>
  </si>
  <si>
    <t>Jules</t>
  </si>
  <si>
    <t>Eudald</t>
  </si>
  <si>
    <t>Jan</t>
  </si>
  <si>
    <t>rival</t>
  </si>
  <si>
    <t>(Todas)</t>
  </si>
  <si>
    <t>Etiquetas de fila</t>
  </si>
  <si>
    <t>Total general</t>
  </si>
  <si>
    <t>Suma de Goles</t>
  </si>
  <si>
    <t>Suma de Lanzam.</t>
  </si>
  <si>
    <t>POSICION</t>
  </si>
  <si>
    <t>Suma de Campo1</t>
  </si>
  <si>
    <t>Martí</t>
  </si>
  <si>
    <t>Biel</t>
  </si>
  <si>
    <t>David</t>
  </si>
  <si>
    <t>PenaltiProvocado</t>
  </si>
  <si>
    <t>Recuperaciones</t>
  </si>
  <si>
    <t>Asistencias</t>
  </si>
  <si>
    <t>Exclusiones provocadas</t>
  </si>
  <si>
    <t>Penaltis provocados</t>
  </si>
  <si>
    <t>Exclusiones</t>
  </si>
  <si>
    <t>Perdidas otros</t>
  </si>
  <si>
    <t>Áreas</t>
  </si>
  <si>
    <t>Pérdidas pase</t>
  </si>
  <si>
    <t>goles favor</t>
  </si>
  <si>
    <t>lanzamientos realizados</t>
  </si>
  <si>
    <t>lanzamientos recibidos</t>
  </si>
  <si>
    <t>goles contra</t>
  </si>
  <si>
    <t>Suma de goles favor</t>
  </si>
  <si>
    <t>Suma de lanzamientos realizados</t>
  </si>
  <si>
    <t>Suma de eficiencia</t>
  </si>
  <si>
    <t>Suma de Campo11</t>
  </si>
  <si>
    <t>Suma de goles contra</t>
  </si>
  <si>
    <t>Suma de Paradas</t>
  </si>
  <si>
    <t>Suma de eficiencia porteria</t>
  </si>
  <si>
    <t>Suma de Campo12</t>
  </si>
  <si>
    <t>NUMERO JORNADAS:</t>
  </si>
  <si>
    <t>GOLES A FAVOR</t>
  </si>
  <si>
    <t>GOLES EN CONTRA</t>
  </si>
  <si>
    <t>PARADAS</t>
  </si>
  <si>
    <t>LANZ REALIZADOS</t>
  </si>
  <si>
    <t>EFICIENCIA</t>
  </si>
  <si>
    <t>PORCENTAJE PARADAS</t>
  </si>
  <si>
    <t>MEDIA RECIBIDOS</t>
  </si>
  <si>
    <t>MEDIA METIDOS</t>
  </si>
  <si>
    <t>ASISTENCIAS</t>
  </si>
  <si>
    <t>PERDIDAS</t>
  </si>
  <si>
    <t>Suma de Exclusión +</t>
  </si>
  <si>
    <t>RECUPERACIONES</t>
  </si>
  <si>
    <t>EXCLUSION +</t>
  </si>
  <si>
    <t>EXCLUSION -</t>
  </si>
  <si>
    <t>L</t>
  </si>
  <si>
    <t>PENALTIS PROVOCADOS</t>
  </si>
  <si>
    <t>PERDIDAS PASE</t>
  </si>
  <si>
    <t>PERDIDAS OTROS</t>
  </si>
  <si>
    <t>AREA</t>
  </si>
  <si>
    <t>acciones negativas</t>
  </si>
  <si>
    <t>Goles/Lanzamientos</t>
  </si>
  <si>
    <t>Eficiencia</t>
  </si>
  <si>
    <t>Acciones positivas</t>
  </si>
  <si>
    <t>Acciones negativas</t>
  </si>
  <si>
    <t>Suma de Exclusión</t>
  </si>
  <si>
    <t>Suma de Pase</t>
  </si>
  <si>
    <t>Suma de Área</t>
  </si>
  <si>
    <t>"SELECCIONAR TIPO GRÁFICO"</t>
  </si>
  <si>
    <t>SELECCIONAR TIPO GRÁFICO:</t>
  </si>
  <si>
    <t>Suma de Otro</t>
  </si>
  <si>
    <t>PROMEDIO RECUPERACIONES</t>
  </si>
  <si>
    <t>PROMEDIO EXC. PROVOCADAS</t>
  </si>
  <si>
    <t>PROMEDIO PENALTI PROVOCADOS</t>
  </si>
  <si>
    <t>PROMEDIO ASISTENCIAS</t>
  </si>
  <si>
    <t>Goles/Lanzamientos/Eficiencia</t>
  </si>
  <si>
    <t>Acciones Positivas</t>
  </si>
  <si>
    <t>Acciones Negativas</t>
  </si>
  <si>
    <t>H.SANT QUIRZE(L)</t>
  </si>
  <si>
    <t>V</t>
  </si>
  <si>
    <t>VIROLAI (V)</t>
  </si>
  <si>
    <t>CH PALAUTORDERA (L)</t>
  </si>
  <si>
    <t>CH ESPLUGUES (V)</t>
  </si>
  <si>
    <t>CREU ALTA SABADELL (L)</t>
  </si>
  <si>
    <t>UES SARRIA (L)</t>
  </si>
  <si>
    <t>HANDBOL</t>
  </si>
  <si>
    <t>EQUIP:</t>
  </si>
  <si>
    <t>Infantil Masculí A</t>
  </si>
  <si>
    <t>TEMPORADA:</t>
  </si>
  <si>
    <t>2025 / 2026</t>
  </si>
  <si>
    <t>FASE:</t>
  </si>
  <si>
    <t>3a Fase · Lliga</t>
  </si>
  <si>
    <t>COMPETICIÓ:</t>
  </si>
  <si>
    <t>Lliga Infantil Masculina</t>
  </si>
  <si>
    <t>NAVEGACIÓ RÀPIDA</t>
  </si>
  <si>
    <t>📊  ESTADÍSTICAS INDIVIDUALS</t>
  </si>
  <si>
    <t>📊  ESTADÍSTICAS D'EQUIP</t>
  </si>
  <si>
    <t>🔍  FILTRE · INDIVIDUAL</t>
  </si>
  <si>
    <t>🔍  FILTRE · EQUIP</t>
  </si>
  <si>
    <t>📋  DADES</t>
  </si>
  <si>
    <t>Document generat automàticament · Ús intern FC Barcelona Handbol</t>
  </si>
  <si>
    <t>INFANTIL A FC 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</si>
</sst>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0.0"/>
    <numFmt numFmtId="166" formatCode="#,##0.0"/>
  </numFmts>
  <fonts count="18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theme="4" tint="0.79998168889431442"/>
      <name val="Calibri"/>
      <family val="2"/>
    </font>
    <font>
      <sz val="11"/>
      <color rgb="FFFF0000"/>
      <name val="Calibri"/>
      <family val="2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3"/>
      <color theme="1"/>
      <name val="Wingdings 3"/>
      <family val="1"/>
      <charset val="2"/>
    </font>
    <font>
      <sz val="8"/>
      <color theme="1"/>
      <name val="Verdana Pro Cond Black"/>
      <family val="2"/>
    </font>
    <font>
      <sz val="11"/>
      <color theme="0"/>
      <name val="Calibri"/>
      <family val="2"/>
    </font>
    <font>
      <b/>
      <sz val="36"/>
      <color rgb="FFFFFFFF"/>
      <name val="Calibri"/>
    </font>
    <font>
      <b/>
      <sz val="24"/>
      <color rgb="FFEDBB00"/>
      <name val="Calibri"/>
    </font>
    <font>
      <b/>
      <sz val="14"/>
      <color rgb="FFEDBB00"/>
      <name val="Calibri"/>
    </font>
    <font>
      <sz val="14"/>
      <color rgb="FFFFFFFF"/>
      <name val="Calibri"/>
    </font>
    <font>
      <b/>
      <sz val="13"/>
      <color rgb="FFEDBB00"/>
      <name val="Calibri"/>
    </font>
    <font>
      <u/>
      <sz val="11"/>
      <color rgb="FF1A6EBD"/>
      <name val="Calibri"/>
    </font>
    <font>
      <i/>
      <sz val="9"/>
      <color rgb="FFC0C8D8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2E2F3C"/>
        <bgColor indexed="64"/>
      </patternFill>
    </fill>
    <fill>
      <patternFill patternType="solid">
        <fgColor rgb="FF1391A6"/>
        <bgColor indexed="64"/>
      </patternFill>
    </fill>
    <fill>
      <patternFill patternType="solid">
        <fgColor rgb="FFFE406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50044"/>
      </patternFill>
    </fill>
    <fill>
      <patternFill patternType="solid">
        <fgColor rgb="FF0D0D1A"/>
      </patternFill>
    </fill>
    <fill>
      <patternFill patternType="solid">
        <fgColor rgb="FF004D98"/>
      </patternFill>
    </fill>
    <fill>
      <patternFill patternType="solid">
        <fgColor rgb="FFEDBB00"/>
      </patternFill>
    </fill>
  </fills>
  <borders count="7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</cellStyleXfs>
  <cellXfs count="57">
    <xf numFmtId="0" fontId="0" fillId="0" borderId="0" xfId="0"/>
    <xf numFmtId="9" fontId="2" fillId="2" borderId="0" xfId="1" applyFont="1" applyFill="1" applyAlignment="1">
      <alignment horizontal="center"/>
    </xf>
    <xf numFmtId="0" fontId="2" fillId="2" borderId="0" xfId="2" applyFont="1" applyFill="1" applyAlignment="1">
      <alignment horizontal="center"/>
    </xf>
    <xf numFmtId="0" fontId="0" fillId="2" borderId="0" xfId="3" applyFont="1" applyFill="1" applyAlignment="1">
      <alignment horizontal="center"/>
    </xf>
    <xf numFmtId="0" fontId="0" fillId="2" borderId="0" xfId="3" applyFont="1" applyFill="1" applyAlignment="1">
      <alignment horizontal="center" vertical="center"/>
    </xf>
    <xf numFmtId="0" fontId="0" fillId="2" borderId="0" xfId="2" applyFont="1" applyFill="1" applyAlignment="1">
      <alignment horizontal="center" vertical="center"/>
    </xf>
    <xf numFmtId="0" fontId="0" fillId="0" borderId="0" xfId="2" applyFont="1"/>
    <xf numFmtId="0" fontId="0" fillId="0" borderId="0" xfId="2" applyFont="1" applyAlignment="1">
      <alignment horizontal="center"/>
    </xf>
    <xf numFmtId="9" fontId="1" fillId="0" borderId="0" xfId="1" applyFill="1" applyAlignment="1">
      <alignment horizontal="center"/>
    </xf>
    <xf numFmtId="0" fontId="0" fillId="0" borderId="0" xfId="3" applyFont="1" applyAlignment="1">
      <alignment horizontal="center"/>
    </xf>
    <xf numFmtId="0" fontId="0" fillId="0" borderId="0" xfId="3" applyFont="1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0" fontId="0" fillId="0" borderId="0" xfId="0" applyNumberFormat="1"/>
    <xf numFmtId="9" fontId="0" fillId="0" borderId="0" xfId="1" applyFont="1"/>
    <xf numFmtId="0" fontId="1" fillId="0" borderId="0" xfId="2" applyFont="1" applyAlignment="1" applyProtection="1">
      <alignment horizontal="center"/>
      <protection locked="0"/>
    </xf>
    <xf numFmtId="0" fontId="1" fillId="0" borderId="0" xfId="2" applyFont="1" applyAlignment="1">
      <alignment horizontal="center"/>
    </xf>
    <xf numFmtId="0" fontId="1" fillId="0" borderId="0" xfId="3" applyFont="1" applyAlignment="1">
      <alignment horizontal="center"/>
    </xf>
    <xf numFmtId="0" fontId="1" fillId="0" borderId="0" xfId="3" applyFont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0" fillId="0" borderId="0" xfId="2" applyNumberFormat="1" applyFont="1"/>
    <xf numFmtId="0" fontId="0" fillId="0" borderId="0" xfId="0" applyAlignment="1">
      <alignment horizontal="left" indent="1"/>
    </xf>
    <xf numFmtId="0" fontId="3" fillId="0" borderId="0" xfId="2" applyFont="1" applyAlignment="1">
      <alignment horizontal="center"/>
    </xf>
    <xf numFmtId="164" fontId="0" fillId="0" borderId="0" xfId="0" applyNumberFormat="1"/>
    <xf numFmtId="1" fontId="0" fillId="0" borderId="0" xfId="1" applyNumberFormat="1" applyFont="1"/>
    <xf numFmtId="1" fontId="0" fillId="0" borderId="0" xfId="0" applyNumberFormat="1"/>
    <xf numFmtId="165" fontId="0" fillId="0" borderId="0" xfId="0" applyNumberFormat="1"/>
    <xf numFmtId="0" fontId="4" fillId="0" borderId="0" xfId="2" applyFont="1" applyAlignment="1" applyProtection="1">
      <alignment horizontal="center"/>
      <protection locked="0"/>
    </xf>
    <xf numFmtId="0" fontId="6" fillId="6" borderId="0" xfId="0" applyFont="1" applyFill="1"/>
    <xf numFmtId="0" fontId="0" fillId="0" borderId="0" xfId="0" applyAlignment="1">
      <alignment horizontal="center" vertical="center"/>
    </xf>
    <xf numFmtId="49" fontId="0" fillId="0" borderId="0" xfId="0" applyNumberFormat="1"/>
    <xf numFmtId="0" fontId="8" fillId="6" borderId="1" xfId="0" applyFont="1" applyFill="1" applyBorder="1"/>
    <xf numFmtId="166" fontId="0" fillId="0" borderId="0" xfId="0" applyNumberFormat="1"/>
    <xf numFmtId="0" fontId="10" fillId="0" borderId="0" xfId="2" applyFont="1" applyAlignment="1">
      <alignment horizontal="center"/>
    </xf>
    <xf numFmtId="0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1" fillId="9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0" fontId="0" fillId="10" borderId="0" xfId="0" applyFill="1"/>
    <xf numFmtId="0" fontId="13" fillId="8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0" fontId="15" fillId="8" borderId="0" xfId="0" applyFont="1" applyFill="1"/>
    <xf numFmtId="0" fontId="16" fillId="8" borderId="0" xfId="0" applyFont="1" applyFill="1" applyAlignment="1">
      <alignment horizontal="left" vertical="center"/>
    </xf>
    <xf numFmtId="0" fontId="17" fillId="8" borderId="0" xfId="0" applyFont="1" applyFill="1"/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49" fontId="9" fillId="6" borderId="4" xfId="0" applyNumberFormat="1" applyFont="1" applyFill="1" applyBorder="1" applyAlignment="1">
      <alignment horizontal="center"/>
    </xf>
    <xf numFmtId="49" fontId="9" fillId="6" borderId="5" xfId="0" applyNumberFormat="1" applyFont="1" applyFill="1" applyBorder="1" applyAlignment="1">
      <alignment horizontal="center"/>
    </xf>
    <xf numFmtId="49" fontId="9" fillId="6" borderId="6" xfId="0" applyNumberFormat="1" applyFont="1" applyFill="1" applyBorder="1" applyAlignment="1">
      <alignment horizontal="center"/>
    </xf>
  </cellXfs>
  <cellStyles count="4">
    <cellStyle name="Normal" xfId="0" builtinId="0"/>
    <cellStyle name="Normal 2" xfId="3" xr:uid="{76BF3C10-033F-4626-98A9-DC2660B03DC9}"/>
    <cellStyle name="Normal 3" xfId="2" xr:uid="{19A2E2F7-14D0-4EE3-B29D-8118E0BDC03C}"/>
    <cellStyle name="Porcentaje" xfId="1" builtinId="5"/>
  </cellStyles>
  <dxfs count="4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z val="5"/>
        <color theme="1"/>
        <name val="Fira Sans"/>
        <family val="2"/>
        <scheme val="none"/>
      </font>
      <fill>
        <patternFill patternType="solid">
          <bgColor theme="0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sz val="5"/>
        <color theme="1"/>
        <name val="Fira Sans"/>
        <family val="2"/>
        <scheme val="none"/>
      </font>
      <fill>
        <patternFill>
          <bgColor theme="0" tint="-0.14996795556505021"/>
        </patternFill>
      </fill>
      <border diagonalUp="0" diagonalDown="0">
        <left/>
        <right/>
        <top/>
        <bottom/>
        <vertical/>
        <horizontal/>
      </border>
    </dxf>
    <dxf>
      <font>
        <sz val="5"/>
        <color theme="1"/>
        <name val="Fira Sans"/>
        <family val="2"/>
        <scheme val="none"/>
      </font>
      <fill>
        <patternFill patternType="solid">
          <bgColor rgb="FF2E2F3C"/>
        </patternFill>
      </fill>
      <border diagonalUp="0" diagonalDown="0">
        <left/>
        <right/>
        <top/>
        <bottom/>
        <vertical/>
        <horizontal/>
      </border>
    </dxf>
    <dxf>
      <font>
        <sz val="5"/>
        <color theme="1"/>
        <name val="Fira Sans"/>
        <family val="2"/>
        <scheme val="none"/>
      </font>
      <fill>
        <patternFill>
          <bgColor rgb="FF2E2F3C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mi estilo personalizado" pivot="0" table="0" count="10" xr9:uid="{5B85AF35-2957-40CD-A523-0274F7DDB75E}">
      <tableStyleElement type="wholeTable" dxfId="48"/>
      <tableStyleElement type="headerRow" dxfId="47"/>
    </tableStyle>
    <tableStyle name="mi estilo personalizado 2" pivot="0" table="0" count="10" xr9:uid="{3D081C6B-30F4-4F84-BB75-048369B2BAFE}">
      <tableStyleElement type="wholeTable" dxfId="46"/>
      <tableStyleElement type="headerRow" dxfId="45"/>
    </tableStyle>
  </tableStyles>
  <colors>
    <mruColors>
      <color rgb="FF008000"/>
      <color rgb="FFC04F15"/>
      <color rgb="FFB4E5A2"/>
      <color rgb="FFA6A6A6"/>
      <color rgb="FFE59EDD"/>
      <color rgb="FF04FCFC"/>
      <color rgb="FF3B7D23"/>
      <color rgb="FF2E2F3C"/>
      <color rgb="FF4E95D9"/>
      <color rgb="FF0F9ED5"/>
    </mruColors>
  </colors>
  <extLst>
    <ext xmlns:x14="http://schemas.microsoft.com/office/spreadsheetml/2009/9/main" uri="{46F421CA-312F-682f-3DD2-61675219B42D}">
      <x14:dxfs count="16">
        <dxf>
          <font>
            <b/>
            <i val="0"/>
            <sz val="5"/>
            <color theme="0" tint="-0.499984740745262"/>
            <name val="Fira Sans"/>
            <family val="2"/>
            <scheme val="none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5"/>
            <color theme="0" tint="-0.499984740745262"/>
            <name val="Fira Sans"/>
            <family val="2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5"/>
            <color theme="0"/>
            <name val="Fira Sans"/>
            <family val="2"/>
            <scheme val="none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5"/>
            <color theme="0"/>
            <name val="Fira Sans"/>
            <family val="2"/>
            <scheme val="none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5"/>
            <color theme="0" tint="-0.499984740745262"/>
            <name val="Fira Sans"/>
            <family val="2"/>
            <scheme val="none"/>
          </font>
          <fill>
            <patternFill patternType="solid">
              <fgColor rgb="FFFE4069"/>
              <bgColor rgb="FFFE406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/>
            <name val="Fira Sans"/>
            <family val="2"/>
            <scheme val="none"/>
          </font>
          <fill>
            <patternFill patternType="solid">
              <fgColor theme="4" tint="0.59999389629810485"/>
              <bgColor rgb="FFFE406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5"/>
            <color theme="0" tint="-0.499984740745262"/>
            <name val="Fira Sans"/>
            <family val="2"/>
            <scheme val="none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5"/>
            <color rgb="FF000000"/>
            <name val="Fira Sans"/>
            <family val="2"/>
            <scheme val="none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5"/>
            <color theme="0" tint="-0.499984740745262"/>
            <name val="Fira Sans"/>
            <family val="2"/>
            <scheme val="none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5"/>
            <color theme="0" tint="-0.499984740745262"/>
            <name val="Fira Sans"/>
            <family val="2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5"/>
            <color theme="0"/>
            <name val="Fira Sans"/>
            <family val="2"/>
            <scheme val="none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5"/>
            <color theme="0"/>
            <name val="Fira Sans"/>
            <family val="2"/>
            <scheme val="none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5"/>
            <color theme="0" tint="-0.499984740745262"/>
            <name val="Fira Sans"/>
            <family val="2"/>
            <scheme val="none"/>
          </font>
          <fill>
            <patternFill patternType="solid">
              <fgColor rgb="FFFE4069"/>
              <bgColor rgb="FFFE406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/>
            <name val="Fira Sans"/>
            <family val="2"/>
            <scheme val="none"/>
          </font>
          <fill>
            <patternFill patternType="solid">
              <fgColor theme="4" tint="0.59999389629810485"/>
              <bgColor rgb="FFFE406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5"/>
            <color theme="0" tint="-0.499984740745262"/>
            <name val="Fira Sans"/>
            <family val="2"/>
            <scheme val="none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5"/>
            <color rgb="FF000000"/>
            <name val="Fira Sans"/>
            <family val="2"/>
            <scheme val="none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i estilo personalizado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mi estilo personalizado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25_26.xlsx]Analisis!TablaDinámica12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Analisis!$X$3</c:f>
              <c:strCache>
                <c:ptCount val="1"/>
                <c:pt idx="0">
                  <c:v>Pérdidas pase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Analisis!$X$4:$X$16</c:f>
              <c:numCache>
                <c:formatCode>General</c:formatCode>
                <c:ptCount val="6"/>
                <c:pt idx="0">
                  <c:v>2</c:v>
                </c:pt>
                <c:pt idx="2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A-4653-8210-9E6A93447B0C}"/>
            </c:ext>
          </c:extLst>
        </c:ser>
        <c:ser>
          <c:idx val="1"/>
          <c:order val="1"/>
          <c:tx>
            <c:strRef>
              <c:f>Analisis!$Y$3</c:f>
              <c:strCache>
                <c:ptCount val="1"/>
                <c:pt idx="0">
                  <c:v>Áreas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Analisis!$Y$4:$Y$16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424A-4653-8210-9E6A93447B0C}"/>
            </c:ext>
          </c:extLst>
        </c:ser>
        <c:ser>
          <c:idx val="2"/>
          <c:order val="2"/>
          <c:tx>
            <c:strRef>
              <c:f>Analisis!$Z$3</c:f>
              <c:strCache>
                <c:ptCount val="1"/>
                <c:pt idx="0">
                  <c:v>Perdidas otros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Analisis!$Z$4:$Z$16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424A-4653-8210-9E6A93447B0C}"/>
            </c:ext>
          </c:extLst>
        </c:ser>
        <c:ser>
          <c:idx val="3"/>
          <c:order val="3"/>
          <c:tx>
            <c:strRef>
              <c:f>Analisis!$AA$3</c:f>
              <c:strCache>
                <c:ptCount val="1"/>
                <c:pt idx="0">
                  <c:v>Exclusiones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Analisis!$AA$4:$AA$16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424A-4653-8210-9E6A93447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487648"/>
        <c:axId val="955491248"/>
      </c:barChart>
      <c:catAx>
        <c:axId val="95548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5491248"/>
        <c:crosses val="autoZero"/>
        <c:auto val="1"/>
        <c:lblAlgn val="ctr"/>
        <c:lblOffset val="100"/>
        <c:noMultiLvlLbl val="0"/>
      </c:catAx>
      <c:valAx>
        <c:axId val="95549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548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25_26.xlsx]Analisis!TablaDinámica1</c:name>
    <c:fmtId val="3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861529458061033"/>
          <c:y val="7.2928189485916298E-2"/>
          <c:w val="0.4125438157169119"/>
          <c:h val="0.773801500639753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Analisis!$AE$4</c:f>
              <c:strCache>
                <c:ptCount val="1"/>
                <c:pt idx="0">
                  <c:v>Asistencias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Analisis!$AE$5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Analisis!$AE$5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76-4D6D-BD7A-1F45CA46AB55}"/>
            </c:ext>
          </c:extLst>
        </c:ser>
        <c:ser>
          <c:idx val="1"/>
          <c:order val="1"/>
          <c:tx>
            <c:strRef>
              <c:f>Analisis!$AF$4</c:f>
              <c:strCache>
                <c:ptCount val="1"/>
                <c:pt idx="0">
                  <c:v>Penaltis provocados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Analisis!$AE$5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Analisis!$AF$5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76-4D6D-BD7A-1F45CA46AB55}"/>
            </c:ext>
          </c:extLst>
        </c:ser>
        <c:ser>
          <c:idx val="2"/>
          <c:order val="2"/>
          <c:tx>
            <c:strRef>
              <c:f>Analisis!$AG$4</c:f>
              <c:strCache>
                <c:ptCount val="1"/>
                <c:pt idx="0">
                  <c:v>Exclusiones provocadas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Analisis!$AE$5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Analisis!$AG$5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76-4D6D-BD7A-1F45CA46AB55}"/>
            </c:ext>
          </c:extLst>
        </c:ser>
        <c:ser>
          <c:idx val="3"/>
          <c:order val="3"/>
          <c:tx>
            <c:strRef>
              <c:f>Analisis!$AH$4</c:f>
              <c:strCache>
                <c:ptCount val="1"/>
                <c:pt idx="0">
                  <c:v>Recuperaciones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Analisis!$AE$5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Analisis!$AH$5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B76-4D6D-BD7A-1F45CA46A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4121072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25_26.xlsx]Analisis!TablaDinámica7</c:name>
    <c:fmtId val="4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310148731408575E-2"/>
          <c:y val="0.12589712744240303"/>
          <c:w val="0.4750321895575485"/>
          <c:h val="0.767464624786879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Analisis!$AJ$4</c:f>
              <c:strCache>
                <c:ptCount val="1"/>
                <c:pt idx="0">
                  <c:v>Suma de Exclusión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A6A6A6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Analisis!$AJ$5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6CD9-4FC0-8887-D05253898C3B}"/>
            </c:ext>
          </c:extLst>
        </c:ser>
        <c:ser>
          <c:idx val="1"/>
          <c:order val="1"/>
          <c:tx>
            <c:strRef>
              <c:f>Analisis!$AK$4</c:f>
              <c:strCache>
                <c:ptCount val="1"/>
                <c:pt idx="0">
                  <c:v>Suma de Pase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E59EDD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Analisis!$AK$5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D9-4FC0-8887-D05253898C3B}"/>
            </c:ext>
          </c:extLst>
        </c:ser>
        <c:ser>
          <c:idx val="2"/>
          <c:order val="2"/>
          <c:tx>
            <c:strRef>
              <c:f>Analisis!$AL$4</c:f>
              <c:strCache>
                <c:ptCount val="1"/>
                <c:pt idx="0">
                  <c:v>Suma de Área</c:v>
                </c:pt>
              </c:strCache>
            </c:strRef>
          </c:tx>
          <c:spPr>
            <a:solidFill>
              <a:srgbClr val="B4E5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B4E5A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Analisis!$AL$5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A-6CD9-4FC0-8887-D05253898C3B}"/>
            </c:ext>
          </c:extLst>
        </c:ser>
        <c:ser>
          <c:idx val="3"/>
          <c:order val="3"/>
          <c:tx>
            <c:strRef>
              <c:f>Analisis!$AM$4</c:f>
              <c:strCache>
                <c:ptCount val="1"/>
                <c:pt idx="0">
                  <c:v>Suma de Otro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Analisis!$AM$5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D-6CD9-4FC0-8887-D0525389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487648"/>
        <c:axId val="955491248"/>
      </c:barChart>
      <c:catAx>
        <c:axId val="955487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5491248"/>
        <c:crosses val="autoZero"/>
        <c:auto val="1"/>
        <c:lblAlgn val="ctr"/>
        <c:lblOffset val="100"/>
        <c:noMultiLvlLbl val="0"/>
      </c:catAx>
      <c:valAx>
        <c:axId val="955491248"/>
        <c:scaling>
          <c:orientation val="minMax"/>
          <c:max val="10"/>
        </c:scaling>
        <c:delete val="1"/>
        <c:axPos val="b"/>
        <c:numFmt formatCode="General" sourceLinked="1"/>
        <c:majorTickMark val="none"/>
        <c:minorTickMark val="none"/>
        <c:tickLblPos val="nextTo"/>
        <c:crossAx val="955487648"/>
        <c:crosses val="autoZero"/>
        <c:crossBetween val="between"/>
        <c:majorUnit val="5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25_26.xlsx]Analisis_Equipo!TablaDinámica2</c:name>
    <c:fmtId val="3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6094438483734206E-3"/>
              <c:y val="-1.2845479162250629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1459847024387"/>
                  <c:h val="0.45710270848989587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4555013865981248"/>
              <c:y val="2.5604916143899627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540783492517485"/>
                  <c:h val="0.45624670870955719"/>
                </c:manualLayout>
              </c15:layout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6240847549036475E-2"/>
              <c:y val="-2.775557561562891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8547489471877893"/>
              <c:y val="1.2757803310394802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5.8333333333333383E-2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7777777777777779E-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944444444444444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944444444444444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7777777777777779E-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5.8333333333333383E-2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944444444444444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7777777777777779E-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8333333333333383E-2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210686534120508E-2"/>
          <c:y val="0"/>
          <c:w val="0.97603833865814693"/>
          <c:h val="0.985103757606467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Analisis_Equipo!$G$2</c:f>
              <c:strCache>
                <c:ptCount val="1"/>
                <c:pt idx="0">
                  <c:v>Suma de goles favor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FE9-4C15-B084-1F3F64206620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FE9-4C15-B084-1F3F64206620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FE9-4C15-B084-1F3F64206620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FE9-4C15-B084-1F3F64206620}"/>
              </c:ext>
            </c:extLst>
          </c:dPt>
          <c:dLbls>
            <c:dLbl>
              <c:idx val="0"/>
              <c:layout>
                <c:manualLayout>
                  <c:x val="-6.944444444444444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E9-4C15-B084-1F3F642066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Analisis_Equipo!$G$3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Analisis_Equipo!$G$3</c:f>
              <c:numCache>
                <c:formatCode>General</c:formatCode>
                <c:ptCount val="1"/>
                <c:pt idx="0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E9-4C15-B084-1F3F64206620}"/>
            </c:ext>
          </c:extLst>
        </c:ser>
        <c:ser>
          <c:idx val="1"/>
          <c:order val="1"/>
          <c:tx>
            <c:strRef>
              <c:f>Analisis_Equipo!$H$2</c:f>
              <c:strCache>
                <c:ptCount val="1"/>
                <c:pt idx="0">
                  <c:v>Suma de lanzamientos realizados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FE9-4C15-B084-1F3F64206620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8FE9-4C15-B084-1F3F64206620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FE9-4C15-B084-1F3F64206620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8FE9-4C15-B084-1F3F64206620}"/>
              </c:ext>
            </c:extLst>
          </c:dPt>
          <c:dLbls>
            <c:dLbl>
              <c:idx val="0"/>
              <c:layout>
                <c:manualLayout>
                  <c:x val="-7.7777777777777779E-2"/>
                  <c:y val="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E9-4C15-B084-1F3F642066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Analisis_Equipo!$G$3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Analisis_Equipo!$H$3</c:f>
              <c:numCache>
                <c:formatCode>General</c:formatCode>
                <c:ptCount val="1"/>
                <c:pt idx="0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FE9-4C15-B084-1F3F64206620}"/>
            </c:ext>
          </c:extLst>
        </c:ser>
        <c:ser>
          <c:idx val="2"/>
          <c:order val="2"/>
          <c:tx>
            <c:strRef>
              <c:f>Analisis_Equipo!$I$2</c:f>
              <c:strCache>
                <c:ptCount val="1"/>
                <c:pt idx="0">
                  <c:v>Suma de Campo11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8FE9-4C15-B084-1F3F64206620}"/>
              </c:ext>
            </c:extLst>
          </c:dPt>
          <c:dLbls>
            <c:dLbl>
              <c:idx val="0"/>
              <c:layout>
                <c:manualLayout>
                  <c:x val="-5.8333333333333383E-2"/>
                  <c:y val="-4.243778136006664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FE9-4C15-B084-1F3F642066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Analisis_Equipo!$G$3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Analisis_Equipo!$I$3</c:f>
              <c:numCache>
                <c:formatCode>0</c:formatCode>
                <c:ptCount val="1"/>
                <c:pt idx="0">
                  <c:v>84.394904458598731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FE9-4C15-B084-1F3F64206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1440992"/>
        <c:axId val="1231439912"/>
      </c:barChart>
      <c:catAx>
        <c:axId val="1231440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1439912"/>
        <c:crosses val="autoZero"/>
        <c:auto val="1"/>
        <c:lblAlgn val="ctr"/>
        <c:lblOffset val="100"/>
        <c:noMultiLvlLbl val="0"/>
      </c:catAx>
      <c:valAx>
        <c:axId val="1231439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1440992"/>
        <c:crosses val="autoZero"/>
        <c:crossBetween val="between"/>
      </c:valAx>
      <c:spPr>
        <a:solidFill>
          <a:srgbClr val="2E2F3C"/>
        </a:solidFill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25_26.xlsx]Analisis_Equipo!TablaDinámica3</c:name>
    <c:fmtId val="4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3B7D2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3B7D2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3B7D2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196B2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196B2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196B2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196B2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88293734648455E-2"/>
          <c:y val="5.1900823647078972E-2"/>
          <c:w val="0.89210493867423402"/>
          <c:h val="0.719780181465350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Analisis_Equipo!$L$2</c:f>
              <c:strCache>
                <c:ptCount val="1"/>
                <c:pt idx="0">
                  <c:v>Suma de Paradas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Analisis_Equipo!$K$3:$K$15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Analisis_Equipo!$L$3:$L$15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11</c:v>
                </c:pt>
                <c:pt idx="3">
                  <c:v>14</c:v>
                </c:pt>
                <c:pt idx="4">
                  <c:v>10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6B2-4FB5-85CB-B495409E2A78}"/>
            </c:ext>
          </c:extLst>
        </c:ser>
        <c:ser>
          <c:idx val="1"/>
          <c:order val="1"/>
          <c:tx>
            <c:strRef>
              <c:f>Analisis_Equipo!$M$2</c:f>
              <c:strCache>
                <c:ptCount val="1"/>
                <c:pt idx="0">
                  <c:v>Suma de goles contra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C04F15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Analisis_Equipo!$K$3:$K$15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Analisis_Equipo!$M$3:$M$15</c:f>
              <c:numCache>
                <c:formatCode>General</c:formatCode>
                <c:ptCount val="6"/>
                <c:pt idx="0">
                  <c:v>19</c:v>
                </c:pt>
                <c:pt idx="1">
                  <c:v>8</c:v>
                </c:pt>
                <c:pt idx="2">
                  <c:v>14</c:v>
                </c:pt>
                <c:pt idx="3">
                  <c:v>24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6B2-4FB5-85CB-B495409E2A78}"/>
            </c:ext>
          </c:extLst>
        </c:ser>
        <c:ser>
          <c:idx val="2"/>
          <c:order val="2"/>
          <c:tx>
            <c:strRef>
              <c:f>Analisis_Equipo!$N$2</c:f>
              <c:strCache>
                <c:ptCount val="1"/>
                <c:pt idx="0">
                  <c:v>Suma de eficiencia porteria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196B2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Analisis_Equipo!$K$3:$K$15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Analisis_Equipo!$N$3:$N$15</c:f>
              <c:numCache>
                <c:formatCode>0</c:formatCode>
                <c:ptCount val="6"/>
                <c:pt idx="0">
                  <c:v>32.142857142857146</c:v>
                </c:pt>
                <c:pt idx="1">
                  <c:v>42.857142857142854</c:v>
                </c:pt>
                <c:pt idx="2">
                  <c:v>44</c:v>
                </c:pt>
                <c:pt idx="3">
                  <c:v>36.84210526315789</c:v>
                </c:pt>
                <c:pt idx="4">
                  <c:v>37.037037037037038</c:v>
                </c:pt>
                <c:pt idx="5">
                  <c:v>28.571428571428569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6B2-4FB5-85CB-B495409E2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2152872"/>
        <c:axId val="882153592"/>
      </c:barChart>
      <c:catAx>
        <c:axId val="88215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effectLst/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882153592"/>
        <c:crosses val="autoZero"/>
        <c:auto val="0"/>
        <c:lblAlgn val="ctr"/>
        <c:lblOffset val="100"/>
        <c:noMultiLvlLbl val="0"/>
      </c:catAx>
      <c:valAx>
        <c:axId val="882153592"/>
        <c:scaling>
          <c:orientation val="minMax"/>
          <c:max val="100"/>
          <c:min val="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bg1"/>
                </a:solidFill>
                <a:effectLst/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882152872"/>
        <c:crosses val="autoZero"/>
        <c:crossBetween val="between"/>
        <c:majorUnit val="10"/>
      </c:valAx>
      <c:spPr>
        <a:noFill/>
        <a:ln>
          <a:solidFill>
            <a:schemeClr val="accent1">
              <a:alpha val="58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 rot="60000"/>
    <a:lstStyle/>
    <a:p>
      <a:pPr>
        <a:defRPr>
          <a:effectLst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25_26.xlsx]Analisis_Equipo!TablaDinámica4</c:name>
    <c:fmtId val="4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6094438483734206E-3"/>
              <c:y val="-1.2845479162250629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1459847024387"/>
                  <c:h val="0.45710270848989587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4555013865981248"/>
              <c:y val="2.5604916143899627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540783492517485"/>
                  <c:h val="0.45624670870955719"/>
                </c:manualLayout>
              </c15:layout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6240847549036475E-2"/>
              <c:y val="-2.775557561562891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8547489471877893"/>
              <c:y val="1.2757803310394802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4E95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965660972291211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498979184034403"/>
                  <c:h val="0.32871139801821869"/>
                </c:manualLayout>
              </c15:layout>
            </c:ext>
          </c:extLst>
        </c:dLbl>
      </c:pivotFmt>
      <c:pivotFmt>
        <c:idx val="21"/>
        <c:spPr>
          <a:solidFill>
            <a:srgbClr val="4E95D9"/>
          </a:solidFill>
          <a:ln>
            <a:noFill/>
          </a:ln>
          <a:effectLst/>
        </c:spPr>
        <c:dLbl>
          <c:idx val="0"/>
          <c:layout>
            <c:manualLayout>
              <c:x val="-9.913126579271328E-2"/>
              <c:y val="4.6314743415174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358973955185832"/>
                  <c:h val="0.29675654867189838"/>
                </c:manualLayout>
              </c15:layout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2.7427488499665312E-2"/>
              <c:y val="-3.03370169177332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710407532989221"/>
                  <c:h val="0.42428107994477005"/>
                </c:manualLayout>
              </c15:layout>
            </c:ext>
          </c:extLst>
        </c:dLbl>
      </c:pivotFmt>
      <c:pivotFmt>
        <c:idx val="24"/>
        <c:spPr>
          <a:solidFill>
            <a:srgbClr val="4E95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4E95D9"/>
          </a:solidFill>
          <a:ln>
            <a:noFill/>
          </a:ln>
          <a:effectLst/>
        </c:spPr>
        <c:dLbl>
          <c:idx val="0"/>
          <c:layout>
            <c:manualLayout>
              <c:x val="-9.913126579271328E-2"/>
              <c:y val="4.6314743415174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358973955185832"/>
                  <c:h val="0.29675654867189838"/>
                </c:manualLayout>
              </c15:layout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9965660972291211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498979184034403"/>
                  <c:h val="0.32871139801821869"/>
                </c:manualLayout>
              </c15:layout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2.7427488499665312E-2"/>
              <c:y val="-3.03370169177332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710407532989221"/>
                  <c:h val="0.42428107994477005"/>
                </c:manualLayout>
              </c15:layout>
            </c:ext>
          </c:extLst>
        </c:dLbl>
      </c:pivotFmt>
      <c:pivotFmt>
        <c:idx val="30"/>
        <c:spPr>
          <a:solidFill>
            <a:srgbClr val="4E95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4E95D9"/>
          </a:solidFill>
          <a:ln>
            <a:noFill/>
          </a:ln>
          <a:effectLst/>
        </c:spPr>
        <c:dLbl>
          <c:idx val="0"/>
          <c:layout>
            <c:manualLayout>
              <c:x val="-9.913126579271328E-2"/>
              <c:y val="4.6314743415174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358973955185832"/>
                  <c:h val="0.29675654867189838"/>
                </c:manualLayout>
              </c15:layout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9965660972291211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498979184034403"/>
                  <c:h val="0.32871139801821869"/>
                </c:manualLayout>
              </c15:layout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2.7427488499665312E-2"/>
              <c:y val="-3.03370169177332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710407532989221"/>
                  <c:h val="0.42428107994477005"/>
                </c:manualLayout>
              </c15:layout>
            </c:ext>
          </c:extLst>
        </c:dLbl>
      </c:pivotFmt>
      <c:pivotFmt>
        <c:idx val="36"/>
        <c:spPr>
          <a:solidFill>
            <a:srgbClr val="4E95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4E95D9"/>
          </a:solidFill>
          <a:ln>
            <a:noFill/>
          </a:ln>
          <a:effectLst/>
        </c:spPr>
        <c:dLbl>
          <c:idx val="0"/>
          <c:layout>
            <c:manualLayout>
              <c:x val="-9.913126579271328E-2"/>
              <c:y val="4.6314743415174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358973955185832"/>
                  <c:h val="0.29675654867189838"/>
                </c:manualLayout>
              </c15:layout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9965660972291211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498979184034403"/>
                  <c:h val="0.32871139801821869"/>
                </c:manualLayout>
              </c15:layout>
            </c:ext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7926733957517474E-2"/>
              <c:y val="2.4331906672538767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710407532989221"/>
                  <c:h val="0.42428107994477005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87366838116404"/>
          <c:y val="0.12781610583576133"/>
          <c:w val="0.67754207227850671"/>
          <c:h val="0.750058298570111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Analisis_Equipo!$P$2</c:f>
              <c:strCache>
                <c:ptCount val="1"/>
                <c:pt idx="0">
                  <c:v>Suma de goles contra</c:v>
                </c:pt>
              </c:strCache>
            </c:strRef>
          </c:tx>
          <c:spPr>
            <a:solidFill>
              <a:srgbClr val="4E95D9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E95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97B-4FA2-8CCC-B667E0A26CE1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97B-4FA2-8CCC-B667E0A26CE1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C97B-4FA2-8CCC-B667E0A26CE1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97B-4FA2-8CCC-B667E0A26CE1}"/>
              </c:ext>
            </c:extLst>
          </c:dPt>
          <c:dLbls>
            <c:dLbl>
              <c:idx val="0"/>
              <c:layout>
                <c:manualLayout>
                  <c:x val="-9.913126579271328E-2"/>
                  <c:y val="4.63147434151749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358973955185832"/>
                      <c:h val="0.296756548671898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C97B-4FA2-8CCC-B667E0A26C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Analisis_Equipo!$P$3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Analisis_Equipo!$P$3</c:f>
              <c:numCache>
                <c:formatCode>General</c:formatCode>
                <c:ptCount val="1"/>
                <c:pt idx="0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7B-4FA2-8CCC-B667E0A26CE1}"/>
            </c:ext>
          </c:extLst>
        </c:ser>
        <c:ser>
          <c:idx val="1"/>
          <c:order val="1"/>
          <c:tx>
            <c:strRef>
              <c:f>Analisis_Equipo!$Q$2</c:f>
              <c:strCache>
                <c:ptCount val="1"/>
                <c:pt idx="0">
                  <c:v>Suma de Paradas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97B-4FA2-8CCC-B667E0A26CE1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C97B-4FA2-8CCC-B667E0A26CE1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C97B-4FA2-8CCC-B667E0A26CE1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C97B-4FA2-8CCC-B667E0A26CE1}"/>
              </c:ext>
            </c:extLst>
          </c:dPt>
          <c:dLbls>
            <c:dLbl>
              <c:idx val="0"/>
              <c:layout>
                <c:manualLayout>
                  <c:x val="-2.9965660972291211E-4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498979184034403"/>
                      <c:h val="0.328711398018218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C97B-4FA2-8CCC-B667E0A26C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Analisis_Equipo!$P$3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Analisis_Equipo!$Q$3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97B-4FA2-8CCC-B667E0A26CE1}"/>
            </c:ext>
          </c:extLst>
        </c:ser>
        <c:ser>
          <c:idx val="2"/>
          <c:order val="2"/>
          <c:tx>
            <c:strRef>
              <c:f>Analisis_Equipo!$R$2</c:f>
              <c:strCache>
                <c:ptCount val="1"/>
                <c:pt idx="0">
                  <c:v>Suma de Campo12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C97B-4FA2-8CCC-B667E0A26CE1}"/>
              </c:ext>
            </c:extLst>
          </c:dPt>
          <c:dLbls>
            <c:dLbl>
              <c:idx val="0"/>
              <c:layout>
                <c:manualLayout>
                  <c:x val="-4.7926733957517474E-2"/>
                  <c:y val="2.433190667253876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10407532989221"/>
                      <c:h val="0.424281079944770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C97B-4FA2-8CCC-B667E0A26C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Analisis_Equipo!$P$3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Analisis_Equipo!$R$3</c:f>
              <c:numCache>
                <c:formatCode>0</c:formatCode>
                <c:ptCount val="1"/>
                <c:pt idx="0">
                  <c:v>36.601307189542482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97B-4FA2-8CCC-B667E0A26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1440992"/>
        <c:axId val="1231439912"/>
      </c:barChart>
      <c:catAx>
        <c:axId val="1231440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1439912"/>
        <c:crosses val="autoZero"/>
        <c:auto val="1"/>
        <c:lblAlgn val="ctr"/>
        <c:lblOffset val="100"/>
        <c:noMultiLvlLbl val="0"/>
      </c:catAx>
      <c:valAx>
        <c:axId val="1231439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1440992"/>
        <c:crosses val="autoZero"/>
        <c:crossBetween val="between"/>
      </c:valAx>
      <c:spPr>
        <a:solidFill>
          <a:srgbClr val="2E2F3C"/>
        </a:solidFill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25_26.xlsx]Analisis_Equipo!TablaDinámica6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861529458061033"/>
          <c:y val="7.2928189485916298E-2"/>
          <c:w val="0.4125438157169119"/>
          <c:h val="0.773801500639753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Analisis_Equipo!$U$2</c:f>
              <c:strCache>
                <c:ptCount val="1"/>
                <c:pt idx="0">
                  <c:v>Asistencias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Analisis_Equipo!$T$3:$T$15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Analisis_Equipo!$U$3:$U$15</c:f>
              <c:numCache>
                <c:formatCode>General</c:formatCode>
                <c:ptCount val="6"/>
                <c:pt idx="0">
                  <c:v>24</c:v>
                </c:pt>
                <c:pt idx="1">
                  <c:v>28</c:v>
                </c:pt>
                <c:pt idx="2">
                  <c:v>25</c:v>
                </c:pt>
                <c:pt idx="3">
                  <c:v>25</c:v>
                </c:pt>
                <c:pt idx="4">
                  <c:v>27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30C-42C0-A300-330AEF5263CF}"/>
            </c:ext>
          </c:extLst>
        </c:ser>
        <c:ser>
          <c:idx val="1"/>
          <c:order val="1"/>
          <c:tx>
            <c:strRef>
              <c:f>Analisis_Equipo!$V$2</c:f>
              <c:strCache>
                <c:ptCount val="1"/>
                <c:pt idx="0">
                  <c:v>Penaltis provocados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Analisis_Equipo!$T$3:$T$15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Analisis_Equipo!$V$3:$V$15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30C-42C0-A300-330AEF5263CF}"/>
            </c:ext>
          </c:extLst>
        </c:ser>
        <c:ser>
          <c:idx val="2"/>
          <c:order val="2"/>
          <c:tx>
            <c:strRef>
              <c:f>Analisis_Equipo!$W$2</c:f>
              <c:strCache>
                <c:ptCount val="1"/>
                <c:pt idx="0">
                  <c:v>Exclusiones provocadas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Analisis_Equipo!$T$3:$T$15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Analisis_Equipo!$W$3:$W$15</c:f>
              <c:numCache>
                <c:formatCode>General</c:formatCode>
                <c:ptCount val="6"/>
                <c:pt idx="0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30C-42C0-A300-330AEF5263CF}"/>
            </c:ext>
          </c:extLst>
        </c:ser>
        <c:ser>
          <c:idx val="3"/>
          <c:order val="3"/>
          <c:tx>
            <c:strRef>
              <c:f>Analisis_Equipo!$X$2</c:f>
              <c:strCache>
                <c:ptCount val="1"/>
                <c:pt idx="0">
                  <c:v>Recuperaciones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Analisis_Equipo!$T$3:$T$15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Analisis_Equipo!$X$3:$X$15</c:f>
              <c:numCache>
                <c:formatCode>General</c:formatCode>
                <c:ptCount val="6"/>
                <c:pt idx="0">
                  <c:v>12</c:v>
                </c:pt>
                <c:pt idx="1">
                  <c:v>19</c:v>
                </c:pt>
                <c:pt idx="2">
                  <c:v>23</c:v>
                </c:pt>
                <c:pt idx="3">
                  <c:v>20</c:v>
                </c:pt>
                <c:pt idx="4">
                  <c:v>12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30C-42C0-A300-330AEF526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1072"/>
        <c:crosses val="autoZero"/>
        <c:crossBetween val="between"/>
        <c:majorUnit val="5"/>
      </c:valAx>
      <c:spPr>
        <a:solidFill>
          <a:srgbClr val="2E2F3C"/>
        </a:solidFill>
      </c:spPr>
    </c:plotArea>
    <c:legend>
      <c:legendPos val="r"/>
      <c:layout>
        <c:manualLayout>
          <c:xMode val="edge"/>
          <c:yMode val="edge"/>
          <c:x val="0.69281333950903201"/>
          <c:y val="0.15193024786709841"/>
          <c:w val="0.30718659207014631"/>
          <c:h val="0.7359179946783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25_26.xlsx]Analisis_Equipo!TablaDinámica7</c:name>
    <c:fmtId val="2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861529458061033"/>
          <c:y val="7.2928189485916298E-2"/>
          <c:w val="0.4125438157169119"/>
          <c:h val="0.773801500639753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Analisis_Equipo!$AA$2</c:f>
              <c:strCache>
                <c:ptCount val="1"/>
                <c:pt idx="0">
                  <c:v>Pérdidas pase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Analisis_Equipo!$Z$3:$Z$15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Analisis_Equipo!$AA$3:$AA$15</c:f>
              <c:numCache>
                <c:formatCode>General</c:formatCode>
                <c:ptCount val="6"/>
                <c:pt idx="0">
                  <c:v>10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16-482E-8324-0D2D8096D36E}"/>
            </c:ext>
          </c:extLst>
        </c:ser>
        <c:ser>
          <c:idx val="1"/>
          <c:order val="1"/>
          <c:tx>
            <c:strRef>
              <c:f>Analisis_Equipo!$AB$2</c:f>
              <c:strCache>
                <c:ptCount val="1"/>
                <c:pt idx="0">
                  <c:v>Áreas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Analisis_Equipo!$Z$3:$Z$15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Analisis_Equipo!$AB$3:$AB$15</c:f>
              <c:numCache>
                <c:formatCode>General</c:formatCode>
                <c:ptCount val="6"/>
                <c:pt idx="0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16-482E-8324-0D2D8096D36E}"/>
            </c:ext>
          </c:extLst>
        </c:ser>
        <c:ser>
          <c:idx val="2"/>
          <c:order val="2"/>
          <c:tx>
            <c:strRef>
              <c:f>Analisis_Equipo!$AC$2</c:f>
              <c:strCache>
                <c:ptCount val="1"/>
                <c:pt idx="0">
                  <c:v>Perdidas otros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Analisis_Equipo!$Z$3:$Z$15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Analisis_Equipo!$AC$3:$AC$15</c:f>
              <c:numCache>
                <c:formatCode>General</c:formatCode>
                <c:ptCount val="6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D16-482E-8324-0D2D8096D36E}"/>
            </c:ext>
          </c:extLst>
        </c:ser>
        <c:ser>
          <c:idx val="3"/>
          <c:order val="3"/>
          <c:tx>
            <c:strRef>
              <c:f>Analisis_Equipo!$AD$2</c:f>
              <c:strCache>
                <c:ptCount val="1"/>
                <c:pt idx="0">
                  <c:v>Exclusiones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Analisis_Equipo!$Z$3:$Z$15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Analisis_Equipo!$AD$3:$AD$15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D16-482E-8324-0D2D8096D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1072"/>
        <c:crosses val="autoZero"/>
        <c:crossBetween val="between"/>
        <c:majorUnit val="5"/>
      </c:valAx>
      <c:spPr>
        <a:solidFill>
          <a:srgbClr val="2E2F3C"/>
        </a:solidFill>
      </c:spPr>
    </c:plotArea>
    <c:legend>
      <c:legendPos val="r"/>
      <c:layout>
        <c:manualLayout>
          <c:xMode val="edge"/>
          <c:yMode val="edge"/>
          <c:x val="0.69281333950903201"/>
          <c:y val="0.15193024786709841"/>
          <c:w val="0.30718659207014631"/>
          <c:h val="0.7359179946783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25_26.xlsx]Analisis_Equipo!TablaDinámica5</c:name>
    <c:fmtId val="3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061530179802956"/>
          <c:y val="6.6148672093954364E-2"/>
          <c:w val="0.4125438157169119"/>
          <c:h val="0.773801500639753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Analisis_Equipo!$AP$4</c:f>
              <c:strCache>
                <c:ptCount val="1"/>
                <c:pt idx="0">
                  <c:v>Asistencias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Analisis_Equipo!$AP$5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Analisis_Equipo!$AP$5</c:f>
              <c:numCache>
                <c:formatCode>General</c:formatCode>
                <c:ptCount val="1"/>
                <c:pt idx="0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62-4DE1-B8A7-5855DF01C0DF}"/>
            </c:ext>
          </c:extLst>
        </c:ser>
        <c:ser>
          <c:idx val="1"/>
          <c:order val="1"/>
          <c:tx>
            <c:strRef>
              <c:f>Analisis_Equipo!$AQ$4</c:f>
              <c:strCache>
                <c:ptCount val="1"/>
                <c:pt idx="0">
                  <c:v>Penaltis provocados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Analisis_Equipo!$AP$5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Analisis_Equipo!$AQ$5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62-4DE1-B8A7-5855DF01C0DF}"/>
            </c:ext>
          </c:extLst>
        </c:ser>
        <c:ser>
          <c:idx val="2"/>
          <c:order val="2"/>
          <c:tx>
            <c:strRef>
              <c:f>Analisis_Equipo!$AR$4</c:f>
              <c:strCache>
                <c:ptCount val="1"/>
                <c:pt idx="0">
                  <c:v>Exclusiones provocadas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196B24"/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Analisis_Equipo!$AP$5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Analisis_Equipo!$AR$5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62-4DE1-B8A7-5855DF01C0DF}"/>
            </c:ext>
          </c:extLst>
        </c:ser>
        <c:ser>
          <c:idx val="3"/>
          <c:order val="3"/>
          <c:tx>
            <c:strRef>
              <c:f>Analisis_Equipo!$AS$4</c:f>
              <c:strCache>
                <c:ptCount val="1"/>
                <c:pt idx="0">
                  <c:v>Recuperaciones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Analisis_Equipo!$AP$5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Analisis_Equipo!$AS$5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62-4DE1-B8A7-5855DF01C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4121072"/>
        <c:crosses val="autoZero"/>
        <c:crossBetween val="between"/>
        <c:majorUnit val="5"/>
      </c:valAx>
      <c:spPr>
        <a:solidFill>
          <a:srgbClr val="2E2F3C"/>
        </a:solidFill>
        <a:ln>
          <a:noFill/>
        </a:ln>
      </c:spPr>
    </c:plotArea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25_26.xlsx]Analisis_Equipo!TablaDinámica10</c:name>
    <c:fmtId val="3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061530179802956"/>
          <c:y val="6.6148672093954364E-2"/>
          <c:w val="0.4125438157169119"/>
          <c:h val="0.773801500639753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Analisis_Equipo!$AU$4</c:f>
              <c:strCache>
                <c:ptCount val="1"/>
                <c:pt idx="0">
                  <c:v>Pérdidas pase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Analisis_Equipo!$AU$5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Analisis_Equipo!$AU$5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13-4252-8849-EC0CD249B772}"/>
            </c:ext>
          </c:extLst>
        </c:ser>
        <c:ser>
          <c:idx val="1"/>
          <c:order val="1"/>
          <c:tx>
            <c:strRef>
              <c:f>Analisis_Equipo!$AV$4</c:f>
              <c:strCache>
                <c:ptCount val="1"/>
                <c:pt idx="0">
                  <c:v>Áreas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Analisis_Equipo!$AU$5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Analisis_Equipo!$AV$5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13-4252-8849-EC0CD249B772}"/>
            </c:ext>
          </c:extLst>
        </c:ser>
        <c:ser>
          <c:idx val="2"/>
          <c:order val="2"/>
          <c:tx>
            <c:strRef>
              <c:f>Analisis_Equipo!$AW$4</c:f>
              <c:strCache>
                <c:ptCount val="1"/>
                <c:pt idx="0">
                  <c:v>Perdidas otros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196B24"/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Analisis_Equipo!$AU$5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Analisis_Equipo!$AW$5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13-4252-8849-EC0CD249B772}"/>
            </c:ext>
          </c:extLst>
        </c:ser>
        <c:ser>
          <c:idx val="3"/>
          <c:order val="3"/>
          <c:tx>
            <c:strRef>
              <c:f>Analisis_Equipo!$AX$4</c:f>
              <c:strCache>
                <c:ptCount val="1"/>
                <c:pt idx="0">
                  <c:v>Exclusiones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Analisis_Equipo!$AU$5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Analisis_Equipo!$AX$5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413-4252-8849-EC0CD249B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4121072"/>
        <c:crosses val="autoZero"/>
        <c:crossBetween val="between"/>
        <c:majorUnit val="5"/>
      </c:valAx>
      <c:spPr>
        <a:solidFill>
          <a:srgbClr val="2E2F3C"/>
        </a:solidFill>
        <a:ln>
          <a:noFill/>
        </a:ln>
      </c:spPr>
    </c:plotArea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878372273137988"/>
          <c:y val="5.1900823647078972E-2"/>
          <c:w val="0.83820428224009802"/>
          <c:h val="0.719780181465350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Analisis!$D$3</c:f>
              <c:strCache>
                <c:ptCount val="1"/>
                <c:pt idx="0">
                  <c:v>Suma de Goles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Analisis!$C$4:$C$16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Analisis!$D$4:$D$16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A-4E0F-A115-1873A43D348D}"/>
            </c:ext>
          </c:extLst>
        </c:ser>
        <c:ser>
          <c:idx val="1"/>
          <c:order val="1"/>
          <c:tx>
            <c:strRef>
              <c:f>Analisis!$E$3</c:f>
              <c:strCache>
                <c:ptCount val="1"/>
                <c:pt idx="0">
                  <c:v>Suma de Lanzam.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C04F15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Analisis!$C$4:$C$16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Analisis!$E$4:$E$16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EA-4E0F-A115-1873A43D3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2152872"/>
        <c:axId val="882153592"/>
      </c:barChart>
      <c:catAx>
        <c:axId val="882152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effectLst/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882153592"/>
        <c:crosses val="autoZero"/>
        <c:auto val="0"/>
        <c:lblAlgn val="ctr"/>
        <c:lblOffset val="100"/>
        <c:noMultiLvlLbl val="0"/>
      </c:catAx>
      <c:valAx>
        <c:axId val="882153592"/>
        <c:scaling>
          <c:orientation val="minMax"/>
          <c:max val="25"/>
          <c:min val="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bg1"/>
                </a:solidFill>
                <a:effectLst/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882152872"/>
        <c:crosses val="autoZero"/>
        <c:crossBetween val="between"/>
        <c:majorUnit val="5"/>
      </c:valAx>
      <c:spPr>
        <a:noFill/>
        <a:ln>
          <a:solidFill>
            <a:schemeClr val="accent1">
              <a:alpha val="58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E2F3C"/>
    </a:solidFill>
    <a:ln w="9525" cap="flat" cmpd="sng" algn="ctr">
      <a:noFill/>
      <a:round/>
    </a:ln>
    <a:effectLst/>
  </c:spPr>
  <c:txPr>
    <a:bodyPr rot="60000"/>
    <a:lstStyle/>
    <a:p>
      <a:pPr>
        <a:defRPr>
          <a:effectLst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bg1"/>
                </a:solidFill>
                <a:latin typeface="Fira Sans" panose="020B0503050000020004" pitchFamily="34" charset="0"/>
              </a:rPr>
              <a:t>eficiencia (%)</a:t>
            </a:r>
          </a:p>
        </c:rich>
      </c:tx>
      <c:layout>
        <c:manualLayout>
          <c:xMode val="edge"/>
          <c:yMode val="edge"/>
          <c:x val="0.3102208611264356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1"/>
      </c:pivotFmt>
      <c:pivotFmt>
        <c:idx val="12"/>
        <c:spPr>
          <a:solidFill>
            <a:srgbClr val="008000"/>
          </a:solidFill>
          <a:ln>
            <a:noFill/>
          </a:ln>
          <a:effectLst/>
        </c:spPr>
      </c:pivotFmt>
      <c:pivotFmt>
        <c:idx val="13"/>
        <c:spPr>
          <a:solidFill>
            <a:srgbClr val="008000"/>
          </a:solidFill>
          <a:ln>
            <a:noFill/>
          </a:ln>
          <a:effectLst/>
        </c:spPr>
      </c:pivotFmt>
      <c:pivotFmt>
        <c:idx val="14"/>
        <c:spPr>
          <a:solidFill>
            <a:srgbClr val="008000"/>
          </a:solidFill>
          <a:ln>
            <a:noFill/>
          </a:ln>
          <a:effectLst/>
        </c:spPr>
      </c:pivotFmt>
      <c:pivotFmt>
        <c:idx val="15"/>
        <c:spPr>
          <a:solidFill>
            <a:srgbClr val="008000"/>
          </a:solidFill>
          <a:ln>
            <a:noFill/>
          </a:ln>
          <a:effectLst/>
        </c:spPr>
      </c:pivotFmt>
      <c:pivotFmt>
        <c:idx val="16"/>
        <c:spPr>
          <a:solidFill>
            <a:srgbClr val="008000"/>
          </a:solidFill>
          <a:ln>
            <a:noFill/>
          </a:ln>
          <a:effectLst/>
        </c:spPr>
      </c:pivotFmt>
      <c:pivotFmt>
        <c:idx val="17"/>
      </c:pivotFmt>
      <c:pivotFmt>
        <c:idx val="18"/>
      </c:pivotFmt>
      <c:pivotFmt>
        <c:idx val="19"/>
        <c:spPr>
          <a:solidFill>
            <a:srgbClr val="008000"/>
          </a:solidFill>
          <a:ln>
            <a:noFill/>
          </a:ln>
          <a:effectLst/>
        </c:spPr>
      </c:pivotFmt>
      <c:pivotFmt>
        <c:idx val="20"/>
      </c:pivotFmt>
    </c:pivotFmts>
    <c:plotArea>
      <c:layout>
        <c:manualLayout>
          <c:layoutTarget val="inner"/>
          <c:xMode val="edge"/>
          <c:yMode val="edge"/>
          <c:x val="6.7739493025589972E-2"/>
          <c:y val="0.3449830125027713"/>
          <c:w val="0.88119667290975645"/>
          <c:h val="0.52595794770527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8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8CA-43FB-8468-74B23A51F6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008000"/>
                    </a:solidFill>
                    <a:latin typeface="Fira Sans" panose="020B05030500000200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Analisis!$G$4:$G$10</c:f>
              <c:strCach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strCache>
            </c:strRef>
          </c:cat>
          <c:val>
            <c:numRef>
              <c:f>Analisis!$H$4:$H$10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#N/A</c:v>
                </c:pt>
                <c:pt idx="3">
                  <c:v>1</c:v>
                </c:pt>
                <c:pt idx="4">
                  <c:v>#N/A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A-4CE8-9E33-4A5D54EBC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53292192"/>
        <c:axId val="1153292552"/>
      </c:barChart>
      <c:catAx>
        <c:axId val="115329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1153292552"/>
        <c:crosses val="autoZero"/>
        <c:auto val="1"/>
        <c:lblAlgn val="ctr"/>
        <c:lblOffset val="100"/>
        <c:noMultiLvlLbl val="0"/>
      </c:catAx>
      <c:valAx>
        <c:axId val="1153292552"/>
        <c:scaling>
          <c:orientation val="minMax"/>
          <c:max val="1"/>
          <c:min val="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5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rgbClr val="002060">
                <a:alpha val="52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1153292192"/>
        <c:crosses val="autoZero"/>
        <c:crossBetween val="between"/>
        <c:majorUnit val="0.2"/>
      </c:valAx>
      <c:spPr>
        <a:noFill/>
        <a:ln>
          <a:solidFill>
            <a:schemeClr val="accent1">
              <a:alpha val="56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25_26.xlsx]Analisis!TablaDinámica3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6094438483734206E-3"/>
              <c:y val="-1.2845479162250629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1459847024387"/>
                  <c:h val="0.45710270848989587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4555013865981248"/>
              <c:y val="2.5604916143899627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540783492517485"/>
                  <c:h val="0.45624670870955719"/>
                </c:manualLayout>
              </c15:layout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6240847549036475E-2"/>
              <c:y val="-2.775557561562891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8547489471877893"/>
              <c:y val="1.2757803310394802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4555013865981248"/>
              <c:y val="2.5604916143899627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540783492517485"/>
                  <c:h val="0.45624670870955719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6094438483734206E-3"/>
              <c:y val="-1.2845479162250629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1459847024387"/>
                  <c:h val="0.45710270848989587"/>
                </c:manualLayout>
              </c15:layout>
            </c:ext>
          </c:extLst>
        </c:dLbl>
      </c:pivotFmt>
      <c:pivotFmt>
        <c:idx val="12"/>
      </c:pivotFmt>
      <c:pivotFmt>
        <c:idx val="13"/>
        <c:dLbl>
          <c:idx val="0"/>
          <c:layout>
            <c:manualLayout>
              <c:x val="-1.7837145457473627E-2"/>
              <c:y val="-4.617851989623716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016209798538572"/>
                  <c:h val="0.44971388058945655"/>
                </c:manualLayout>
              </c15:layout>
            </c:ext>
          </c:extLst>
        </c:dLbl>
      </c:pivotFmt>
      <c:pivotFmt>
        <c:idx val="14"/>
      </c:pivotFmt>
      <c:pivotFmt>
        <c:idx val="15"/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1210357476414136E-2"/>
          <c:y val="0"/>
          <c:w val="0.97603833865814693"/>
          <c:h val="0.985103757606467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Analisis!$K$3</c:f>
              <c:strCache>
                <c:ptCount val="1"/>
                <c:pt idx="0">
                  <c:v>Suma de Goles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E7E-4C99-ABDE-43695ADF955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FA1-47A5-B84A-3F08467104EB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D05-445C-9241-3A23F8667F05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D05-445C-9241-3A23F8667F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Analisis!$J$4:$J$5</c:f>
              <c:strCache>
                <c:ptCount val="1"/>
                <c:pt idx="0">
                  <c:v>A. Espeso</c:v>
                </c:pt>
              </c:strCache>
            </c:strRef>
          </c:cat>
          <c:val>
            <c:numRef>
              <c:f>Analisis!$K$4:$K$5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E-4286-BA13-A1BDB625F3EF}"/>
            </c:ext>
          </c:extLst>
        </c:ser>
        <c:ser>
          <c:idx val="1"/>
          <c:order val="1"/>
          <c:tx>
            <c:strRef>
              <c:f>Analisis!$L$3</c:f>
              <c:strCache>
                <c:ptCount val="1"/>
                <c:pt idx="0">
                  <c:v>Suma de Lanzam.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3E7E-4C99-ABDE-43695ADF955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FA1-47A5-B84A-3F08467104EB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D05-445C-9241-3A23F8667F05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D05-445C-9241-3A23F8667F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Analisis!$J$4:$J$5</c:f>
              <c:strCache>
                <c:ptCount val="1"/>
                <c:pt idx="0">
                  <c:v>A. Espeso</c:v>
                </c:pt>
              </c:strCache>
            </c:strRef>
          </c:cat>
          <c:val>
            <c:numRef>
              <c:f>Analisis!$L$4:$L$5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EE-4286-BA13-A1BDB625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1440992"/>
        <c:axId val="1231439912"/>
      </c:barChart>
      <c:catAx>
        <c:axId val="1231440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1439912"/>
        <c:crosses val="autoZero"/>
        <c:auto val="1"/>
        <c:lblAlgn val="ctr"/>
        <c:lblOffset val="100"/>
        <c:noMultiLvlLbl val="0"/>
      </c:catAx>
      <c:valAx>
        <c:axId val="1231439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1440992"/>
        <c:crosses val="autoZero"/>
        <c:crossBetween val="between"/>
      </c:valAx>
      <c:spPr>
        <a:solidFill>
          <a:srgbClr val="2E2F3C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25_26.xlsx]Analisis!TablaDinámica11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861529458061033"/>
          <c:y val="7.2928189485916298E-2"/>
          <c:w val="0.4125438157169119"/>
          <c:h val="0.773801500639753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Analisis!$R$3</c:f>
              <c:strCache>
                <c:ptCount val="1"/>
                <c:pt idx="0">
                  <c:v>Asistencias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Analisis!$R$4:$R$16</c:f>
              <c:numCache>
                <c:formatCode>General</c:formatCode>
                <c:ptCount val="6"/>
                <c:pt idx="0">
                  <c:v>8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B-445E-8EA5-D2DABA348B73}"/>
            </c:ext>
          </c:extLst>
        </c:ser>
        <c:ser>
          <c:idx val="1"/>
          <c:order val="1"/>
          <c:tx>
            <c:strRef>
              <c:f>Analisis!$S$3</c:f>
              <c:strCache>
                <c:ptCount val="1"/>
                <c:pt idx="0">
                  <c:v>Penaltis provocados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Analisis!$S$4:$S$16</c:f>
              <c:numCache>
                <c:formatCode>General</c:formatCode>
                <c:ptCount val="6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EB-445E-8EA5-D2DABA348B73}"/>
            </c:ext>
          </c:extLst>
        </c:ser>
        <c:ser>
          <c:idx val="2"/>
          <c:order val="2"/>
          <c:tx>
            <c:strRef>
              <c:f>Analisis!$T$3</c:f>
              <c:strCache>
                <c:ptCount val="1"/>
                <c:pt idx="0">
                  <c:v>Exclusiones provocadas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Analisis!$T$4:$T$16</c:f>
              <c:numCache>
                <c:formatCode>General</c:formatCode>
                <c:ptCount val="6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EB-445E-8EA5-D2DABA348B73}"/>
            </c:ext>
          </c:extLst>
        </c:ser>
        <c:ser>
          <c:idx val="3"/>
          <c:order val="3"/>
          <c:tx>
            <c:strRef>
              <c:f>Analisis!$U$3</c:f>
              <c:strCache>
                <c:ptCount val="1"/>
                <c:pt idx="0">
                  <c:v>Recuperaciones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Analisis!$U$4:$U$16</c:f>
              <c:numCache>
                <c:formatCode>General</c:formatCode>
                <c:ptCount val="6"/>
                <c:pt idx="0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EB-445E-8EA5-D2DABA348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107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281333950903201"/>
          <c:y val="0.15193024786709841"/>
          <c:w val="0.30718659207014631"/>
          <c:h val="0.7359179946783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25_26.xlsx]Analisis!TablaDinámica12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495606413710053"/>
          <c:y val="7.4971248499367552E-2"/>
          <c:w val="0.42223186246972161"/>
          <c:h val="0.767464624786879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Analisis!$X$3</c:f>
              <c:strCache>
                <c:ptCount val="1"/>
                <c:pt idx="0">
                  <c:v>Pérdidas pase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A6A6A6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Analisis!$X$4:$X$16</c:f>
              <c:numCache>
                <c:formatCode>General</c:formatCode>
                <c:ptCount val="6"/>
                <c:pt idx="0">
                  <c:v>2</c:v>
                </c:pt>
                <c:pt idx="2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5-4A01-9AE8-B9191626BC81}"/>
            </c:ext>
          </c:extLst>
        </c:ser>
        <c:ser>
          <c:idx val="1"/>
          <c:order val="1"/>
          <c:tx>
            <c:strRef>
              <c:f>Analisis!$Y$3</c:f>
              <c:strCache>
                <c:ptCount val="1"/>
                <c:pt idx="0">
                  <c:v>Áreas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E59EDD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Analisis!$Y$4:$Y$16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98A5-4A01-9AE8-B9191626BC81}"/>
            </c:ext>
          </c:extLst>
        </c:ser>
        <c:ser>
          <c:idx val="2"/>
          <c:order val="2"/>
          <c:tx>
            <c:strRef>
              <c:f>Analisis!$Z$3</c:f>
              <c:strCache>
                <c:ptCount val="1"/>
                <c:pt idx="0">
                  <c:v>Perdidas otros</c:v>
                </c:pt>
              </c:strCache>
            </c:strRef>
          </c:tx>
          <c:spPr>
            <a:solidFill>
              <a:srgbClr val="B4E5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B4E5A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Analisis!$Z$4:$Z$16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98A5-4A01-9AE8-B9191626BC81}"/>
            </c:ext>
          </c:extLst>
        </c:ser>
        <c:ser>
          <c:idx val="3"/>
          <c:order val="3"/>
          <c:tx>
            <c:strRef>
              <c:f>Analisis!$AA$3</c:f>
              <c:strCache>
                <c:ptCount val="1"/>
                <c:pt idx="0">
                  <c:v>Exclusiones</c:v>
                </c:pt>
              </c:strCache>
            </c:strRef>
          </c:tx>
          <c:spPr>
            <a:solidFill>
              <a:srgbClr val="04FCF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04FCFC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Analisis!$AA$4:$AA$16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98A5-4A01-9AE8-B9191626B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487648"/>
        <c:axId val="955491248"/>
      </c:barChart>
      <c:catAx>
        <c:axId val="95548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5491248"/>
        <c:crosses val="autoZero"/>
        <c:auto val="1"/>
        <c:lblAlgn val="ctr"/>
        <c:lblOffset val="100"/>
        <c:noMultiLvlLbl val="0"/>
      </c:catAx>
      <c:valAx>
        <c:axId val="955491248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rgbClr val="156082">
                  <a:alpha val="57647"/>
                </a:srgb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5487648"/>
        <c:crosses val="autoZero"/>
        <c:crossBetween val="between"/>
        <c:majorUnit val="5"/>
      </c:valAx>
      <c:spPr>
        <a:noFill/>
        <a:ln>
          <a:solidFill>
            <a:srgbClr val="2E2F3C">
              <a:alpha val="56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70482405003594395"/>
          <c:y val="0.29891686133968309"/>
          <c:w val="0.23003679161165291"/>
          <c:h val="0.44305914893411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25_26.xlsx]Analisis_Equipo!TablaDinámica1</c:name>
    <c:fmtId val="3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3B7D2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3B7D2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3B7D2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196B2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</c:pivotFmts>
    <c:plotArea>
      <c:layout>
        <c:manualLayout>
          <c:layoutTarget val="inner"/>
          <c:xMode val="edge"/>
          <c:yMode val="edge"/>
          <c:x val="9.488293734648455E-2"/>
          <c:y val="5.1900823647078972E-2"/>
          <c:w val="0.89210493867423402"/>
          <c:h val="0.719780181465350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Analisis_Equipo!$D$2</c:f>
              <c:strCache>
                <c:ptCount val="1"/>
                <c:pt idx="0">
                  <c:v>Suma de goles favor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Analisis_Equipo!$C$3:$C$15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Analisis_Equipo!$D$3:$D$15</c:f>
              <c:numCache>
                <c:formatCode>General</c:formatCode>
                <c:ptCount val="6"/>
                <c:pt idx="0">
                  <c:v>39</c:v>
                </c:pt>
                <c:pt idx="1">
                  <c:v>48</c:v>
                </c:pt>
                <c:pt idx="2">
                  <c:v>49</c:v>
                </c:pt>
                <c:pt idx="3">
                  <c:v>50</c:v>
                </c:pt>
                <c:pt idx="4">
                  <c:v>37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9-4CC2-8CFD-86B64C9FAF13}"/>
            </c:ext>
          </c:extLst>
        </c:ser>
        <c:ser>
          <c:idx val="1"/>
          <c:order val="1"/>
          <c:tx>
            <c:strRef>
              <c:f>Analisis_Equipo!$E$2</c:f>
              <c:strCache>
                <c:ptCount val="1"/>
                <c:pt idx="0">
                  <c:v>Suma de lanzamientos realizados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C04F15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Analisis_Equipo!$C$3:$C$15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Analisis_Equipo!$E$3:$E$15</c:f>
              <c:numCache>
                <c:formatCode>General</c:formatCode>
                <c:ptCount val="6"/>
                <c:pt idx="0">
                  <c:v>50</c:v>
                </c:pt>
                <c:pt idx="1">
                  <c:v>54</c:v>
                </c:pt>
                <c:pt idx="2">
                  <c:v>55</c:v>
                </c:pt>
                <c:pt idx="3">
                  <c:v>66</c:v>
                </c:pt>
                <c:pt idx="4">
                  <c:v>43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39-4CC2-8CFD-86B64C9FAF13}"/>
            </c:ext>
          </c:extLst>
        </c:ser>
        <c:ser>
          <c:idx val="2"/>
          <c:order val="2"/>
          <c:tx>
            <c:strRef>
              <c:f>Analisis_Equipo!$F$2</c:f>
              <c:strCache>
                <c:ptCount val="1"/>
                <c:pt idx="0">
                  <c:v>Suma de eficiencia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196B2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Analisis_Equipo!$C$3:$C$15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Analisis_Equipo!$F$3:$F$15</c:f>
              <c:numCache>
                <c:formatCode>0</c:formatCode>
                <c:ptCount val="6"/>
                <c:pt idx="0">
                  <c:v>78</c:v>
                </c:pt>
                <c:pt idx="1">
                  <c:v>88.888888888888886</c:v>
                </c:pt>
                <c:pt idx="2">
                  <c:v>89.090909090909093</c:v>
                </c:pt>
                <c:pt idx="3">
                  <c:v>75.757575757575751</c:v>
                </c:pt>
                <c:pt idx="4">
                  <c:v>86.04651162790698</c:v>
                </c:pt>
                <c:pt idx="5">
                  <c:v>91.304347826086953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B6-493C-84FF-F2F6545BF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2152872"/>
        <c:axId val="882153592"/>
      </c:barChart>
      <c:catAx>
        <c:axId val="882152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effectLst/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882153592"/>
        <c:crosses val="autoZero"/>
        <c:auto val="0"/>
        <c:lblAlgn val="ctr"/>
        <c:lblOffset val="100"/>
        <c:noMultiLvlLbl val="0"/>
      </c:catAx>
      <c:valAx>
        <c:axId val="882153592"/>
        <c:scaling>
          <c:orientation val="minMax"/>
          <c:max val="100"/>
          <c:min val="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bg1"/>
                </a:solidFill>
                <a:effectLst/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882152872"/>
        <c:crosses val="autoZero"/>
        <c:crossBetween val="between"/>
        <c:majorUnit val="10"/>
      </c:valAx>
      <c:spPr>
        <a:noFill/>
        <a:ln>
          <a:solidFill>
            <a:schemeClr val="accent1">
              <a:alpha val="58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 rot="60000"/>
    <a:lstStyle/>
    <a:p>
      <a:pPr>
        <a:defRPr>
          <a:effectLst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25_26.xlsx]Analisis_Equipo!TablaDinámica2</c:name>
    <c:fmtId val="3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6094438483734206E-3"/>
              <c:y val="-1.2845479162250629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1459847024387"/>
                  <c:h val="0.45710270848989587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4555013865981248"/>
              <c:y val="2.5604916143899627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540783492517485"/>
                  <c:h val="0.45624670870955719"/>
                </c:manualLayout>
              </c15:layout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6240847549036475E-2"/>
              <c:y val="-2.775557561562891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8547489471877893"/>
              <c:y val="1.2757803310394802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4E95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9965660972291211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498979184034403"/>
                  <c:h val="0.32871139801821869"/>
                </c:manualLayout>
              </c15:layout>
            </c:ext>
          </c:extLst>
        </c:dLbl>
      </c:pivotFmt>
      <c:pivotFmt>
        <c:idx val="21"/>
        <c:spPr>
          <a:solidFill>
            <a:srgbClr val="4E95D9"/>
          </a:solidFill>
          <a:ln>
            <a:noFill/>
          </a:ln>
          <a:effectLst/>
        </c:spPr>
        <c:dLbl>
          <c:idx val="0"/>
          <c:layout>
            <c:manualLayout>
              <c:x val="-9.913126579271328E-2"/>
              <c:y val="4.6314743415174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358973955185832"/>
                  <c:h val="0.29675654867189838"/>
                </c:manualLayout>
              </c15:layout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8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2.7427488499665312E-2"/>
              <c:y val="-3.03370169177332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8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710407532989221"/>
                  <c:h val="0.42428107994477005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87366838116404"/>
          <c:y val="0.12781610583576133"/>
          <c:w val="0.67754207227850671"/>
          <c:h val="0.750058298570111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Analisis_Equipo!$G$2</c:f>
              <c:strCache>
                <c:ptCount val="1"/>
                <c:pt idx="0">
                  <c:v>Suma de goles favor</c:v>
                </c:pt>
              </c:strCache>
            </c:strRef>
          </c:tx>
          <c:spPr>
            <a:solidFill>
              <a:srgbClr val="4E95D9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E95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2C0-4895-9EC3-105CD210DDDE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2C0-4895-9EC3-105CD210DDDE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2C0-4895-9EC3-105CD210DDDE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2C0-4895-9EC3-105CD210DDDE}"/>
              </c:ext>
            </c:extLst>
          </c:dPt>
          <c:dLbls>
            <c:dLbl>
              <c:idx val="0"/>
              <c:layout>
                <c:manualLayout>
                  <c:x val="-9.913126579271328E-2"/>
                  <c:y val="4.63147434151749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358973955185832"/>
                      <c:h val="0.296756548671898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22C0-4895-9EC3-105CD210DD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Analisis_Equipo!$G$3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Analisis_Equipo!$G$3</c:f>
              <c:numCache>
                <c:formatCode>General</c:formatCode>
                <c:ptCount val="1"/>
                <c:pt idx="0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C0-4895-9EC3-105CD210DDDE}"/>
            </c:ext>
          </c:extLst>
        </c:ser>
        <c:ser>
          <c:idx val="1"/>
          <c:order val="1"/>
          <c:tx>
            <c:strRef>
              <c:f>Analisis_Equipo!$H$2</c:f>
              <c:strCache>
                <c:ptCount val="1"/>
                <c:pt idx="0">
                  <c:v>Suma de lanzamientos realizados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C0-4895-9EC3-105CD210DDDE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2C0-4895-9EC3-105CD210DDDE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2C0-4895-9EC3-105CD210DDDE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2C0-4895-9EC3-105CD210DDDE}"/>
              </c:ext>
            </c:extLst>
          </c:dPt>
          <c:dLbls>
            <c:dLbl>
              <c:idx val="0"/>
              <c:layout>
                <c:manualLayout>
                  <c:x val="-2.9965660972291211E-4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498979184034403"/>
                      <c:h val="0.328711398018218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2C0-4895-9EC3-105CD210DD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Analisis_Equipo!$G$3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Analisis_Equipo!$H$3</c:f>
              <c:numCache>
                <c:formatCode>General</c:formatCode>
                <c:ptCount val="1"/>
                <c:pt idx="0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2C0-4895-9EC3-105CD210DDDE}"/>
            </c:ext>
          </c:extLst>
        </c:ser>
        <c:ser>
          <c:idx val="2"/>
          <c:order val="2"/>
          <c:tx>
            <c:strRef>
              <c:f>Analisis_Equipo!$I$2</c:f>
              <c:strCache>
                <c:ptCount val="1"/>
                <c:pt idx="0">
                  <c:v>Suma de Campo11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BF2-4978-A78F-1A03DB59A3E9}"/>
              </c:ext>
            </c:extLst>
          </c:dPt>
          <c:dLbls>
            <c:dLbl>
              <c:idx val="0"/>
              <c:layout>
                <c:manualLayout>
                  <c:x val="-2.7427488499665312E-2"/>
                  <c:y val="-3.03370169177332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10407532989221"/>
                      <c:h val="0.424281079944770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1BF2-4978-A78F-1A03DB59A3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8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Analisis_Equipo!$G$3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Analisis_Equipo!$I$3</c:f>
              <c:numCache>
                <c:formatCode>0</c:formatCode>
                <c:ptCount val="1"/>
                <c:pt idx="0">
                  <c:v>84.394904458598731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F2-4978-A78F-1A03DB59A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1440992"/>
        <c:axId val="1231439912"/>
      </c:barChart>
      <c:catAx>
        <c:axId val="1231440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1439912"/>
        <c:crosses val="autoZero"/>
        <c:auto val="1"/>
        <c:lblAlgn val="ctr"/>
        <c:lblOffset val="100"/>
        <c:noMultiLvlLbl val="0"/>
      </c:catAx>
      <c:valAx>
        <c:axId val="1231439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1440992"/>
        <c:crosses val="autoZero"/>
        <c:crossBetween val="between"/>
      </c:valAx>
      <c:spPr>
        <a:solidFill>
          <a:srgbClr val="2E2F3C"/>
        </a:solidFill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25_26.xlsx]Analisis_Equipo!TablaDinámica3</c:name>
    <c:fmtId val="4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3B7D2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3B7D2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3B7D2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196B2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196B2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196B2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196B2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196B2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196B2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88293734648455E-2"/>
          <c:y val="5.1900823647078972E-2"/>
          <c:w val="0.89210493867423402"/>
          <c:h val="0.719780181465350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Analisis_Equipo!$L$2</c:f>
              <c:strCache>
                <c:ptCount val="1"/>
                <c:pt idx="0">
                  <c:v>Suma de Paradas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Analisis_Equipo!$K$3:$K$15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Analisis_Equipo!$L$3:$L$15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11</c:v>
                </c:pt>
                <c:pt idx="3">
                  <c:v>14</c:v>
                </c:pt>
                <c:pt idx="4">
                  <c:v>10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7-4D6E-9A3B-B99C4EC33B27}"/>
            </c:ext>
          </c:extLst>
        </c:ser>
        <c:ser>
          <c:idx val="1"/>
          <c:order val="1"/>
          <c:tx>
            <c:strRef>
              <c:f>Analisis_Equipo!$M$2</c:f>
              <c:strCache>
                <c:ptCount val="1"/>
                <c:pt idx="0">
                  <c:v>Suma de goles contra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C04F15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Analisis_Equipo!$K$3:$K$15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Analisis_Equipo!$M$3:$M$15</c:f>
              <c:numCache>
                <c:formatCode>General</c:formatCode>
                <c:ptCount val="6"/>
                <c:pt idx="0">
                  <c:v>19</c:v>
                </c:pt>
                <c:pt idx="1">
                  <c:v>8</c:v>
                </c:pt>
                <c:pt idx="2">
                  <c:v>14</c:v>
                </c:pt>
                <c:pt idx="3">
                  <c:v>24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F7-4D6E-9A3B-B99C4EC33B27}"/>
            </c:ext>
          </c:extLst>
        </c:ser>
        <c:ser>
          <c:idx val="2"/>
          <c:order val="2"/>
          <c:tx>
            <c:strRef>
              <c:f>Analisis_Equipo!$N$2</c:f>
              <c:strCache>
                <c:ptCount val="1"/>
                <c:pt idx="0">
                  <c:v>Suma de eficiencia porteria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196B2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Analisis_Equipo!$K$3:$K$15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Analisis_Equipo!$N$3:$N$15</c:f>
              <c:numCache>
                <c:formatCode>0</c:formatCode>
                <c:ptCount val="6"/>
                <c:pt idx="0">
                  <c:v>32.142857142857146</c:v>
                </c:pt>
                <c:pt idx="1">
                  <c:v>42.857142857142854</c:v>
                </c:pt>
                <c:pt idx="2">
                  <c:v>44</c:v>
                </c:pt>
                <c:pt idx="3">
                  <c:v>36.84210526315789</c:v>
                </c:pt>
                <c:pt idx="4">
                  <c:v>37.037037037037038</c:v>
                </c:pt>
                <c:pt idx="5">
                  <c:v>28.571428571428569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F7-4D6E-9A3B-B99C4EC33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2152872"/>
        <c:axId val="882153592"/>
      </c:barChart>
      <c:catAx>
        <c:axId val="882152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effectLst/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882153592"/>
        <c:crosses val="autoZero"/>
        <c:auto val="0"/>
        <c:lblAlgn val="ctr"/>
        <c:lblOffset val="100"/>
        <c:noMultiLvlLbl val="0"/>
      </c:catAx>
      <c:valAx>
        <c:axId val="882153592"/>
        <c:scaling>
          <c:orientation val="minMax"/>
          <c:max val="100"/>
          <c:min val="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bg1"/>
                </a:solidFill>
                <a:effectLst/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882152872"/>
        <c:crosses val="autoZero"/>
        <c:crossBetween val="between"/>
        <c:majorUnit val="10"/>
      </c:valAx>
      <c:spPr>
        <a:noFill/>
        <a:ln>
          <a:solidFill>
            <a:schemeClr val="accent1">
              <a:alpha val="58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 rot="60000"/>
    <a:lstStyle/>
    <a:p>
      <a:pPr>
        <a:defRPr>
          <a:effectLst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25_26.xlsx]Analisis_Equipo!TablaDinámica4</c:name>
    <c:fmtId val="4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6094438483734206E-3"/>
              <c:y val="-1.2845479162250629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1459847024387"/>
                  <c:h val="0.45710270848989587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4555013865981248"/>
              <c:y val="2.5604916143899627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540783492517485"/>
                  <c:h val="0.45624670870955719"/>
                </c:manualLayout>
              </c15:layout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6240847549036475E-2"/>
              <c:y val="-2.775557561562891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8547489471877893"/>
              <c:y val="1.2757803310394802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4E95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965660972291211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498979184034403"/>
                  <c:h val="0.32871139801821869"/>
                </c:manualLayout>
              </c15:layout>
            </c:ext>
          </c:extLst>
        </c:dLbl>
      </c:pivotFmt>
      <c:pivotFmt>
        <c:idx val="21"/>
        <c:spPr>
          <a:solidFill>
            <a:srgbClr val="4E95D9"/>
          </a:solidFill>
          <a:ln>
            <a:noFill/>
          </a:ln>
          <a:effectLst/>
        </c:spPr>
        <c:dLbl>
          <c:idx val="0"/>
          <c:layout>
            <c:manualLayout>
              <c:x val="-9.913126579271328E-2"/>
              <c:y val="4.6314743415174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358973955185832"/>
                  <c:h val="0.29675654867189838"/>
                </c:manualLayout>
              </c15:layout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2.7427488499665312E-2"/>
              <c:y val="-3.03370169177332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710407532989221"/>
                  <c:h val="0.42428107994477005"/>
                </c:manualLayout>
              </c15:layout>
            </c:ext>
          </c:extLst>
        </c:dLbl>
      </c:pivotFmt>
      <c:pivotFmt>
        <c:idx val="24"/>
        <c:spPr>
          <a:solidFill>
            <a:srgbClr val="4E95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4E95D9"/>
          </a:solidFill>
          <a:ln>
            <a:noFill/>
          </a:ln>
          <a:effectLst/>
        </c:spPr>
        <c:dLbl>
          <c:idx val="0"/>
          <c:layout>
            <c:manualLayout>
              <c:x val="-9.913126579271328E-2"/>
              <c:y val="4.6314743415174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358973955185832"/>
                  <c:h val="0.29675654867189838"/>
                </c:manualLayout>
              </c15:layout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9965660972291211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498979184034403"/>
                  <c:h val="0.32871139801821869"/>
                </c:manualLayout>
              </c15:layout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2.7427488499665312E-2"/>
              <c:y val="-3.03370169177332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710407532989221"/>
                  <c:h val="0.42428107994477005"/>
                </c:manualLayout>
              </c15:layout>
            </c:ext>
          </c:extLst>
        </c:dLbl>
      </c:pivotFmt>
      <c:pivotFmt>
        <c:idx val="30"/>
        <c:spPr>
          <a:solidFill>
            <a:srgbClr val="4E95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4E95D9"/>
          </a:solidFill>
          <a:ln>
            <a:noFill/>
          </a:ln>
          <a:effectLst/>
        </c:spPr>
        <c:dLbl>
          <c:idx val="0"/>
          <c:layout>
            <c:manualLayout>
              <c:x val="-9.913126579271328E-2"/>
              <c:y val="4.6314743415174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358973955185832"/>
                  <c:h val="0.29675654867189838"/>
                </c:manualLayout>
              </c15:layout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9965660972291211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498979184034403"/>
                  <c:h val="0.32871139801821869"/>
                </c:manualLayout>
              </c15:layout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2.7427488499665312E-2"/>
              <c:y val="-3.03370169177332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710407532989221"/>
                  <c:h val="0.42428107994477005"/>
                </c:manualLayout>
              </c15:layout>
            </c:ext>
          </c:extLst>
        </c:dLbl>
      </c:pivotFmt>
      <c:pivotFmt>
        <c:idx val="36"/>
        <c:spPr>
          <a:solidFill>
            <a:srgbClr val="4E95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4E95D9"/>
          </a:solidFill>
          <a:ln>
            <a:noFill/>
          </a:ln>
          <a:effectLst/>
        </c:spPr>
        <c:dLbl>
          <c:idx val="0"/>
          <c:layout>
            <c:manualLayout>
              <c:x val="-9.913126579271328E-2"/>
              <c:y val="4.6314743415174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358973955185832"/>
                  <c:h val="0.29675654867189838"/>
                </c:manualLayout>
              </c15:layout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9965660972291211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498979184034403"/>
                  <c:h val="0.32871139801821869"/>
                </c:manualLayout>
              </c15:layout>
            </c:ext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4.7926733957517474E-2"/>
              <c:y val="2.4331906672538767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710407532989221"/>
                  <c:h val="0.42428107994477005"/>
                </c:manualLayout>
              </c15:layout>
            </c:ext>
          </c:extLst>
        </c:dLbl>
      </c:pivotFmt>
      <c:pivotFmt>
        <c:idx val="42"/>
        <c:spPr>
          <a:solidFill>
            <a:srgbClr val="4E95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4E95D9"/>
          </a:solidFill>
          <a:ln>
            <a:noFill/>
          </a:ln>
          <a:effectLst/>
        </c:spPr>
        <c:dLbl>
          <c:idx val="0"/>
          <c:layout>
            <c:manualLayout>
              <c:x val="-9.913126579271328E-2"/>
              <c:y val="4.6314743415174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358973955185832"/>
                  <c:h val="0.29675654867189838"/>
                </c:manualLayout>
              </c15:layout>
            </c:ext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9965660972291211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498979184034403"/>
                  <c:h val="0.32871139801821869"/>
                </c:manualLayout>
              </c15:layout>
            </c:ext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2.7427488499665312E-2"/>
              <c:y val="-3.03370169177332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710407532989221"/>
                  <c:h val="0.42428107994477005"/>
                </c:manualLayout>
              </c15:layout>
            </c:ext>
          </c:extLst>
        </c:dLbl>
      </c:pivotFmt>
      <c:pivotFmt>
        <c:idx val="4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4F15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2163597591983411E-7"/>
              <c:y val="4.63140254758766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C04F15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141594170985733"/>
                  <c:h val="0.33642619304942117"/>
                </c:manualLayout>
              </c15:layout>
            </c:ext>
          </c:extLst>
        </c:dLbl>
      </c:pivotFmt>
      <c:pivotFmt>
        <c:idx val="5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2.9965660972291211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498979184034403"/>
                  <c:h val="0.32871139801821869"/>
                </c:manualLayout>
              </c15:layout>
            </c:ext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8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3.8769504631315892E-3"/>
              <c:y val="-3.033684608942112E-2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8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971295325548602"/>
                  <c:h val="0.42428142160139437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5786749312290688"/>
          <c:y val="0.1278166836380901"/>
          <c:w val="0.67754207227850671"/>
          <c:h val="0.750058298570111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Analisis_Equipo!$P$2</c:f>
              <c:strCache>
                <c:ptCount val="1"/>
                <c:pt idx="0">
                  <c:v>Suma de goles contra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07-4A9F-9913-9706911902D2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407-4A9F-9913-9706911902D2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407-4A9F-9913-9706911902D2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407-4A9F-9913-9706911902D2}"/>
              </c:ext>
            </c:extLst>
          </c:dPt>
          <c:dLbls>
            <c:dLbl>
              <c:idx val="0"/>
              <c:layout>
                <c:manualLayout>
                  <c:x val="-8.2163597591983411E-7"/>
                  <c:y val="4.631402547587663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C04F1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141594170985733"/>
                      <c:h val="0.336426193049421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407-4A9F-9913-9706911902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4F15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Analisis_Equipo!$P$3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Analisis_Equipo!$P$3</c:f>
              <c:numCache>
                <c:formatCode>General</c:formatCode>
                <c:ptCount val="1"/>
                <c:pt idx="0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07-4A9F-9913-9706911902D2}"/>
            </c:ext>
          </c:extLst>
        </c:ser>
        <c:ser>
          <c:idx val="1"/>
          <c:order val="1"/>
          <c:tx>
            <c:strRef>
              <c:f>Analisis_Equipo!$Q$2</c:f>
              <c:strCache>
                <c:ptCount val="1"/>
                <c:pt idx="0">
                  <c:v>Suma de Paradas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407-4A9F-9913-9706911902D2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C407-4A9F-9913-9706911902D2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407-4A9F-9913-9706911902D2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C407-4A9F-9913-9706911902D2}"/>
              </c:ext>
            </c:extLst>
          </c:dPt>
          <c:dLbls>
            <c:dLbl>
              <c:idx val="0"/>
              <c:layout>
                <c:manualLayout>
                  <c:x val="-2.9965660972291211E-4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498979184034403"/>
                      <c:h val="0.328711398018218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407-4A9F-9913-9706911902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Analisis_Equipo!$P$3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Analisis_Equipo!$Q$3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407-4A9F-9913-9706911902D2}"/>
            </c:ext>
          </c:extLst>
        </c:ser>
        <c:ser>
          <c:idx val="2"/>
          <c:order val="2"/>
          <c:tx>
            <c:strRef>
              <c:f>Analisis_Equipo!$R$2</c:f>
              <c:strCache>
                <c:ptCount val="1"/>
                <c:pt idx="0">
                  <c:v>Suma de Campo12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407-4A9F-9913-9706911902D2}"/>
              </c:ext>
            </c:extLst>
          </c:dPt>
          <c:dLbls>
            <c:dLbl>
              <c:idx val="0"/>
              <c:layout>
                <c:manualLayout>
                  <c:x val="3.8769504631315892E-3"/>
                  <c:y val="-3.033684608942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971295325548602"/>
                      <c:h val="0.424281421601394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C407-4A9F-9913-9706911902D2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8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Analisis_Equipo!$P$3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Analisis_Equipo!$R$3</c:f>
              <c:numCache>
                <c:formatCode>0</c:formatCode>
                <c:ptCount val="1"/>
                <c:pt idx="0">
                  <c:v>36.601307189542482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407-4A9F-9913-970691190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1440992"/>
        <c:axId val="1231439912"/>
      </c:barChart>
      <c:catAx>
        <c:axId val="1231440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1439912"/>
        <c:crosses val="autoZero"/>
        <c:auto val="1"/>
        <c:lblAlgn val="ctr"/>
        <c:lblOffset val="100"/>
        <c:noMultiLvlLbl val="0"/>
      </c:catAx>
      <c:valAx>
        <c:axId val="1231439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1440992"/>
        <c:crosses val="autoZero"/>
        <c:crossBetween val="between"/>
      </c:valAx>
      <c:spPr>
        <a:solidFill>
          <a:srgbClr val="2E2F3C"/>
        </a:solidFill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25_26.xlsx]Analisis_Equipo!TablaDinámica6</c:name>
    <c:fmtId val="2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061530179802956"/>
          <c:y val="6.6148672093954364E-2"/>
          <c:w val="0.4125438157169119"/>
          <c:h val="0.773801500639753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Analisis_Equipo!$U$2</c:f>
              <c:strCache>
                <c:ptCount val="1"/>
                <c:pt idx="0">
                  <c:v>Asistencias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Analisis_Equipo!$T$3:$T$15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Analisis_Equipo!$U$3:$U$15</c:f>
              <c:numCache>
                <c:formatCode>General</c:formatCode>
                <c:ptCount val="6"/>
                <c:pt idx="0">
                  <c:v>24</c:v>
                </c:pt>
                <c:pt idx="1">
                  <c:v>28</c:v>
                </c:pt>
                <c:pt idx="2">
                  <c:v>25</c:v>
                </c:pt>
                <c:pt idx="3">
                  <c:v>25</c:v>
                </c:pt>
                <c:pt idx="4">
                  <c:v>27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6-468C-97D9-5F7E10D906FB}"/>
            </c:ext>
          </c:extLst>
        </c:ser>
        <c:ser>
          <c:idx val="1"/>
          <c:order val="1"/>
          <c:tx>
            <c:strRef>
              <c:f>Analisis_Equipo!$V$2</c:f>
              <c:strCache>
                <c:ptCount val="1"/>
                <c:pt idx="0">
                  <c:v>Penaltis provocados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Analisis_Equipo!$T$3:$T$15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Analisis_Equipo!$V$3:$V$15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6-468C-97D9-5F7E10D906FB}"/>
            </c:ext>
          </c:extLst>
        </c:ser>
        <c:ser>
          <c:idx val="2"/>
          <c:order val="2"/>
          <c:tx>
            <c:strRef>
              <c:f>Analisis_Equipo!$W$2</c:f>
              <c:strCache>
                <c:ptCount val="1"/>
                <c:pt idx="0">
                  <c:v>Exclusiones provocadas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196B24"/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Analisis_Equipo!$T$3:$T$15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Analisis_Equipo!$W$3:$W$15</c:f>
              <c:numCache>
                <c:formatCode>General</c:formatCode>
                <c:ptCount val="6"/>
                <c:pt idx="0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06-468C-97D9-5F7E10D906FB}"/>
            </c:ext>
          </c:extLst>
        </c:ser>
        <c:ser>
          <c:idx val="3"/>
          <c:order val="3"/>
          <c:tx>
            <c:strRef>
              <c:f>Analisis_Equipo!$X$2</c:f>
              <c:strCache>
                <c:ptCount val="1"/>
                <c:pt idx="0">
                  <c:v>Recuperaciones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Analisis_Equipo!$T$3:$T$15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Analisis_Equipo!$X$3:$X$15</c:f>
              <c:numCache>
                <c:formatCode>General</c:formatCode>
                <c:ptCount val="6"/>
                <c:pt idx="0">
                  <c:v>12</c:v>
                </c:pt>
                <c:pt idx="1">
                  <c:v>19</c:v>
                </c:pt>
                <c:pt idx="2">
                  <c:v>23</c:v>
                </c:pt>
                <c:pt idx="3">
                  <c:v>20</c:v>
                </c:pt>
                <c:pt idx="4">
                  <c:v>12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06-468C-97D9-5F7E10D90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0"/>
        <c:axPos val="l"/>
        <c:majorGridlines>
          <c:spPr>
            <a:ln w="28575"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1072"/>
        <c:crosses val="autoZero"/>
        <c:crossBetween val="between"/>
        <c:majorUnit val="5"/>
      </c:valAx>
      <c:spPr>
        <a:solidFill>
          <a:srgbClr val="2E2F3C"/>
        </a:solidFill>
      </c:spPr>
    </c:plotArea>
    <c:legend>
      <c:legendPos val="r"/>
      <c:layout>
        <c:manualLayout>
          <c:xMode val="edge"/>
          <c:yMode val="edge"/>
          <c:x val="0.69281333950903201"/>
          <c:y val="0.15193024786709841"/>
          <c:w val="0.30718659207014631"/>
          <c:h val="0.7359179946783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25_26.xlsx]Analisis_Equipo!TablaDinámica7</c:name>
    <c:fmtId val="3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B4E5A2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351758157581635"/>
          <c:y val="7.2928027842796048E-2"/>
          <c:w val="0.4125438157169119"/>
          <c:h val="0.773801500639753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Analisis_Equipo!$AA$2</c:f>
              <c:strCache>
                <c:ptCount val="1"/>
                <c:pt idx="0">
                  <c:v>Pérdidas pase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A6A6A6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Analisis_Equipo!$Z$3:$Z$15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Analisis_Equipo!$AA$3:$AA$15</c:f>
              <c:numCache>
                <c:formatCode>General</c:formatCode>
                <c:ptCount val="6"/>
                <c:pt idx="0">
                  <c:v>10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2-4FCA-AA66-874AF4E1C33B}"/>
            </c:ext>
          </c:extLst>
        </c:ser>
        <c:ser>
          <c:idx val="1"/>
          <c:order val="1"/>
          <c:tx>
            <c:strRef>
              <c:f>Analisis_Equipo!$AB$2</c:f>
              <c:strCache>
                <c:ptCount val="1"/>
                <c:pt idx="0">
                  <c:v>Áreas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E59EDD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Analisis_Equipo!$Z$3:$Z$15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Analisis_Equipo!$AB$3:$AB$15</c:f>
              <c:numCache>
                <c:formatCode>General</c:formatCode>
                <c:ptCount val="6"/>
                <c:pt idx="0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2-4FCA-AA66-874AF4E1C33B}"/>
            </c:ext>
          </c:extLst>
        </c:ser>
        <c:ser>
          <c:idx val="2"/>
          <c:order val="2"/>
          <c:tx>
            <c:strRef>
              <c:f>Analisis_Equipo!$AC$2</c:f>
              <c:strCache>
                <c:ptCount val="1"/>
                <c:pt idx="0">
                  <c:v>Perdidas otros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B4E5A2"/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Analisis_Equipo!$Z$3:$Z$15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Analisis_Equipo!$AC$3:$AC$15</c:f>
              <c:numCache>
                <c:formatCode>General</c:formatCode>
                <c:ptCount val="6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92-4FCA-AA66-874AF4E1C33B}"/>
            </c:ext>
          </c:extLst>
        </c:ser>
        <c:ser>
          <c:idx val="3"/>
          <c:order val="3"/>
          <c:tx>
            <c:strRef>
              <c:f>Analisis_Equipo!$AD$2</c:f>
              <c:strCache>
                <c:ptCount val="1"/>
                <c:pt idx="0">
                  <c:v>Exclusiones</c:v>
                </c:pt>
              </c:strCache>
            </c:strRef>
          </c:tx>
          <c:spPr>
            <a:solidFill>
              <a:srgbClr val="04FCF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04FCFC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Analisis_Equipo!$Z$3:$Z$15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Analisis_Equipo!$AD$3:$AD$15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92-4FCA-AA66-874AF4E1C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0"/>
        <c:axPos val="l"/>
        <c:majorGridlines>
          <c:spPr>
            <a:ln w="28575"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1072"/>
        <c:crosses val="autoZero"/>
        <c:crossBetween val="between"/>
        <c:majorUnit val="5"/>
      </c:valAx>
      <c:spPr>
        <a:solidFill>
          <a:srgbClr val="2E2F3C"/>
        </a:solidFill>
      </c:spPr>
    </c:plotArea>
    <c:legend>
      <c:legendPos val="r"/>
      <c:layout>
        <c:manualLayout>
          <c:xMode val="edge"/>
          <c:yMode val="edge"/>
          <c:x val="0.69281333950903201"/>
          <c:y val="0.15193024786709841"/>
          <c:w val="0.30718659207014631"/>
          <c:h val="0.7359179946783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25_26.xlsx]Analisis!TablaDinámica2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16111859178482E-2"/>
          <c:y val="5.1900823647078972E-2"/>
          <c:w val="0.80760208808133394"/>
          <c:h val="0.719780181465350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Analisis!$D$3</c:f>
              <c:strCache>
                <c:ptCount val="1"/>
                <c:pt idx="0">
                  <c:v>Suma de Goles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Analisis!$C$4:$C$16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Analisis!$D$4:$D$16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2-4582-90BD-23787C0881BE}"/>
            </c:ext>
          </c:extLst>
        </c:ser>
        <c:ser>
          <c:idx val="1"/>
          <c:order val="1"/>
          <c:tx>
            <c:strRef>
              <c:f>Analisis!$E$3</c:f>
              <c:strCache>
                <c:ptCount val="1"/>
                <c:pt idx="0">
                  <c:v>Suma de Lanzam.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C04F15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Analisis!$C$4:$C$16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Analisis!$E$4:$E$16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62-4582-90BD-23787C088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2152872"/>
        <c:axId val="882153592"/>
      </c:barChart>
      <c:catAx>
        <c:axId val="882152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effectLst/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882153592"/>
        <c:crosses val="autoZero"/>
        <c:auto val="0"/>
        <c:lblAlgn val="ctr"/>
        <c:lblOffset val="100"/>
        <c:noMultiLvlLbl val="0"/>
      </c:catAx>
      <c:valAx>
        <c:axId val="882153592"/>
        <c:scaling>
          <c:orientation val="minMax"/>
          <c:max val="20"/>
          <c:min val="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bg1"/>
                </a:solidFill>
                <a:effectLst/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882152872"/>
        <c:crosses val="autoZero"/>
        <c:crossBetween val="between"/>
        <c:majorUnit val="5"/>
      </c:valAx>
      <c:spPr>
        <a:noFill/>
        <a:ln>
          <a:solidFill>
            <a:schemeClr val="accent1">
              <a:alpha val="58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86661440606678652"/>
          <c:y val="0.38598375393725709"/>
          <c:w val="0.13248988704441755"/>
          <c:h val="0.176876346975375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E2F3C"/>
    </a:solidFill>
    <a:ln w="9525" cap="flat" cmpd="sng" algn="ctr">
      <a:noFill/>
      <a:round/>
    </a:ln>
    <a:effectLst/>
  </c:spPr>
  <c:txPr>
    <a:bodyPr rot="60000"/>
    <a:lstStyle/>
    <a:p>
      <a:pPr>
        <a:defRPr>
          <a:effectLst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25_26.xlsx]Analisis!TablaDinámica3</c:name>
    <c:fmtId val="3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6094438483734206E-3"/>
              <c:y val="-1.2845479162250629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1459847024387"/>
                  <c:h val="0.45710270848989587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4555013865981248"/>
              <c:y val="2.5604916143899627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540783492517485"/>
                  <c:h val="0.45624670870955719"/>
                </c:manualLayout>
              </c15:layout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6240847549036475E-2"/>
              <c:y val="-2.775557561562891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8547489471877893"/>
              <c:y val="1.2757803310394802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4E95D9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4F15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</c:pivotFmts>
    <c:plotArea>
      <c:layout>
        <c:manualLayout>
          <c:layoutTarget val="inner"/>
          <c:xMode val="edge"/>
          <c:yMode val="edge"/>
          <c:x val="2.1210613587417253E-2"/>
          <c:y val="0"/>
          <c:w val="0.97603833865814693"/>
          <c:h val="0.985103757606467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Analisis!$K$3</c:f>
              <c:strCache>
                <c:ptCount val="1"/>
                <c:pt idx="0">
                  <c:v>Suma de Goles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4F2-40CC-98D7-AE418CDADF39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4F2-40CC-98D7-AE418CDADF3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4F2-40CC-98D7-AE418CDADF39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4F2-40CC-98D7-AE418CDADF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E95D9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Analisis!$J$4:$J$5</c:f>
              <c:strCache>
                <c:ptCount val="1"/>
                <c:pt idx="0">
                  <c:v>A. Espeso</c:v>
                </c:pt>
              </c:strCache>
            </c:strRef>
          </c:cat>
          <c:val>
            <c:numRef>
              <c:f>Analisis!$K$4:$K$5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F2-40CC-98D7-AE418CDADF39}"/>
            </c:ext>
          </c:extLst>
        </c:ser>
        <c:ser>
          <c:idx val="1"/>
          <c:order val="1"/>
          <c:tx>
            <c:strRef>
              <c:f>Analisis!$L$3</c:f>
              <c:strCache>
                <c:ptCount val="1"/>
                <c:pt idx="0">
                  <c:v>Suma de Lanzam.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4F2-40CC-98D7-AE418CDADF39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34F2-40CC-98D7-AE418CDADF3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34F2-40CC-98D7-AE418CDADF39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34F2-40CC-98D7-AE418CDADF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4F15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Analisis!$J$4:$J$5</c:f>
              <c:strCache>
                <c:ptCount val="1"/>
                <c:pt idx="0">
                  <c:v>A. Espeso</c:v>
                </c:pt>
              </c:strCache>
            </c:strRef>
          </c:cat>
          <c:val>
            <c:numRef>
              <c:f>Analisis!$L$4:$L$5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4F2-40CC-98D7-AE418CDAD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1440992"/>
        <c:axId val="1231439912"/>
      </c:barChart>
      <c:catAx>
        <c:axId val="1231440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1439912"/>
        <c:crosses val="autoZero"/>
        <c:auto val="1"/>
        <c:lblAlgn val="ctr"/>
        <c:lblOffset val="100"/>
        <c:noMultiLvlLbl val="0"/>
      </c:catAx>
      <c:valAx>
        <c:axId val="1231439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1440992"/>
        <c:crosses val="autoZero"/>
        <c:crossBetween val="between"/>
      </c:valAx>
      <c:spPr>
        <a:solidFill>
          <a:srgbClr val="2E2F3C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25_26.xlsx]Analisis!TablaDinámica4</c:name>
    <c:fmtId val="2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330539087934877E-2"/>
          <c:y val="0.17111310378358047"/>
          <c:w val="0.88805386886301985"/>
          <c:h val="0.767373742536615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8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A5D-4502-8D0F-FA1977F740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008000"/>
                    </a:solidFill>
                    <a:latin typeface="Fira Sans" panose="020B05030500000200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Analisis!$G$4:$G$10</c:f>
              <c:strCach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strCache>
            </c:strRef>
          </c:cat>
          <c:val>
            <c:numRef>
              <c:f>Analisis!$H$4:$H$10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#N/A</c:v>
                </c:pt>
                <c:pt idx="3">
                  <c:v>1</c:v>
                </c:pt>
                <c:pt idx="4">
                  <c:v>#N/A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5D-4502-8D0F-FA1977F74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53292192"/>
        <c:axId val="1153292552"/>
      </c:barChart>
      <c:catAx>
        <c:axId val="115329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1153292552"/>
        <c:crosses val="autoZero"/>
        <c:auto val="1"/>
        <c:lblAlgn val="ctr"/>
        <c:lblOffset val="100"/>
        <c:noMultiLvlLbl val="0"/>
      </c:catAx>
      <c:valAx>
        <c:axId val="1153292552"/>
        <c:scaling>
          <c:orientation val="minMax"/>
          <c:max val="1"/>
          <c:min val="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5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rgbClr val="002060">
                <a:alpha val="52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1153292192"/>
        <c:crosses val="autoZero"/>
        <c:crossBetween val="between"/>
        <c:majorUnit val="0.2"/>
      </c:valAx>
      <c:spPr>
        <a:noFill/>
        <a:ln>
          <a:solidFill>
            <a:schemeClr val="accent1">
              <a:alpha val="56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25_26.xlsx]Analisis!TablaDinámica6</c:name>
    <c:fmtId val="2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6094438483734206E-3"/>
              <c:y val="-1.2845479162250629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1459847024387"/>
                  <c:h val="0.45710270848989587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4555013865981248"/>
              <c:y val="2.5604916143899627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540783492517485"/>
                  <c:h val="0.45624670870955719"/>
                </c:manualLayout>
              </c15:layout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6240847549036475E-2"/>
              <c:y val="-2.775557561562891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8547489471877893"/>
              <c:y val="1.2757803310394802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3B7D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B7D23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430725151451291E-3"/>
          <c:y val="0"/>
          <c:w val="0.66313748186878507"/>
          <c:h val="0.985103757606467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Analisis!$AC$3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B7D2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7656-4B75-9947-C71385607E0E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656-4B75-9947-C71385607E0E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7656-4B75-9947-C71385607E0E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7656-4B75-9947-C71385607E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B7D23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Analisis!$AC$4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Analisis!$AC$4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56-4B75-9947-C71385607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1440992"/>
        <c:axId val="1231439912"/>
      </c:barChart>
      <c:catAx>
        <c:axId val="1231440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1439912"/>
        <c:crosses val="autoZero"/>
        <c:auto val="1"/>
        <c:lblAlgn val="ctr"/>
        <c:lblOffset val="100"/>
        <c:noMultiLvlLbl val="0"/>
      </c:catAx>
      <c:valAx>
        <c:axId val="123143991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31440992"/>
        <c:crosses val="autoZero"/>
        <c:crossBetween val="between"/>
      </c:valAx>
      <c:spPr>
        <a:solidFill>
          <a:srgbClr val="2E2F3C"/>
        </a:solidFill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25_26.xlsx]Analisis!TablaDinámica11</c:name>
    <c:fmtId val="3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700" b="1" i="0" u="none" strike="noStrike" kern="1200" baseline="0">
                  <a:solidFill>
                    <a:srgbClr val="3B7D23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194583554127477E-2"/>
          <c:y val="7.2928189485916298E-2"/>
          <c:w val="0.86032008265070636"/>
          <c:h val="0.830179755240899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Analisis!$R$3</c:f>
              <c:strCache>
                <c:ptCount val="1"/>
                <c:pt idx="0">
                  <c:v>Asistencias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Analisis!$R$4:$R$16</c:f>
              <c:numCache>
                <c:formatCode>General</c:formatCode>
                <c:ptCount val="6"/>
                <c:pt idx="0">
                  <c:v>8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F-4B5E-ABD2-39A410D14F93}"/>
            </c:ext>
          </c:extLst>
        </c:ser>
        <c:ser>
          <c:idx val="1"/>
          <c:order val="1"/>
          <c:tx>
            <c:strRef>
              <c:f>Analisis!$S$3</c:f>
              <c:strCache>
                <c:ptCount val="1"/>
                <c:pt idx="0">
                  <c:v>Penaltis provocados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Analisis!$S$4:$S$16</c:f>
              <c:numCache>
                <c:formatCode>General</c:formatCode>
                <c:ptCount val="6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F-4B5E-ABD2-39A410D14F93}"/>
            </c:ext>
          </c:extLst>
        </c:ser>
        <c:ser>
          <c:idx val="2"/>
          <c:order val="2"/>
          <c:tx>
            <c:strRef>
              <c:f>Analisis!$T$3</c:f>
              <c:strCache>
                <c:ptCount val="1"/>
                <c:pt idx="0">
                  <c:v>Exclusiones provocadas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700" b="1" i="0" u="none" strike="noStrike" kern="1200" baseline="0">
                    <a:solidFill>
                      <a:srgbClr val="3B7D23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Analisis!$T$4:$T$16</c:f>
              <c:numCache>
                <c:formatCode>General</c:formatCode>
                <c:ptCount val="6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4F-4B5E-ABD2-39A410D14F93}"/>
            </c:ext>
          </c:extLst>
        </c:ser>
        <c:ser>
          <c:idx val="3"/>
          <c:order val="3"/>
          <c:tx>
            <c:strRef>
              <c:f>Analisis!$U$3</c:f>
              <c:strCache>
                <c:ptCount val="1"/>
                <c:pt idx="0">
                  <c:v>Recuperaciones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Analisis!$U$4:$U$16</c:f>
              <c:numCache>
                <c:formatCode>General</c:formatCode>
                <c:ptCount val="6"/>
                <c:pt idx="0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4F-4B5E-ABD2-39A410D14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107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926484999433486"/>
          <c:y val="0.38223287594868161"/>
          <c:w val="0.11072545971722249"/>
          <c:h val="0.214444010862553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25_26.xlsx]Analisis!TablaDinámica1</c:name>
    <c:fmtId val="3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 anchorCtr="0">
              <a:spAutoFit/>
            </a:bodyPr>
            <a:lstStyle/>
            <a:p>
              <a:pPr algn="ctr">
                <a:defRPr lang="en-US" sz="700" b="1" i="0" u="none" strike="noStrike" kern="1200" baseline="0">
                  <a:solidFill>
                    <a:srgbClr val="3B7D23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38503157619926"/>
          <c:y val="7.2928189485916298E-2"/>
          <c:w val="0.84972339879636838"/>
          <c:h val="0.773801500639753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Analisis!$AE$4</c:f>
              <c:strCache>
                <c:ptCount val="1"/>
                <c:pt idx="0">
                  <c:v>Asistencias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Analisis!$AE$5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Analisis!$AE$5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A8-436A-A80D-3937FA7286C9}"/>
            </c:ext>
          </c:extLst>
        </c:ser>
        <c:ser>
          <c:idx val="1"/>
          <c:order val="1"/>
          <c:tx>
            <c:strRef>
              <c:f>Analisis!$AF$4</c:f>
              <c:strCache>
                <c:ptCount val="1"/>
                <c:pt idx="0">
                  <c:v>Penaltis provocados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Analisis!$AE$5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Analisis!$AF$5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A8-436A-A80D-3937FA7286C9}"/>
            </c:ext>
          </c:extLst>
        </c:ser>
        <c:ser>
          <c:idx val="2"/>
          <c:order val="2"/>
          <c:tx>
            <c:strRef>
              <c:f>Analisis!$AG$4</c:f>
              <c:strCache>
                <c:ptCount val="1"/>
                <c:pt idx="0">
                  <c:v>Exclusiones provocadas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700" b="1" i="0" u="none" strike="noStrike" kern="1200" baseline="0">
                    <a:solidFill>
                      <a:srgbClr val="3B7D23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Analisis!$AE$5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Analisis!$AG$5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A8-436A-A80D-3937FA7286C9}"/>
            </c:ext>
          </c:extLst>
        </c:ser>
        <c:ser>
          <c:idx val="3"/>
          <c:order val="3"/>
          <c:tx>
            <c:strRef>
              <c:f>Analisis!$AH$4</c:f>
              <c:strCache>
                <c:ptCount val="1"/>
                <c:pt idx="0">
                  <c:v>Recuperaciones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Analisis!$AE$5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Analisis!$AH$5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6A8-436A-A80D-3937FA728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4121072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25_26.xlsx]Analisis!TablaDinámica12</c:name>
    <c:fmtId val="3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976818462692075E-2"/>
          <c:y val="7.4971248499367552E-2"/>
          <c:w val="0.88888661262795787"/>
          <c:h val="0.767464624786879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Analisis!$X$3</c:f>
              <c:strCache>
                <c:ptCount val="1"/>
                <c:pt idx="0">
                  <c:v>Pérdidas pase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A6A6A6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Analisis!$X$4:$X$16</c:f>
              <c:numCache>
                <c:formatCode>General</c:formatCode>
                <c:ptCount val="6"/>
                <c:pt idx="0">
                  <c:v>2</c:v>
                </c:pt>
                <c:pt idx="2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7-4F6E-93D9-744260362916}"/>
            </c:ext>
          </c:extLst>
        </c:ser>
        <c:ser>
          <c:idx val="1"/>
          <c:order val="1"/>
          <c:tx>
            <c:strRef>
              <c:f>Analisis!$Y$3</c:f>
              <c:strCache>
                <c:ptCount val="1"/>
                <c:pt idx="0">
                  <c:v>Áreas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E59EDD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Analisis!$Y$4:$Y$16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3667-4F6E-93D9-744260362916}"/>
            </c:ext>
          </c:extLst>
        </c:ser>
        <c:ser>
          <c:idx val="2"/>
          <c:order val="2"/>
          <c:tx>
            <c:strRef>
              <c:f>Analisis!$Z$3</c:f>
              <c:strCache>
                <c:ptCount val="1"/>
                <c:pt idx="0">
                  <c:v>Perdidas otros</c:v>
                </c:pt>
              </c:strCache>
            </c:strRef>
          </c:tx>
          <c:spPr>
            <a:solidFill>
              <a:srgbClr val="B4E5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B4E5A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Analisis!$Z$4:$Z$16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3667-4F6E-93D9-744260362916}"/>
            </c:ext>
          </c:extLst>
        </c:ser>
        <c:ser>
          <c:idx val="3"/>
          <c:order val="3"/>
          <c:tx>
            <c:strRef>
              <c:f>Analisis!$AA$3</c:f>
              <c:strCache>
                <c:ptCount val="1"/>
                <c:pt idx="0">
                  <c:v>Exclusiones</c:v>
                </c:pt>
              </c:strCache>
            </c:strRef>
          </c:tx>
          <c:spPr>
            <a:solidFill>
              <a:srgbClr val="04FCF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04FCFC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Analisis!$AA$4:$AA$16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3667-4F6E-93D9-744260362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487648"/>
        <c:axId val="955491248"/>
      </c:barChart>
      <c:catAx>
        <c:axId val="95548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5491248"/>
        <c:crosses val="autoZero"/>
        <c:auto val="1"/>
        <c:lblAlgn val="ctr"/>
        <c:lblOffset val="100"/>
        <c:noMultiLvlLbl val="0"/>
      </c:catAx>
      <c:valAx>
        <c:axId val="95549124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rgbClr val="156082">
                  <a:alpha val="57647"/>
                </a:srgb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5487648"/>
        <c:crosses val="autoZero"/>
        <c:crossBetween val="between"/>
        <c:majorUnit val="5"/>
      </c:valAx>
      <c:spPr>
        <a:noFill/>
        <a:ln>
          <a:solidFill>
            <a:srgbClr val="2E2F3C">
              <a:alpha val="56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92268279345429072"/>
          <c:y val="0.35589291837172859"/>
          <c:w val="7.3817866736797438E-2"/>
          <c:h val="0.215723207962545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25_26.xlsx]Analisis!TablaDinámica7</c:name>
    <c:fmtId val="4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layout>
            <c:manualLayout>
              <c:x val="0"/>
              <c:y val="-2.47615482401753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803844023542445"/>
          <c:y val="2.6851656879031065E-2"/>
          <c:w val="0.66893613955457099"/>
          <c:h val="0.973148343120968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Analisis!$AJ$4</c:f>
              <c:strCache>
                <c:ptCount val="1"/>
                <c:pt idx="0">
                  <c:v>Suma de Exclusión</c:v>
                </c:pt>
              </c:strCache>
            </c:strRef>
          </c:tx>
          <c:spPr>
            <a:solidFill>
              <a:srgbClr val="04FCF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04FCFC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Analisis!$AJ$5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802-4DF1-AD87-FEBEC0DCDD1A}"/>
            </c:ext>
          </c:extLst>
        </c:ser>
        <c:ser>
          <c:idx val="1"/>
          <c:order val="1"/>
          <c:tx>
            <c:strRef>
              <c:f>Analisis!$AK$4</c:f>
              <c:strCache>
                <c:ptCount val="1"/>
                <c:pt idx="0">
                  <c:v>Suma de Pase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700" b="1" i="0" u="none" strike="noStrike" kern="1200" baseline="0">
                    <a:solidFill>
                      <a:srgbClr val="A6A6A6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Analisis!$AK$5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02-4DF1-AD87-FEBEC0DCDD1A}"/>
            </c:ext>
          </c:extLst>
        </c:ser>
        <c:ser>
          <c:idx val="2"/>
          <c:order val="2"/>
          <c:tx>
            <c:strRef>
              <c:f>Analisis!$AL$4</c:f>
              <c:strCache>
                <c:ptCount val="1"/>
                <c:pt idx="0">
                  <c:v>Suma de Área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E59EDD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Analisis!$AL$5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0802-4DF1-AD87-FEBEC0DCDD1A}"/>
            </c:ext>
          </c:extLst>
        </c:ser>
        <c:ser>
          <c:idx val="3"/>
          <c:order val="3"/>
          <c:tx>
            <c:strRef>
              <c:f>Analisis!$AM$4</c:f>
              <c:strCache>
                <c:ptCount val="1"/>
                <c:pt idx="0">
                  <c:v>Suma de Otro</c:v>
                </c:pt>
              </c:strCache>
            </c:strRef>
          </c:tx>
          <c:spPr>
            <a:solidFill>
              <a:srgbClr val="B4E5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700" b="1" i="0" u="none" strike="noStrike" kern="1200" baseline="0">
                    <a:solidFill>
                      <a:srgbClr val="B4E5A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Analisis!$AM$5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0802-4DF1-AD87-FEBEC0DCD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487648"/>
        <c:axId val="955491248"/>
      </c:barChart>
      <c:catAx>
        <c:axId val="955487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5491248"/>
        <c:crosses val="autoZero"/>
        <c:auto val="1"/>
        <c:lblAlgn val="ctr"/>
        <c:lblOffset val="100"/>
        <c:noMultiLvlLbl val="0"/>
      </c:catAx>
      <c:valAx>
        <c:axId val="955491248"/>
        <c:scaling>
          <c:orientation val="minMax"/>
          <c:max val="10"/>
        </c:scaling>
        <c:delete val="1"/>
        <c:axPos val="b"/>
        <c:numFmt formatCode="General" sourceLinked="1"/>
        <c:majorTickMark val="none"/>
        <c:minorTickMark val="none"/>
        <c:tickLblPos val="nextTo"/>
        <c:crossAx val="955487648"/>
        <c:crosses val="autoZero"/>
        <c:crossBetween val="between"/>
        <c:majorUnit val="5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25_26.xlsx]Analisis!TablaDinámica4</c:name>
    <c:fmtId val="2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330539087934877E-2"/>
          <c:y val="0.17111310378358047"/>
          <c:w val="0.88805386886301985"/>
          <c:h val="0.767373742536615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8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F1C-4AF0-BDC3-22467546BF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008000"/>
                    </a:solidFill>
                    <a:latin typeface="Fira Sans" panose="020B05030500000200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Analisis!$G$4:$G$10</c:f>
              <c:strCach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strCache>
            </c:strRef>
          </c:cat>
          <c:val>
            <c:numRef>
              <c:f>Analisis!$H$4:$H$10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#N/A</c:v>
                </c:pt>
                <c:pt idx="3">
                  <c:v>1</c:v>
                </c:pt>
                <c:pt idx="4">
                  <c:v>#N/A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1C-4AF0-BDC3-22467546B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53292192"/>
        <c:axId val="1153292552"/>
      </c:barChart>
      <c:catAx>
        <c:axId val="115329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1153292552"/>
        <c:crosses val="autoZero"/>
        <c:auto val="1"/>
        <c:lblAlgn val="ctr"/>
        <c:lblOffset val="100"/>
        <c:noMultiLvlLbl val="0"/>
      </c:catAx>
      <c:valAx>
        <c:axId val="1153292552"/>
        <c:scaling>
          <c:orientation val="minMax"/>
          <c:max val="1"/>
          <c:min val="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5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rgbClr val="002060">
                <a:alpha val="52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1153292192"/>
        <c:crosses val="autoZero"/>
        <c:crossBetween val="between"/>
        <c:majorUnit val="0.2"/>
      </c:valAx>
      <c:spPr>
        <a:noFill/>
        <a:ln>
          <a:solidFill>
            <a:schemeClr val="accent1">
              <a:alpha val="56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25_26.xlsx]Analisis!TablaDinámica6</c:name>
    <c:fmtId val="2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6094438483734206E-3"/>
              <c:y val="-1.2845479162250629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1459847024387"/>
                  <c:h val="0.45710270848989587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4555013865981248"/>
              <c:y val="2.5604916143899627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540783492517485"/>
                  <c:h val="0.45624670870955719"/>
                </c:manualLayout>
              </c15:layout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6240847549036475E-2"/>
              <c:y val="-2.775557561562891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8547489471877893"/>
              <c:y val="1.2757803310394802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3B7D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B7D23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3B7D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B7D23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3B7D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B7D23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430725151451291E-3"/>
          <c:y val="0"/>
          <c:w val="0.66313748186878507"/>
          <c:h val="0.985103757606467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Analisis!$AC$3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B7D2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573-4DAB-9CE0-0E49137567FE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573-4DAB-9CE0-0E49137567FE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573-4DAB-9CE0-0E49137567FE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573-4DAB-9CE0-0E49137567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B7D23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Analisis!$AC$4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Analisis!$AC$4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73-4DAB-9CE0-0E4913756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1440992"/>
        <c:axId val="1231439912"/>
      </c:barChart>
      <c:catAx>
        <c:axId val="1231440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1439912"/>
        <c:crosses val="autoZero"/>
        <c:auto val="1"/>
        <c:lblAlgn val="ctr"/>
        <c:lblOffset val="100"/>
        <c:noMultiLvlLbl val="0"/>
      </c:catAx>
      <c:valAx>
        <c:axId val="123143991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31440992"/>
        <c:crosses val="autoZero"/>
        <c:crossBetween val="between"/>
      </c:valAx>
      <c:spPr>
        <a:solidFill>
          <a:srgbClr val="2E2F3C"/>
        </a:solidFill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25_26.xlsx]Analisis!TablaDinámica11</c:name>
    <c:fmtId val="3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700" b="1" i="0" u="none" strike="noStrike" kern="1200" baseline="0">
                  <a:solidFill>
                    <a:srgbClr val="3B7D23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700" b="1" i="0" u="none" strike="noStrike" kern="1200" baseline="0">
                  <a:solidFill>
                    <a:srgbClr val="3B7D23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700" b="1" i="0" u="none" strike="noStrike" kern="1200" baseline="0">
                  <a:solidFill>
                    <a:srgbClr val="3B7D23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194583554127477E-2"/>
          <c:y val="7.2928189485916298E-2"/>
          <c:w val="0.86032008265070636"/>
          <c:h val="0.830179755240899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Analisis!$R$3</c:f>
              <c:strCache>
                <c:ptCount val="1"/>
                <c:pt idx="0">
                  <c:v>Asistencias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Analisis!$R$4:$R$16</c:f>
              <c:numCache>
                <c:formatCode>General</c:formatCode>
                <c:ptCount val="6"/>
                <c:pt idx="0">
                  <c:v>8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8-4EF3-B4B1-D1C0A6A48323}"/>
            </c:ext>
          </c:extLst>
        </c:ser>
        <c:ser>
          <c:idx val="1"/>
          <c:order val="1"/>
          <c:tx>
            <c:strRef>
              <c:f>Analisis!$S$3</c:f>
              <c:strCache>
                <c:ptCount val="1"/>
                <c:pt idx="0">
                  <c:v>Penaltis provocados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Analisis!$S$4:$S$16</c:f>
              <c:numCache>
                <c:formatCode>General</c:formatCode>
                <c:ptCount val="6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8-4EF3-B4B1-D1C0A6A48323}"/>
            </c:ext>
          </c:extLst>
        </c:ser>
        <c:ser>
          <c:idx val="2"/>
          <c:order val="2"/>
          <c:tx>
            <c:strRef>
              <c:f>Analisis!$T$3</c:f>
              <c:strCache>
                <c:ptCount val="1"/>
                <c:pt idx="0">
                  <c:v>Exclusiones provocadas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700" b="1" i="0" u="none" strike="noStrike" kern="1200" baseline="0">
                    <a:solidFill>
                      <a:srgbClr val="3B7D23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Analisis!$T$4:$T$16</c:f>
              <c:numCache>
                <c:formatCode>General</c:formatCode>
                <c:ptCount val="6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8-4EF3-B4B1-D1C0A6A48323}"/>
            </c:ext>
          </c:extLst>
        </c:ser>
        <c:ser>
          <c:idx val="3"/>
          <c:order val="3"/>
          <c:tx>
            <c:strRef>
              <c:f>Analisis!$U$3</c:f>
              <c:strCache>
                <c:ptCount val="1"/>
                <c:pt idx="0">
                  <c:v>Recuperaciones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Analisis!$U$4:$U$16</c:f>
              <c:numCache>
                <c:formatCode>General</c:formatCode>
                <c:ptCount val="6"/>
                <c:pt idx="0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28-4EF3-B4B1-D1C0A6A48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107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926484999433486"/>
          <c:y val="0.38223287594868161"/>
          <c:w val="0.11072545971722249"/>
          <c:h val="0.214444010862553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25_26.xlsx]Analisis!TablaDinámica1</c:name>
    <c:fmtId val="4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 anchorCtr="0">
              <a:spAutoFit/>
            </a:bodyPr>
            <a:lstStyle/>
            <a:p>
              <a:pPr algn="ctr">
                <a:defRPr lang="en-US" sz="700" b="1" i="0" u="none" strike="noStrike" kern="1200" baseline="0">
                  <a:solidFill>
                    <a:srgbClr val="3B7D23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 anchorCtr="0">
              <a:spAutoFit/>
            </a:bodyPr>
            <a:lstStyle/>
            <a:p>
              <a:pPr algn="ctr">
                <a:defRPr lang="en-US" sz="700" b="1" i="0" u="none" strike="noStrike" kern="1200" baseline="0">
                  <a:solidFill>
                    <a:srgbClr val="3B7D23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 anchorCtr="0">
              <a:spAutoFit/>
            </a:bodyPr>
            <a:lstStyle/>
            <a:p>
              <a:pPr algn="ctr">
                <a:defRPr lang="en-US" sz="700" b="1" i="0" u="none" strike="noStrike" kern="1200" baseline="0">
                  <a:solidFill>
                    <a:srgbClr val="3B7D23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38503157619926"/>
          <c:y val="7.2928189485916298E-2"/>
          <c:w val="0.84972339879636838"/>
          <c:h val="0.773801500639753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Analisis!$AE$4</c:f>
              <c:strCache>
                <c:ptCount val="1"/>
                <c:pt idx="0">
                  <c:v>Asistencias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Analisis!$AE$5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Analisis!$AE$5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6-479B-850D-84B46430675C}"/>
            </c:ext>
          </c:extLst>
        </c:ser>
        <c:ser>
          <c:idx val="1"/>
          <c:order val="1"/>
          <c:tx>
            <c:strRef>
              <c:f>Analisis!$AF$4</c:f>
              <c:strCache>
                <c:ptCount val="1"/>
                <c:pt idx="0">
                  <c:v>Penaltis provocados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Analisis!$AE$5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Analisis!$AF$5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E6-479B-850D-84B46430675C}"/>
            </c:ext>
          </c:extLst>
        </c:ser>
        <c:ser>
          <c:idx val="2"/>
          <c:order val="2"/>
          <c:tx>
            <c:strRef>
              <c:f>Analisis!$AG$4</c:f>
              <c:strCache>
                <c:ptCount val="1"/>
                <c:pt idx="0">
                  <c:v>Exclusiones provocadas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700" b="1" i="0" u="none" strike="noStrike" kern="1200" baseline="0">
                    <a:solidFill>
                      <a:srgbClr val="3B7D23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Analisis!$AE$5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Analisis!$AG$5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E6-479B-850D-84B46430675C}"/>
            </c:ext>
          </c:extLst>
        </c:ser>
        <c:ser>
          <c:idx val="3"/>
          <c:order val="3"/>
          <c:tx>
            <c:strRef>
              <c:f>Analisis!$AH$4</c:f>
              <c:strCache>
                <c:ptCount val="1"/>
                <c:pt idx="0">
                  <c:v>Recuperaciones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Analisis!$AE$5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Analisis!$AH$5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E6-479B-850D-84B464306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4121072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25_26.xlsx]Analisis!TablaDinámica12</c:name>
    <c:fmtId val="3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976818462692075E-2"/>
          <c:y val="7.4971248499367552E-2"/>
          <c:w val="0.88888661262795787"/>
          <c:h val="0.767464624786879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Analisis!$X$3</c:f>
              <c:strCache>
                <c:ptCount val="1"/>
                <c:pt idx="0">
                  <c:v>Pérdidas pase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A6A6A6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Analisis!$X$4:$X$16</c:f>
              <c:numCache>
                <c:formatCode>General</c:formatCode>
                <c:ptCount val="6"/>
                <c:pt idx="0">
                  <c:v>2</c:v>
                </c:pt>
                <c:pt idx="2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4-46E8-9FBC-612F9926ED99}"/>
            </c:ext>
          </c:extLst>
        </c:ser>
        <c:ser>
          <c:idx val="1"/>
          <c:order val="1"/>
          <c:tx>
            <c:strRef>
              <c:f>Analisis!$Y$3</c:f>
              <c:strCache>
                <c:ptCount val="1"/>
                <c:pt idx="0">
                  <c:v>Áreas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E59EDD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Analisis!$Y$4:$Y$16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A444-46E8-9FBC-612F9926ED99}"/>
            </c:ext>
          </c:extLst>
        </c:ser>
        <c:ser>
          <c:idx val="2"/>
          <c:order val="2"/>
          <c:tx>
            <c:strRef>
              <c:f>Analisis!$Z$3</c:f>
              <c:strCache>
                <c:ptCount val="1"/>
                <c:pt idx="0">
                  <c:v>Perdidas otros</c:v>
                </c:pt>
              </c:strCache>
            </c:strRef>
          </c:tx>
          <c:spPr>
            <a:solidFill>
              <a:srgbClr val="B4E5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B4E5A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Analisis!$Z$4:$Z$16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A444-46E8-9FBC-612F9926ED99}"/>
            </c:ext>
          </c:extLst>
        </c:ser>
        <c:ser>
          <c:idx val="3"/>
          <c:order val="3"/>
          <c:tx>
            <c:strRef>
              <c:f>Analisis!$AA$3</c:f>
              <c:strCache>
                <c:ptCount val="1"/>
                <c:pt idx="0">
                  <c:v>Exclusiones</c:v>
                </c:pt>
              </c:strCache>
            </c:strRef>
          </c:tx>
          <c:spPr>
            <a:solidFill>
              <a:srgbClr val="04FCF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04FCFC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Analisis!$AA$4:$AA$16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A444-46E8-9FBC-612F9926E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487648"/>
        <c:axId val="955491248"/>
      </c:barChart>
      <c:catAx>
        <c:axId val="95548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5491248"/>
        <c:crosses val="autoZero"/>
        <c:auto val="1"/>
        <c:lblAlgn val="ctr"/>
        <c:lblOffset val="100"/>
        <c:noMultiLvlLbl val="0"/>
      </c:catAx>
      <c:valAx>
        <c:axId val="95549124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rgbClr val="156082">
                  <a:alpha val="57647"/>
                </a:srgb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5487648"/>
        <c:crosses val="autoZero"/>
        <c:crossBetween val="between"/>
        <c:majorUnit val="5"/>
      </c:valAx>
      <c:spPr>
        <a:noFill/>
        <a:ln>
          <a:solidFill>
            <a:srgbClr val="2E2F3C">
              <a:alpha val="56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92268279345429072"/>
          <c:y val="0.35589291837172859"/>
          <c:w val="7.3817866736797438E-2"/>
          <c:h val="0.215723207962545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25_26.xlsx]Analisis!TablaDinámica7</c:name>
    <c:fmtId val="4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layout>
            <c:manualLayout>
              <c:x val="0"/>
              <c:y val="-2.47615482401753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803844023542445"/>
          <c:y val="2.6851656879031065E-2"/>
          <c:w val="0.66893613955457099"/>
          <c:h val="0.973148343120968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Analisis!$AJ$4</c:f>
              <c:strCache>
                <c:ptCount val="1"/>
                <c:pt idx="0">
                  <c:v>Suma de Exclusión</c:v>
                </c:pt>
              </c:strCache>
            </c:strRef>
          </c:tx>
          <c:spPr>
            <a:solidFill>
              <a:srgbClr val="04FCF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04FCFC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Analisis!$AJ$5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6DCA-4338-9FAD-5A7F6CBF215B}"/>
            </c:ext>
          </c:extLst>
        </c:ser>
        <c:ser>
          <c:idx val="1"/>
          <c:order val="1"/>
          <c:tx>
            <c:strRef>
              <c:f>Analisis!$AK$4</c:f>
              <c:strCache>
                <c:ptCount val="1"/>
                <c:pt idx="0">
                  <c:v>Suma de Pase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700" b="1" i="0" u="none" strike="noStrike" kern="1200" baseline="0">
                    <a:solidFill>
                      <a:srgbClr val="A6A6A6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Analisis!$AK$5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CA-4338-9FAD-5A7F6CBF215B}"/>
            </c:ext>
          </c:extLst>
        </c:ser>
        <c:ser>
          <c:idx val="2"/>
          <c:order val="2"/>
          <c:tx>
            <c:strRef>
              <c:f>Analisis!$AL$4</c:f>
              <c:strCache>
                <c:ptCount val="1"/>
                <c:pt idx="0">
                  <c:v>Suma de Área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E59EDD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Analisis!$AL$5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6DCA-4338-9FAD-5A7F6CBF215B}"/>
            </c:ext>
          </c:extLst>
        </c:ser>
        <c:ser>
          <c:idx val="3"/>
          <c:order val="3"/>
          <c:tx>
            <c:strRef>
              <c:f>Analisis!$AM$4</c:f>
              <c:strCache>
                <c:ptCount val="1"/>
                <c:pt idx="0">
                  <c:v>Suma de Otro</c:v>
                </c:pt>
              </c:strCache>
            </c:strRef>
          </c:tx>
          <c:spPr>
            <a:solidFill>
              <a:srgbClr val="B4E5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700" b="1" i="0" u="none" strike="noStrike" kern="1200" baseline="0">
                    <a:solidFill>
                      <a:srgbClr val="B4E5A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Analisis!$AM$5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6DCA-4338-9FAD-5A7F6CBF2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487648"/>
        <c:axId val="955491248"/>
      </c:barChart>
      <c:catAx>
        <c:axId val="955487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5491248"/>
        <c:crosses val="autoZero"/>
        <c:auto val="1"/>
        <c:lblAlgn val="ctr"/>
        <c:lblOffset val="100"/>
        <c:noMultiLvlLbl val="0"/>
      </c:catAx>
      <c:valAx>
        <c:axId val="955491248"/>
        <c:scaling>
          <c:orientation val="minMax"/>
          <c:max val="10"/>
        </c:scaling>
        <c:delete val="1"/>
        <c:axPos val="b"/>
        <c:numFmt formatCode="General" sourceLinked="1"/>
        <c:majorTickMark val="none"/>
        <c:minorTickMark val="none"/>
        <c:tickLblPos val="nextTo"/>
        <c:crossAx val="955487648"/>
        <c:crosses val="autoZero"/>
        <c:crossBetween val="between"/>
        <c:majorUnit val="5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25_26.xlsx]Analisis_Equipo!TablaDinámica1</c:name>
    <c:fmtId val="5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3B7D2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3B7D2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3B7D2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196B2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196B2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>
              <a:lumMod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196B2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513161733746789E-2"/>
          <c:y val="1.1518499685606164E-2"/>
          <c:w val="0.84095795154687014"/>
          <c:h val="0.854622599662953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Analisis_Equipo!$D$2</c:f>
              <c:strCache>
                <c:ptCount val="1"/>
                <c:pt idx="0">
                  <c:v>Suma de goles favor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Analisis_Equipo!$C$3:$C$15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Analisis_Equipo!$D$3:$D$15</c:f>
              <c:numCache>
                <c:formatCode>General</c:formatCode>
                <c:ptCount val="6"/>
                <c:pt idx="0">
                  <c:v>39</c:v>
                </c:pt>
                <c:pt idx="1">
                  <c:v>48</c:v>
                </c:pt>
                <c:pt idx="2">
                  <c:v>49</c:v>
                </c:pt>
                <c:pt idx="3">
                  <c:v>50</c:v>
                </c:pt>
                <c:pt idx="4">
                  <c:v>37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2-46EF-A8D0-B4D84E1D2238}"/>
            </c:ext>
          </c:extLst>
        </c:ser>
        <c:ser>
          <c:idx val="1"/>
          <c:order val="1"/>
          <c:tx>
            <c:strRef>
              <c:f>Analisis_Equipo!$E$2</c:f>
              <c:strCache>
                <c:ptCount val="1"/>
                <c:pt idx="0">
                  <c:v>Suma de lanzamientos realizados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C04F15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Analisis_Equipo!$C$3:$C$15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Analisis_Equipo!$E$3:$E$15</c:f>
              <c:numCache>
                <c:formatCode>General</c:formatCode>
                <c:ptCount val="6"/>
                <c:pt idx="0">
                  <c:v>50</c:v>
                </c:pt>
                <c:pt idx="1">
                  <c:v>54</c:v>
                </c:pt>
                <c:pt idx="2">
                  <c:v>55</c:v>
                </c:pt>
                <c:pt idx="3">
                  <c:v>66</c:v>
                </c:pt>
                <c:pt idx="4">
                  <c:v>43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32-46EF-A8D0-B4D84E1D2238}"/>
            </c:ext>
          </c:extLst>
        </c:ser>
        <c:ser>
          <c:idx val="2"/>
          <c:order val="2"/>
          <c:tx>
            <c:strRef>
              <c:f>Analisis_Equipo!$F$2</c:f>
              <c:strCache>
                <c:ptCount val="1"/>
                <c:pt idx="0">
                  <c:v>Suma de eficiencia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196B2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Analisis_Equipo!$C$3:$C$15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Analisis_Equipo!$F$3:$F$15</c:f>
              <c:numCache>
                <c:formatCode>0</c:formatCode>
                <c:ptCount val="6"/>
                <c:pt idx="0">
                  <c:v>78</c:v>
                </c:pt>
                <c:pt idx="1">
                  <c:v>88.888888888888886</c:v>
                </c:pt>
                <c:pt idx="2">
                  <c:v>89.090909090909093</c:v>
                </c:pt>
                <c:pt idx="3">
                  <c:v>75.757575757575751</c:v>
                </c:pt>
                <c:pt idx="4">
                  <c:v>86.04651162790698</c:v>
                </c:pt>
                <c:pt idx="5">
                  <c:v>91.304347826086953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32-46EF-A8D0-B4D84E1D2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2152872"/>
        <c:axId val="882153592"/>
      </c:barChart>
      <c:catAx>
        <c:axId val="882152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effectLst/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882153592"/>
        <c:crosses val="autoZero"/>
        <c:auto val="0"/>
        <c:lblAlgn val="ctr"/>
        <c:lblOffset val="100"/>
        <c:noMultiLvlLbl val="0"/>
      </c:catAx>
      <c:valAx>
        <c:axId val="882153592"/>
        <c:scaling>
          <c:orientation val="minMax"/>
          <c:max val="100"/>
          <c:min val="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bg1"/>
                </a:solidFill>
                <a:effectLst/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882152872"/>
        <c:crosses val="autoZero"/>
        <c:crossBetween val="between"/>
        <c:majorUnit val="10"/>
      </c:valAx>
      <c:spPr>
        <a:noFill/>
        <a:ln>
          <a:solidFill>
            <a:schemeClr val="accent1">
              <a:alpha val="58000"/>
            </a:schemeClr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ayout>
        <c:manualLayout>
          <c:xMode val="edge"/>
          <c:yMode val="edge"/>
          <c:x val="0.86191943689181316"/>
          <c:y val="0.23557146941556134"/>
          <c:w val="0.13620496898385673"/>
          <c:h val="0.5019349860582962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 rot="60000"/>
    <a:lstStyle/>
    <a:p>
      <a:pPr>
        <a:defRPr>
          <a:effectLst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25_26.xlsx]Analisis_Equipo!TablaDinámica2</c:name>
    <c:fmtId val="4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6094438483734206E-3"/>
              <c:y val="-1.2845479162250629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1459847024387"/>
                  <c:h val="0.45710270848989587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4555013865981248"/>
              <c:y val="2.5604916143899627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540783492517485"/>
                  <c:h val="0.45624670870955719"/>
                </c:manualLayout>
              </c15:layout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6240847549036475E-2"/>
              <c:y val="-2.775557561562891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8547489471877893"/>
              <c:y val="1.2757803310394802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4E95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9965660972291211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498979184034403"/>
                  <c:h val="0.32871139801821869"/>
                </c:manualLayout>
              </c15:layout>
            </c:ext>
          </c:extLst>
        </c:dLbl>
      </c:pivotFmt>
      <c:pivotFmt>
        <c:idx val="21"/>
        <c:spPr>
          <a:solidFill>
            <a:srgbClr val="4E95D9"/>
          </a:solidFill>
          <a:ln>
            <a:noFill/>
          </a:ln>
          <a:effectLst/>
        </c:spPr>
        <c:dLbl>
          <c:idx val="0"/>
          <c:layout>
            <c:manualLayout>
              <c:x val="-9.913126579271328E-2"/>
              <c:y val="4.6314743415174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358973955185832"/>
                  <c:h val="0.29675654867189838"/>
                </c:manualLayout>
              </c15:layout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8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2.7427488499665312E-2"/>
              <c:y val="-3.03370169177332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8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710407532989221"/>
                  <c:h val="0.42428107994477005"/>
                </c:manualLayout>
              </c15:layout>
            </c:ext>
          </c:extLst>
        </c:dLbl>
      </c:pivotFmt>
      <c:pivotFmt>
        <c:idx val="24"/>
        <c:spPr>
          <a:solidFill>
            <a:srgbClr val="4E95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4E95D9"/>
          </a:solidFill>
          <a:ln>
            <a:noFill/>
          </a:ln>
          <a:effectLst/>
        </c:spPr>
        <c:dLbl>
          <c:idx val="0"/>
          <c:layout>
            <c:manualLayout>
              <c:x val="-9.913126579271328E-2"/>
              <c:y val="4.6314743415174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358973955185832"/>
                  <c:h val="0.29675654867189838"/>
                </c:manualLayout>
              </c15:layout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9965660972291211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498979184034403"/>
                  <c:h val="0.32871139801821869"/>
                </c:manualLayout>
              </c15:layout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8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2.7427488499665312E-2"/>
              <c:y val="-3.03370169177332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8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710407532989221"/>
                  <c:h val="0.42428107994477005"/>
                </c:manualLayout>
              </c15:layout>
            </c:ext>
          </c:extLst>
        </c:dLbl>
      </c:pivotFmt>
      <c:pivotFmt>
        <c:idx val="30"/>
        <c:spPr>
          <a:solidFill>
            <a:srgbClr val="4E95D9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4E95D9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9.913126579271328E-2"/>
              <c:y val="4.6314743415174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358973955185832"/>
                  <c:h val="0.29675654867189838"/>
                </c:manualLayout>
              </c15:layout>
            </c:ext>
          </c:extLst>
        </c:dLbl>
      </c:pivotFmt>
      <c:pivotFmt>
        <c:idx val="3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2.9965660972291211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498979184034403"/>
                  <c:h val="0.32871139801821869"/>
                </c:manualLayout>
              </c15:layout>
            </c:ext>
          </c:extLst>
        </c:dLbl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8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3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2.7427488499665312E-2"/>
              <c:y val="-3.03370169177332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8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710407532989221"/>
                  <c:h val="0.42428107994477005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87366838116404"/>
          <c:y val="0.12781610583576133"/>
          <c:w val="0.67754207227850671"/>
          <c:h val="0.750058298570111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Analisis_Equipo!$G$2</c:f>
              <c:strCache>
                <c:ptCount val="1"/>
                <c:pt idx="0">
                  <c:v>Suma de goles favor</c:v>
                </c:pt>
              </c:strCache>
            </c:strRef>
          </c:tx>
          <c:spPr>
            <a:solidFill>
              <a:srgbClr val="4E95D9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E95D9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4F-4E97-A698-01478EC01AB5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A4F-4E97-A698-01478EC01AB5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A4F-4E97-A698-01478EC01AB5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A4F-4E97-A698-01478EC01AB5}"/>
              </c:ext>
            </c:extLst>
          </c:dPt>
          <c:dLbls>
            <c:dLbl>
              <c:idx val="0"/>
              <c:layout>
                <c:manualLayout>
                  <c:x val="-9.913126579271328E-2"/>
                  <c:y val="4.63147434151749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358973955185832"/>
                      <c:h val="0.296756548671898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A4F-4E97-A698-01478EC01A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Analisis_Equipo!$G$3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Analisis_Equipo!$G$3</c:f>
              <c:numCache>
                <c:formatCode>General</c:formatCode>
                <c:ptCount val="1"/>
                <c:pt idx="0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4F-4E97-A698-01478EC01AB5}"/>
            </c:ext>
          </c:extLst>
        </c:ser>
        <c:ser>
          <c:idx val="1"/>
          <c:order val="1"/>
          <c:tx>
            <c:strRef>
              <c:f>Analisis_Equipo!$H$2</c:f>
              <c:strCache>
                <c:ptCount val="1"/>
                <c:pt idx="0">
                  <c:v>Suma de lanzamientos realizados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4F-4E97-A698-01478EC01AB5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8A4F-4E97-A698-01478EC01AB5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A4F-4E97-A698-01478EC01AB5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8A4F-4E97-A698-01478EC01AB5}"/>
              </c:ext>
            </c:extLst>
          </c:dPt>
          <c:dLbls>
            <c:dLbl>
              <c:idx val="0"/>
              <c:layout>
                <c:manualLayout>
                  <c:x val="-2.9965660972291211E-4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498979184034403"/>
                      <c:h val="0.328711398018218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A4F-4E97-A698-01478EC01A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Analisis_Equipo!$G$3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Analisis_Equipo!$H$3</c:f>
              <c:numCache>
                <c:formatCode>General</c:formatCode>
                <c:ptCount val="1"/>
                <c:pt idx="0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A4F-4E97-A698-01478EC01AB5}"/>
            </c:ext>
          </c:extLst>
        </c:ser>
        <c:ser>
          <c:idx val="2"/>
          <c:order val="2"/>
          <c:tx>
            <c:strRef>
              <c:f>Analisis_Equipo!$I$2</c:f>
              <c:strCache>
                <c:ptCount val="1"/>
                <c:pt idx="0">
                  <c:v>Suma de Campo11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A4F-4E97-A698-01478EC01AB5}"/>
              </c:ext>
            </c:extLst>
          </c:dPt>
          <c:dLbls>
            <c:dLbl>
              <c:idx val="0"/>
              <c:layout>
                <c:manualLayout>
                  <c:x val="-2.7427488499665312E-2"/>
                  <c:y val="-3.03370169177332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10407532989221"/>
                      <c:h val="0.424281079944770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8A4F-4E97-A698-01478EC01A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8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Analisis_Equipo!$G$3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Analisis_Equipo!$I$3</c:f>
              <c:numCache>
                <c:formatCode>0</c:formatCode>
                <c:ptCount val="1"/>
                <c:pt idx="0">
                  <c:v>84.394904458598731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A4F-4E97-A698-01478EC01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1440992"/>
        <c:axId val="1231439912"/>
      </c:barChart>
      <c:catAx>
        <c:axId val="1231440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1439912"/>
        <c:crosses val="autoZero"/>
        <c:auto val="1"/>
        <c:lblAlgn val="ctr"/>
        <c:lblOffset val="100"/>
        <c:noMultiLvlLbl val="0"/>
      </c:catAx>
      <c:valAx>
        <c:axId val="1231439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1440992"/>
        <c:crosses val="autoZero"/>
        <c:crossBetween val="between"/>
      </c:valAx>
      <c:spPr>
        <a:solidFill>
          <a:srgbClr val="2E2F3C"/>
        </a:solidFill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25_26.xlsx]Analisis_Equipo!TablaDinámica6</c:name>
    <c:fmtId val="3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FFFF00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3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4"/>
          </a:solidFill>
          <a:ln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659058052225256E-2"/>
          <c:y val="2.5402661541859096E-2"/>
          <c:w val="0.81239222481057205"/>
          <c:h val="0.885853253188700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Analisis_Equipo!$U$2</c:f>
              <c:strCache>
                <c:ptCount val="1"/>
                <c:pt idx="0">
                  <c:v>Asistencias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Analisis_Equipo!$T$3:$T$15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Analisis_Equipo!$U$3:$U$15</c:f>
              <c:numCache>
                <c:formatCode>General</c:formatCode>
                <c:ptCount val="6"/>
                <c:pt idx="0">
                  <c:v>24</c:v>
                </c:pt>
                <c:pt idx="1">
                  <c:v>28</c:v>
                </c:pt>
                <c:pt idx="2">
                  <c:v>25</c:v>
                </c:pt>
                <c:pt idx="3">
                  <c:v>25</c:v>
                </c:pt>
                <c:pt idx="4">
                  <c:v>27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E-42FA-96CC-ACC769899D44}"/>
            </c:ext>
          </c:extLst>
        </c:ser>
        <c:ser>
          <c:idx val="1"/>
          <c:order val="1"/>
          <c:tx>
            <c:strRef>
              <c:f>Analisis_Equipo!$V$2</c:f>
              <c:strCache>
                <c:ptCount val="1"/>
                <c:pt idx="0">
                  <c:v>Penaltis provocados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Analisis_Equipo!$T$3:$T$15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Analisis_Equipo!$V$3:$V$15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8E-42FA-96CC-ACC769899D44}"/>
            </c:ext>
          </c:extLst>
        </c:ser>
        <c:ser>
          <c:idx val="2"/>
          <c:order val="2"/>
          <c:tx>
            <c:strRef>
              <c:f>Analisis_Equipo!$W$2</c:f>
              <c:strCache>
                <c:ptCount val="1"/>
                <c:pt idx="0">
                  <c:v>Exclusiones provocadas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196B24"/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Analisis_Equipo!$T$3:$T$15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Analisis_Equipo!$W$3:$W$15</c:f>
              <c:numCache>
                <c:formatCode>General</c:formatCode>
                <c:ptCount val="6"/>
                <c:pt idx="0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8E-42FA-96CC-ACC769899D44}"/>
            </c:ext>
          </c:extLst>
        </c:ser>
        <c:ser>
          <c:idx val="3"/>
          <c:order val="3"/>
          <c:tx>
            <c:strRef>
              <c:f>Analisis_Equipo!$X$2</c:f>
              <c:strCache>
                <c:ptCount val="1"/>
                <c:pt idx="0">
                  <c:v>Recuperaciones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Analisis_Equipo!$T$3:$T$15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Analisis_Equipo!$X$3:$X$15</c:f>
              <c:numCache>
                <c:formatCode>General</c:formatCode>
                <c:ptCount val="6"/>
                <c:pt idx="0">
                  <c:v>12</c:v>
                </c:pt>
                <c:pt idx="1">
                  <c:v>19</c:v>
                </c:pt>
                <c:pt idx="2">
                  <c:v>23</c:v>
                </c:pt>
                <c:pt idx="3">
                  <c:v>20</c:v>
                </c:pt>
                <c:pt idx="4">
                  <c:v>12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8E-42FA-96CC-ACC769899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0"/>
        <c:axPos val="b"/>
        <c:majorGridlines>
          <c:spPr>
            <a:ln w="28575"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1072"/>
        <c:crosses val="autoZero"/>
        <c:crossBetween val="between"/>
        <c:majorUnit val="5"/>
      </c:valAx>
      <c:spPr>
        <a:solidFill>
          <a:srgbClr val="2E2F3C"/>
        </a:solidFill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ayout>
        <c:manualLayout>
          <c:xMode val="edge"/>
          <c:yMode val="edge"/>
          <c:x val="0.86584364074125952"/>
          <c:y val="0.15193017128856506"/>
          <c:w val="0.13415624116512109"/>
          <c:h val="0.7359179946783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25_26.xlsx]Analisis_Equipo!TablaDinámica5</c:name>
    <c:fmtId val="3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FFFF00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3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196B24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061530179802956"/>
          <c:y val="6.6148672093954364E-2"/>
          <c:w val="0.4125438157169119"/>
          <c:h val="0.773801500639753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Analisis_Equipo!$AP$4</c:f>
              <c:strCache>
                <c:ptCount val="1"/>
                <c:pt idx="0">
                  <c:v>Asistencias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Analisis_Equipo!$AP$5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Analisis_Equipo!$AP$5</c:f>
              <c:numCache>
                <c:formatCode>General</c:formatCode>
                <c:ptCount val="1"/>
                <c:pt idx="0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2-42BD-AFBF-1E52F47A2E33}"/>
            </c:ext>
          </c:extLst>
        </c:ser>
        <c:ser>
          <c:idx val="1"/>
          <c:order val="1"/>
          <c:tx>
            <c:strRef>
              <c:f>Analisis_Equipo!$AQ$4</c:f>
              <c:strCache>
                <c:ptCount val="1"/>
                <c:pt idx="0">
                  <c:v>Penaltis provocados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Analisis_Equipo!$AP$5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Analisis_Equipo!$AQ$5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B2-42BD-AFBF-1E52F47A2E33}"/>
            </c:ext>
          </c:extLst>
        </c:ser>
        <c:ser>
          <c:idx val="2"/>
          <c:order val="2"/>
          <c:tx>
            <c:strRef>
              <c:f>Analisis_Equipo!$AR$4</c:f>
              <c:strCache>
                <c:ptCount val="1"/>
                <c:pt idx="0">
                  <c:v>Exclusiones provocadas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196B24"/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Analisis_Equipo!$AP$5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Analisis_Equipo!$AR$5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B2-42BD-AFBF-1E52F47A2E33}"/>
            </c:ext>
          </c:extLst>
        </c:ser>
        <c:ser>
          <c:idx val="3"/>
          <c:order val="3"/>
          <c:tx>
            <c:strRef>
              <c:f>Analisis_Equipo!$AS$4</c:f>
              <c:strCache>
                <c:ptCount val="1"/>
                <c:pt idx="0">
                  <c:v>Recuperaciones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Analisis_Equipo!$AP$5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Analisis_Equipo!$AS$5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B2-42BD-AFBF-1E52F47A2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4121072"/>
        <c:crosses val="autoZero"/>
        <c:crossBetween val="between"/>
        <c:majorUnit val="5"/>
      </c:valAx>
      <c:spPr>
        <a:solidFill>
          <a:srgbClr val="2E2F3C"/>
        </a:solidFill>
        <a:ln>
          <a:noFill/>
        </a:ln>
      </c:spPr>
    </c:plotArea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25_26.xlsx]Analisis_Equipo!TablaDinámica7</c:name>
    <c:fmtId val="3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B4E5A2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B4E5A2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bg1">
              <a:lumMod val="6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6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B4E5A2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04FCFC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3658016489625138E-2"/>
          <c:y val="4.5966839041096788E-2"/>
          <c:w val="0.87056417242212147"/>
          <c:h val="0.858056065431341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Analisis_Equipo!$AA$2</c:f>
              <c:strCache>
                <c:ptCount val="1"/>
                <c:pt idx="0">
                  <c:v>Pérdidas pase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A6A6A6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Analisis_Equipo!$Z$3:$Z$15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Analisis_Equipo!$AA$3:$AA$15</c:f>
              <c:numCache>
                <c:formatCode>General</c:formatCode>
                <c:ptCount val="6"/>
                <c:pt idx="0">
                  <c:v>10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E-43EC-91AE-D48D5A151417}"/>
            </c:ext>
          </c:extLst>
        </c:ser>
        <c:ser>
          <c:idx val="1"/>
          <c:order val="1"/>
          <c:tx>
            <c:strRef>
              <c:f>Analisis_Equipo!$AB$2</c:f>
              <c:strCache>
                <c:ptCount val="1"/>
                <c:pt idx="0">
                  <c:v>Áreas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E59EDD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Analisis_Equipo!$Z$3:$Z$15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Analisis_Equipo!$AB$3:$AB$15</c:f>
              <c:numCache>
                <c:formatCode>General</c:formatCode>
                <c:ptCount val="6"/>
                <c:pt idx="0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CE-43EC-91AE-D48D5A151417}"/>
            </c:ext>
          </c:extLst>
        </c:ser>
        <c:ser>
          <c:idx val="2"/>
          <c:order val="2"/>
          <c:tx>
            <c:strRef>
              <c:f>Analisis_Equipo!$AC$2</c:f>
              <c:strCache>
                <c:ptCount val="1"/>
                <c:pt idx="0">
                  <c:v>Perdidas otros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B4E5A2"/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Analisis_Equipo!$Z$3:$Z$15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Analisis_Equipo!$AC$3:$AC$15</c:f>
              <c:numCache>
                <c:formatCode>General</c:formatCode>
                <c:ptCount val="6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CE-43EC-91AE-D48D5A151417}"/>
            </c:ext>
          </c:extLst>
        </c:ser>
        <c:ser>
          <c:idx val="3"/>
          <c:order val="3"/>
          <c:tx>
            <c:strRef>
              <c:f>Analisis_Equipo!$AD$2</c:f>
              <c:strCache>
                <c:ptCount val="1"/>
                <c:pt idx="0">
                  <c:v>Exclusiones</c:v>
                </c:pt>
              </c:strCache>
            </c:strRef>
          </c:tx>
          <c:spPr>
            <a:solidFill>
              <a:srgbClr val="04FCFC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04FCFC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Analisis_Equipo!$Z$3:$Z$15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Analisis_Equipo!$AD$3:$AD$15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CE-43EC-91AE-D48D5A151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0"/>
        <c:axPos val="b"/>
        <c:majorGridlines>
          <c:spPr>
            <a:ln w="28575"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1072"/>
        <c:crosses val="autoZero"/>
        <c:crossBetween val="between"/>
        <c:majorUnit val="5"/>
      </c:valAx>
      <c:spPr>
        <a:solidFill>
          <a:srgbClr val="2E2F3C"/>
        </a:solidFill>
      </c:spPr>
    </c:plotArea>
    <c:legend>
      <c:legendPos val="r"/>
      <c:layout>
        <c:manualLayout>
          <c:xMode val="edge"/>
          <c:yMode val="edge"/>
          <c:x val="0.89571482139685354"/>
          <c:y val="0.15193024786709841"/>
          <c:w val="0.10428506112889932"/>
          <c:h val="0.7359179946783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25_26.xlsx]Analisis_Equipo!TablaDinámica10</c:name>
    <c:fmtId val="4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B4E5A2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B4E5A2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B4E5A2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B4E5A2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B4E5A2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bg1">
              <a:lumMod val="6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6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 b="1">
                  <a:solidFill>
                    <a:srgbClr val="B4E5A2"/>
                  </a:solidFill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04FCFC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3658016489625138E-2"/>
          <c:y val="4.5966839041096788E-2"/>
          <c:w val="0.87056417242212147"/>
          <c:h val="0.858056065431341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Analisis_Equipo!$AU$4</c:f>
              <c:strCache>
                <c:ptCount val="1"/>
                <c:pt idx="0">
                  <c:v>Pérdidas pase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A6A6A6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Analisis_Equipo!$AU$5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Analisis_Equipo!$AU$5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CE-4F46-82BA-BFD03AF21C19}"/>
            </c:ext>
          </c:extLst>
        </c:ser>
        <c:ser>
          <c:idx val="1"/>
          <c:order val="1"/>
          <c:tx>
            <c:strRef>
              <c:f>Analisis_Equipo!$AV$4</c:f>
              <c:strCache>
                <c:ptCount val="1"/>
                <c:pt idx="0">
                  <c:v>Áreas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E59EDD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Analisis_Equipo!$AU$5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Analisis_Equipo!$AV$5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ECE-4F46-82BA-BFD03AF21C19}"/>
            </c:ext>
          </c:extLst>
        </c:ser>
        <c:ser>
          <c:idx val="2"/>
          <c:order val="2"/>
          <c:tx>
            <c:strRef>
              <c:f>Analisis_Equipo!$AW$4</c:f>
              <c:strCache>
                <c:ptCount val="1"/>
                <c:pt idx="0">
                  <c:v>Perdidas otros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B4E5A2"/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Analisis_Equipo!$AU$5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Analisis_Equipo!$AW$5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ECE-4F46-82BA-BFD03AF21C19}"/>
            </c:ext>
          </c:extLst>
        </c:ser>
        <c:ser>
          <c:idx val="3"/>
          <c:order val="3"/>
          <c:tx>
            <c:strRef>
              <c:f>Analisis_Equipo!$AX$4</c:f>
              <c:strCache>
                <c:ptCount val="1"/>
                <c:pt idx="0">
                  <c:v>Exclusiones</c:v>
                </c:pt>
              </c:strCache>
            </c:strRef>
          </c:tx>
          <c:spPr>
            <a:solidFill>
              <a:srgbClr val="04FCFC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04FCFC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Analisis_Equipo!$AU$5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Analisis_Equipo!$AX$5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ECE-4F46-82BA-BFD03AF21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4121072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25_26.xlsx]Analisis!TablaDinámica2</c:name>
    <c:fmtId val="3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C04F1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878372273137988"/>
          <c:y val="5.1900823647078972E-2"/>
          <c:w val="0.83820428224009802"/>
          <c:h val="0.719780181465350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Analisis!$D$3</c:f>
              <c:strCache>
                <c:ptCount val="1"/>
                <c:pt idx="0">
                  <c:v>Suma de Goles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Analisis!$C$4:$C$16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Analisis!$D$4:$D$16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F-43AB-BD19-A9924A69159B}"/>
            </c:ext>
          </c:extLst>
        </c:ser>
        <c:ser>
          <c:idx val="1"/>
          <c:order val="1"/>
          <c:tx>
            <c:strRef>
              <c:f>Analisis!$E$3</c:f>
              <c:strCache>
                <c:ptCount val="1"/>
                <c:pt idx="0">
                  <c:v>Suma de Lanzam.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C04F15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Analisis!$C$4:$C$16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Analisis!$E$4:$E$16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5F-43AB-BD19-A9924A69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2152872"/>
        <c:axId val="882153592"/>
      </c:barChart>
      <c:catAx>
        <c:axId val="882152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effectLst/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882153592"/>
        <c:crosses val="autoZero"/>
        <c:auto val="0"/>
        <c:lblAlgn val="ctr"/>
        <c:lblOffset val="100"/>
        <c:noMultiLvlLbl val="0"/>
      </c:catAx>
      <c:valAx>
        <c:axId val="882153592"/>
        <c:scaling>
          <c:orientation val="minMax"/>
          <c:max val="25"/>
          <c:min val="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bg1"/>
                </a:solidFill>
                <a:effectLst/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882152872"/>
        <c:crosses val="autoZero"/>
        <c:crossBetween val="between"/>
        <c:majorUnit val="5"/>
      </c:valAx>
      <c:spPr>
        <a:noFill/>
        <a:ln>
          <a:solidFill>
            <a:schemeClr val="accent1">
              <a:alpha val="58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E2F3C"/>
    </a:solidFill>
    <a:ln w="9525" cap="flat" cmpd="sng" algn="ctr">
      <a:noFill/>
      <a:round/>
    </a:ln>
    <a:effectLst/>
  </c:spPr>
  <c:txPr>
    <a:bodyPr rot="60000"/>
    <a:lstStyle/>
    <a:p>
      <a:pPr>
        <a:defRPr>
          <a:effectLst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25_26.xlsx]Analisis!TablaDinámica4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bg1"/>
                </a:solidFill>
                <a:latin typeface="Fira Sans" panose="020B0503050000020004" pitchFamily="34" charset="0"/>
              </a:rPr>
              <a:t>eficiencia (%)</a:t>
            </a:r>
          </a:p>
        </c:rich>
      </c:tx>
      <c:layout>
        <c:manualLayout>
          <c:xMode val="edge"/>
          <c:yMode val="edge"/>
          <c:x val="0.3102208611264356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1"/>
      </c:pivotFmt>
      <c:pivotFmt>
        <c:idx val="12"/>
        <c:spPr>
          <a:solidFill>
            <a:srgbClr val="008000"/>
          </a:solidFill>
          <a:ln>
            <a:noFill/>
          </a:ln>
          <a:effectLst/>
        </c:spPr>
      </c:pivotFmt>
      <c:pivotFmt>
        <c:idx val="13"/>
        <c:spPr>
          <a:solidFill>
            <a:srgbClr val="008000"/>
          </a:solidFill>
          <a:ln>
            <a:noFill/>
          </a:ln>
          <a:effectLst/>
        </c:spPr>
      </c:pivotFmt>
      <c:pivotFmt>
        <c:idx val="14"/>
        <c:spPr>
          <a:solidFill>
            <a:srgbClr val="008000"/>
          </a:solidFill>
          <a:ln>
            <a:noFill/>
          </a:ln>
          <a:effectLst/>
        </c:spPr>
      </c:pivotFmt>
      <c:pivotFmt>
        <c:idx val="15"/>
        <c:spPr>
          <a:solidFill>
            <a:srgbClr val="008000"/>
          </a:solidFill>
          <a:ln>
            <a:noFill/>
          </a:ln>
          <a:effectLst/>
        </c:spPr>
      </c:pivotFmt>
      <c:pivotFmt>
        <c:idx val="16"/>
        <c:spPr>
          <a:solidFill>
            <a:srgbClr val="008000"/>
          </a:solidFill>
          <a:ln>
            <a:noFill/>
          </a:ln>
          <a:effectLst/>
        </c:spPr>
      </c:pivotFmt>
      <c:pivotFmt>
        <c:idx val="17"/>
      </c:pivotFmt>
      <c:pivotFmt>
        <c:idx val="18"/>
      </c:pivotFmt>
      <c:pivotFmt>
        <c:idx val="19"/>
        <c:spPr>
          <a:solidFill>
            <a:srgbClr val="008000"/>
          </a:solidFill>
          <a:ln>
            <a:noFill/>
          </a:ln>
          <a:effectLst/>
        </c:spPr>
      </c:pivotFmt>
      <c:pivotFmt>
        <c:idx val="20"/>
      </c:pivotFmt>
      <c:pivotFmt>
        <c:idx val="21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rgbClr val="008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8000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7739493025589972E-2"/>
          <c:y val="0.3449830125027713"/>
          <c:w val="0.88119667290975645"/>
          <c:h val="0.52595794770527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8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65-4A5C-9B8B-6BAB2382ED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008000"/>
                    </a:solidFill>
                    <a:latin typeface="Fira Sans" panose="020B05030500000200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Analisis!$G$4:$G$10</c:f>
              <c:strCach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strCache>
            </c:strRef>
          </c:cat>
          <c:val>
            <c:numRef>
              <c:f>Analisis!$H$4:$H$10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#N/A</c:v>
                </c:pt>
                <c:pt idx="3">
                  <c:v>1</c:v>
                </c:pt>
                <c:pt idx="4">
                  <c:v>#N/A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5-4A5C-9B8B-6BAB2382E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53292192"/>
        <c:axId val="1153292552"/>
      </c:barChart>
      <c:catAx>
        <c:axId val="115329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1153292552"/>
        <c:crosses val="autoZero"/>
        <c:auto val="1"/>
        <c:lblAlgn val="ctr"/>
        <c:lblOffset val="100"/>
        <c:noMultiLvlLbl val="0"/>
      </c:catAx>
      <c:valAx>
        <c:axId val="1153292552"/>
        <c:scaling>
          <c:orientation val="minMax"/>
          <c:max val="1"/>
          <c:min val="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alpha val="5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rgbClr val="002060">
                <a:alpha val="52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Fira Sans" panose="020B0503050000020004" pitchFamily="34" charset="0"/>
                <a:ea typeface="+mn-ea"/>
                <a:cs typeface="+mn-cs"/>
              </a:defRPr>
            </a:pPr>
            <a:endParaRPr lang="es-ES"/>
          </a:p>
        </c:txPr>
        <c:crossAx val="1153292192"/>
        <c:crosses val="autoZero"/>
        <c:crossBetween val="between"/>
        <c:majorUnit val="0.2"/>
      </c:valAx>
      <c:spPr>
        <a:noFill/>
        <a:ln>
          <a:solidFill>
            <a:schemeClr val="accent1">
              <a:alpha val="56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25_26.xlsx]Analisis!TablaDinámica3</c:name>
    <c:fmtId val="3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6094438483734206E-3"/>
              <c:y val="-1.2845479162250629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1459847024387"/>
                  <c:h val="0.45710270848989587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4555013865981248"/>
              <c:y val="2.5604916143899627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540783492517485"/>
                  <c:h val="0.45624670870955719"/>
                </c:manualLayout>
              </c15:layout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6240847549036475E-2"/>
              <c:y val="-2.775557561562891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8547489471877893"/>
              <c:y val="1.2757803310394802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238236512163799"/>
                  <c:h val="0.4531826891918441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4555013865981248"/>
              <c:y val="2.5604916143899627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540783492517485"/>
                  <c:h val="0.45624670870955719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6094438483734206E-3"/>
              <c:y val="-1.2845479162250629E-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1459847024387"/>
                  <c:h val="0.45710270848989587"/>
                </c:manualLayout>
              </c15:layout>
            </c:ext>
          </c:extLst>
        </c:dLbl>
      </c:pivotFmt>
      <c:pivotFmt>
        <c:idx val="12"/>
      </c:pivotFmt>
      <c:pivotFmt>
        <c:idx val="13"/>
        <c:dLbl>
          <c:idx val="0"/>
          <c:layout>
            <c:manualLayout>
              <c:x val="-1.7837145457473627E-2"/>
              <c:y val="-4.617851989623716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016209798538572"/>
                  <c:h val="0.44971388058945655"/>
                </c:manualLayout>
              </c15:layout>
            </c:ext>
          </c:extLst>
        </c:dLbl>
      </c:pivotFmt>
      <c:pivotFmt>
        <c:idx val="14"/>
      </c:pivotFmt>
      <c:pivotFmt>
        <c:idx val="15"/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</c:pivotFmt>
      <c:pivotFmt>
        <c:idx val="22"/>
      </c:pivotFmt>
      <c:pivotFmt>
        <c:idx val="23"/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210357476414136E-2"/>
          <c:y val="0"/>
          <c:w val="0.97603833865814693"/>
          <c:h val="0.985103757606467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Analisis!$K$3</c:f>
              <c:strCache>
                <c:ptCount val="1"/>
                <c:pt idx="0">
                  <c:v>Suma de Goles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584-43E6-A76E-35306EBC337D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584-43E6-A76E-35306EBC337D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584-43E6-A76E-35306EBC337D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584-43E6-A76E-35306EBC33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Analisis!$J$4:$J$5</c:f>
              <c:strCache>
                <c:ptCount val="1"/>
                <c:pt idx="0">
                  <c:v>A. Espeso</c:v>
                </c:pt>
              </c:strCache>
            </c:strRef>
          </c:cat>
          <c:val>
            <c:numRef>
              <c:f>Analisis!$K$4:$K$5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84-43E6-A76E-35306EBC337D}"/>
            </c:ext>
          </c:extLst>
        </c:ser>
        <c:ser>
          <c:idx val="1"/>
          <c:order val="1"/>
          <c:tx>
            <c:strRef>
              <c:f>Analisis!$L$3</c:f>
              <c:strCache>
                <c:ptCount val="1"/>
                <c:pt idx="0">
                  <c:v>Suma de Lanzam.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584-43E6-A76E-35306EBC337D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8584-43E6-A76E-35306EBC337D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584-43E6-A76E-35306EBC337D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8584-43E6-A76E-35306EBC33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Analisis!$J$4:$J$5</c:f>
              <c:strCache>
                <c:ptCount val="1"/>
                <c:pt idx="0">
                  <c:v>A. Espeso</c:v>
                </c:pt>
              </c:strCache>
            </c:strRef>
          </c:cat>
          <c:val>
            <c:numRef>
              <c:f>Analisis!$L$4:$L$5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84-43E6-A76E-35306EBC3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1440992"/>
        <c:axId val="1231439912"/>
      </c:barChart>
      <c:catAx>
        <c:axId val="1231440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1439912"/>
        <c:crosses val="autoZero"/>
        <c:auto val="1"/>
        <c:lblAlgn val="ctr"/>
        <c:lblOffset val="100"/>
        <c:noMultiLvlLbl val="0"/>
      </c:catAx>
      <c:valAx>
        <c:axId val="1231439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1440992"/>
        <c:crosses val="autoZero"/>
        <c:crossBetween val="between"/>
      </c:valAx>
      <c:spPr>
        <a:solidFill>
          <a:srgbClr val="2E2F3C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25_26.xlsx]Analisis!TablaDinámica11</c:name>
    <c:fmtId val="4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861529458061033"/>
          <c:y val="7.2928189485916298E-2"/>
          <c:w val="0.4125438157169119"/>
          <c:h val="0.773801500639753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Analisis!$R$3</c:f>
              <c:strCache>
                <c:ptCount val="1"/>
                <c:pt idx="0">
                  <c:v>Asistencias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Analisis!$R$4:$R$16</c:f>
              <c:numCache>
                <c:formatCode>General</c:formatCode>
                <c:ptCount val="6"/>
                <c:pt idx="0">
                  <c:v>8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9-4FD2-AC20-37E3E1FAD8ED}"/>
            </c:ext>
          </c:extLst>
        </c:ser>
        <c:ser>
          <c:idx val="1"/>
          <c:order val="1"/>
          <c:tx>
            <c:strRef>
              <c:f>Analisis!$S$3</c:f>
              <c:strCache>
                <c:ptCount val="1"/>
                <c:pt idx="0">
                  <c:v>Penaltis provocados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Analisis!$S$4:$S$16</c:f>
              <c:numCache>
                <c:formatCode>General</c:formatCode>
                <c:ptCount val="6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9-4FD2-AC20-37E3E1FAD8ED}"/>
            </c:ext>
          </c:extLst>
        </c:ser>
        <c:ser>
          <c:idx val="2"/>
          <c:order val="2"/>
          <c:tx>
            <c:strRef>
              <c:f>Analisis!$T$3</c:f>
              <c:strCache>
                <c:ptCount val="1"/>
                <c:pt idx="0">
                  <c:v>Exclusiones provocadas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Analisis!$T$4:$T$16</c:f>
              <c:numCache>
                <c:formatCode>General</c:formatCode>
                <c:ptCount val="6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A9-4FD2-AC20-37E3E1FAD8ED}"/>
            </c:ext>
          </c:extLst>
        </c:ser>
        <c:ser>
          <c:idx val="3"/>
          <c:order val="3"/>
          <c:tx>
            <c:strRef>
              <c:f>Analisis!$U$3</c:f>
              <c:strCache>
                <c:ptCount val="1"/>
                <c:pt idx="0">
                  <c:v>Recuperaciones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Analisis!$Q$4:$Q$16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Analisis!$U$4:$U$16</c:f>
              <c:numCache>
                <c:formatCode>General</c:formatCode>
                <c:ptCount val="6"/>
                <c:pt idx="0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A9-4FD2-AC20-37E3E1FAD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121072"/>
        <c:axId val="984123592"/>
      </c:barChart>
      <c:catAx>
        <c:axId val="98412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3592"/>
        <c:crosses val="autoZero"/>
        <c:auto val="1"/>
        <c:lblAlgn val="ctr"/>
        <c:lblOffset val="100"/>
        <c:noMultiLvlLbl val="0"/>
      </c:catAx>
      <c:valAx>
        <c:axId val="984123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12107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281333950903201"/>
          <c:y val="0.15193024786709841"/>
          <c:w val="0.30718659207014631"/>
          <c:h val="0.7359179946783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[LLIGA INFANTIL MASCULI 3FASE 25_26.xlsx]Analisis!TablaDinámica12</c:name>
    <c:fmtId val="3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A6A6A6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E59EDD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B4E5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B4E5A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4FC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rgbClr val="04FCFC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495606413710053"/>
          <c:y val="7.4971248499367552E-2"/>
          <c:w val="0.42223186246972161"/>
          <c:h val="0.767464624786879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Analisis!$X$3</c:f>
              <c:strCache>
                <c:ptCount val="1"/>
                <c:pt idx="0">
                  <c:v>Pérdidas pase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A6A6A6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Analisis!$X$4:$X$16</c:f>
              <c:numCache>
                <c:formatCode>General</c:formatCode>
                <c:ptCount val="6"/>
                <c:pt idx="0">
                  <c:v>2</c:v>
                </c:pt>
                <c:pt idx="2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C-48AE-8316-89B309DF07CE}"/>
            </c:ext>
          </c:extLst>
        </c:ser>
        <c:ser>
          <c:idx val="1"/>
          <c:order val="1"/>
          <c:tx>
            <c:strRef>
              <c:f>Analisis!$Y$3</c:f>
              <c:strCache>
                <c:ptCount val="1"/>
                <c:pt idx="0">
                  <c:v>Áreas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E59EDD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Analisis!$Y$4:$Y$16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002C-48AE-8316-89B309DF07CE}"/>
            </c:ext>
          </c:extLst>
        </c:ser>
        <c:ser>
          <c:idx val="2"/>
          <c:order val="2"/>
          <c:tx>
            <c:strRef>
              <c:f>Analisis!$Z$3</c:f>
              <c:strCache>
                <c:ptCount val="1"/>
                <c:pt idx="0">
                  <c:v>Perdidas otros</c:v>
                </c:pt>
              </c:strCache>
            </c:strRef>
          </c:tx>
          <c:spPr>
            <a:solidFill>
              <a:srgbClr val="B4E5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B4E5A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Analisis!$Z$4:$Z$16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002C-48AE-8316-89B309DF07CE}"/>
            </c:ext>
          </c:extLst>
        </c:ser>
        <c:ser>
          <c:idx val="3"/>
          <c:order val="3"/>
          <c:tx>
            <c:strRef>
              <c:f>Analisis!$AA$3</c:f>
              <c:strCache>
                <c:ptCount val="1"/>
                <c:pt idx="0">
                  <c:v>Exclusiones</c:v>
                </c:pt>
              </c:strCache>
            </c:strRef>
          </c:tx>
          <c:spPr>
            <a:solidFill>
              <a:srgbClr val="04FCF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04FCFC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Analisis!$W$4:$W$16</c:f>
              <c:multiLvlStrCache>
                <c:ptCount val="6"/>
                <c:lvl>
                  <c:pt idx="0">
                    <c:v>CH PALAUTORDERA (L)</c:v>
                  </c:pt>
                  <c:pt idx="1">
                    <c:v>H.SANT QUIRZE(L)</c:v>
                  </c:pt>
                  <c:pt idx="2">
                    <c:v>VIROLAI (V)</c:v>
                  </c:pt>
                  <c:pt idx="3">
                    <c:v>CREU ALTA SABADELL (L)</c:v>
                  </c:pt>
                  <c:pt idx="4">
                    <c:v>CH ESPLUGUES (V)</c:v>
                  </c:pt>
                  <c:pt idx="5">
                    <c:v>UES SARRIA (L)</c:v>
                  </c:pt>
                </c:lvl>
                <c:lvl>
                  <c:pt idx="0">
                    <c:v>1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</c:lvl>
              </c:multiLvlStrCache>
            </c:multiLvlStrRef>
          </c:cat>
          <c:val>
            <c:numRef>
              <c:f>Analisis!$AA$4:$AA$16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002C-48AE-8316-89B309DF0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487648"/>
        <c:axId val="955491248"/>
      </c:barChart>
      <c:catAx>
        <c:axId val="95548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5491248"/>
        <c:crosses val="autoZero"/>
        <c:auto val="1"/>
        <c:lblAlgn val="ctr"/>
        <c:lblOffset val="100"/>
        <c:noMultiLvlLbl val="0"/>
      </c:catAx>
      <c:valAx>
        <c:axId val="955491248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rgbClr val="156082">
                  <a:alpha val="57647"/>
                </a:srgb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5487648"/>
        <c:crosses val="autoZero"/>
        <c:crossBetween val="between"/>
        <c:majorUnit val="5"/>
      </c:valAx>
      <c:spPr>
        <a:noFill/>
        <a:ln>
          <a:solidFill>
            <a:srgbClr val="2E2F3C">
              <a:alpha val="56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70482405003594395"/>
          <c:y val="0.29891686133968309"/>
          <c:w val="0.23003679161165291"/>
          <c:h val="0.44305914893411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E2F3C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PORTAD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ORTADA!A1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Relationship Id="rId9" Type="http://schemas.openxmlformats.org/officeDocument/2006/relationships/hyperlink" Target="#PORTADA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25.xml"/><Relationship Id="rId11" Type="http://schemas.openxmlformats.org/officeDocument/2006/relationships/hyperlink" Target="#PORTADA!A1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13" Type="http://schemas.openxmlformats.org/officeDocument/2006/relationships/chart" Target="../charts/chart40.xml"/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12" Type="http://schemas.openxmlformats.org/officeDocument/2006/relationships/chart" Target="../charts/chart39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33.xml"/><Relationship Id="rId11" Type="http://schemas.openxmlformats.org/officeDocument/2006/relationships/chart" Target="../charts/chart38.xml"/><Relationship Id="rId5" Type="http://schemas.openxmlformats.org/officeDocument/2006/relationships/chart" Target="../charts/chart32.xml"/><Relationship Id="rId15" Type="http://schemas.openxmlformats.org/officeDocument/2006/relationships/hyperlink" Target="#PORTADA!A1"/><Relationship Id="rId10" Type="http://schemas.openxmlformats.org/officeDocument/2006/relationships/chart" Target="../charts/chart37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Relationship Id="rId14" Type="http://schemas.openxmlformats.org/officeDocument/2006/relationships/chart" Target="../charts/chart4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708660</xdr:colOff>
      <xdr:row>129</xdr:row>
      <xdr:rowOff>99060</xdr:rowOff>
    </xdr:from>
    <xdr:to>
      <xdr:col>15</xdr:col>
      <xdr:colOff>580292</xdr:colOff>
      <xdr:row>131</xdr:row>
      <xdr:rowOff>43962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F2BABB-D366-401B-9E36-78872F55D8B0}"/>
            </a:ext>
          </a:extLst>
        </xdr:cNvPr>
        <xdr:cNvSpPr/>
      </xdr:nvSpPr>
      <xdr:spPr>
        <a:xfrm>
          <a:off x="13091160" y="6316980"/>
          <a:ext cx="885092" cy="31066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  PORTADA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480392</xdr:colOff>
      <xdr:row>26</xdr:row>
      <xdr:rowOff>65433</xdr:rowOff>
    </xdr:from>
    <xdr:to>
      <xdr:col>15</xdr:col>
      <xdr:colOff>0</xdr:colOff>
      <xdr:row>41</xdr:row>
      <xdr:rowOff>75372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AA5AF7B-28EA-E9A4-2269-99D8709DD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637760</xdr:colOff>
      <xdr:row>10</xdr:row>
      <xdr:rowOff>52158</xdr:rowOff>
    </xdr:from>
    <xdr:to>
      <xdr:col>32</xdr:col>
      <xdr:colOff>521804</xdr:colOff>
      <xdr:row>25</xdr:row>
      <xdr:rowOff>62098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C91689A-12F2-7C8F-32E9-434ABA2EE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559443</xdr:colOff>
      <xdr:row>16</xdr:row>
      <xdr:rowOff>152400</xdr:rowOff>
    </xdr:from>
    <xdr:to>
      <xdr:col>40</xdr:col>
      <xdr:colOff>315576</xdr:colOff>
      <xdr:row>31</xdr:row>
      <xdr:rowOff>138546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F321F4B-E1D5-6ABB-08F5-AE9A3771A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7</xdr:col>
      <xdr:colOff>1474304</xdr:colOff>
      <xdr:row>9</xdr:row>
      <xdr:rowOff>9111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CC14EE7-9D46-456E-BB17-979633476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985631</xdr:colOff>
      <xdr:row>16</xdr:row>
      <xdr:rowOff>48868</xdr:rowOff>
    </xdr:from>
    <xdr:to>
      <xdr:col>13</xdr:col>
      <xdr:colOff>1656523</xdr:colOff>
      <xdr:row>28</xdr:row>
      <xdr:rowOff>74543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41324CA-CC35-13B3-3271-F8BA4A72A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861392</xdr:colOff>
      <xdr:row>13</xdr:row>
      <xdr:rowOff>24848</xdr:rowOff>
    </xdr:from>
    <xdr:to>
      <xdr:col>17</xdr:col>
      <xdr:colOff>74544</xdr:colOff>
      <xdr:row>17</xdr:row>
      <xdr:rowOff>165652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02BD238-1865-D604-7359-8618E910F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538370</xdr:colOff>
      <xdr:row>20</xdr:row>
      <xdr:rowOff>106846</xdr:rowOff>
    </xdr:from>
    <xdr:to>
      <xdr:col>22</xdr:col>
      <xdr:colOff>1250675</xdr:colOff>
      <xdr:row>35</xdr:row>
      <xdr:rowOff>116785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A00F6D6-7B12-EDE3-43C5-11D9C0727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637259</xdr:colOff>
      <xdr:row>21</xdr:row>
      <xdr:rowOff>98563</xdr:rowOff>
    </xdr:from>
    <xdr:to>
      <xdr:col>30</xdr:col>
      <xdr:colOff>347368</xdr:colOff>
      <xdr:row>36</xdr:row>
      <xdr:rowOff>108502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5EA4E49A-4D9D-EA71-B50F-043DF2193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132774</xdr:colOff>
      <xdr:row>6</xdr:row>
      <xdr:rowOff>160180</xdr:rowOff>
    </xdr:from>
    <xdr:to>
      <xdr:col>43</xdr:col>
      <xdr:colOff>738911</xdr:colOff>
      <xdr:row>12</xdr:row>
      <xdr:rowOff>15394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74468D-05F4-2375-AB3A-FABC9B229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377153</xdr:colOff>
      <xdr:row>5</xdr:row>
      <xdr:rowOff>179340</xdr:rowOff>
    </xdr:from>
    <xdr:to>
      <xdr:col>50</xdr:col>
      <xdr:colOff>30788</xdr:colOff>
      <xdr:row>12</xdr:row>
      <xdr:rowOff>138546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12FDC0-93B3-838C-DF7F-B656F5549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31540</xdr:colOff>
      <xdr:row>0</xdr:row>
      <xdr:rowOff>41618</xdr:rowOff>
    </xdr:from>
    <xdr:to>
      <xdr:col>13</xdr:col>
      <xdr:colOff>444501</xdr:colOff>
      <xdr:row>27</xdr:row>
      <xdr:rowOff>153458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A4086E9-605C-6FAC-67B0-7EBC06BE9A0D}"/>
            </a:ext>
          </a:extLst>
        </xdr:cNvPr>
        <xdr:cNvSpPr/>
      </xdr:nvSpPr>
      <xdr:spPr>
        <a:xfrm>
          <a:off x="31540" y="41618"/>
          <a:ext cx="9699836" cy="5112465"/>
        </a:xfrm>
        <a:prstGeom prst="roundRect">
          <a:avLst>
            <a:gd name="adj" fmla="val 3007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195792</xdr:colOff>
      <xdr:row>0</xdr:row>
      <xdr:rowOff>66040</xdr:rowOff>
    </xdr:from>
    <xdr:to>
      <xdr:col>10</xdr:col>
      <xdr:colOff>480060</xdr:colOff>
      <xdr:row>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10D40FA-4FE1-B6C5-F90F-67F6F93DD85B}"/>
            </a:ext>
          </a:extLst>
        </xdr:cNvPr>
        <xdr:cNvSpPr/>
      </xdr:nvSpPr>
      <xdr:spPr>
        <a:xfrm>
          <a:off x="1195917" y="66040"/>
          <a:ext cx="6761268" cy="1045210"/>
        </a:xfrm>
        <a:prstGeom prst="rect">
          <a:avLst/>
        </a:prstGeom>
        <a:solidFill>
          <a:srgbClr val="2E2F3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169545</xdr:colOff>
      <xdr:row>6</xdr:row>
      <xdr:rowOff>46142</xdr:rowOff>
    </xdr:from>
    <xdr:to>
      <xdr:col>7</xdr:col>
      <xdr:colOff>734086</xdr:colOff>
      <xdr:row>18</xdr:row>
      <xdr:rowOff>41062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DB73DE7A-CFF9-4942-9697-EDA4E42116D2}"/>
            </a:ext>
          </a:extLst>
        </xdr:cNvPr>
        <xdr:cNvSpPr/>
      </xdr:nvSpPr>
      <xdr:spPr>
        <a:xfrm>
          <a:off x="1169670" y="1157392"/>
          <a:ext cx="4612666" cy="2217420"/>
        </a:xfrm>
        <a:prstGeom prst="roundRect">
          <a:avLst>
            <a:gd name="adj" fmla="val 4463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792480</xdr:colOff>
      <xdr:row>0</xdr:row>
      <xdr:rowOff>177800</xdr:rowOff>
    </xdr:from>
    <xdr:to>
      <xdr:col>3</xdr:col>
      <xdr:colOff>344760</xdr:colOff>
      <xdr:row>2</xdr:row>
      <xdr:rowOff>172040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8EDAD7C9-1305-D5CC-8AA0-C4278CADCF5E}"/>
            </a:ext>
          </a:extLst>
        </xdr:cNvPr>
        <xdr:cNvSpPr/>
      </xdr:nvSpPr>
      <xdr:spPr>
        <a:xfrm>
          <a:off x="1793240" y="177800"/>
          <a:ext cx="360000" cy="360000"/>
        </a:xfrm>
        <a:prstGeom prst="ellipse">
          <a:avLst/>
        </a:prstGeom>
        <a:solidFill>
          <a:sysClr val="window" lastClr="FFFFFF"/>
        </a:solidFill>
        <a:effectLst>
          <a:outerShdw blurRad="63500" dist="635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2</xdr:col>
      <xdr:colOff>792480</xdr:colOff>
      <xdr:row>0</xdr:row>
      <xdr:rowOff>167640</xdr:rowOff>
    </xdr:from>
    <xdr:to>
      <xdr:col>3</xdr:col>
      <xdr:colOff>344760</xdr:colOff>
      <xdr:row>2</xdr:row>
      <xdr:rowOff>161880</xdr:rowOff>
    </xdr:to>
    <xdr:pic>
      <xdr:nvPicPr>
        <xdr:cNvPr id="15" name="Gráfico 14" descr="Diagrama de flujo circular contorno">
          <a:extLst>
            <a:ext uri="{FF2B5EF4-FFF2-40B4-BE49-F238E27FC236}">
              <a16:creationId xmlns:a16="http://schemas.microsoft.com/office/drawing/2014/main" id="{E323E5F0-4B05-B161-5161-B553BAE57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3240" y="167640"/>
          <a:ext cx="360000" cy="360000"/>
        </a:xfrm>
        <a:prstGeom prst="rect">
          <a:avLst/>
        </a:prstGeom>
      </xdr:spPr>
    </xdr:pic>
    <xdr:clientData/>
  </xdr:twoCellAnchor>
  <xdr:twoCellAnchor>
    <xdr:from>
      <xdr:col>3</xdr:col>
      <xdr:colOff>284480</xdr:colOff>
      <xdr:row>0</xdr:row>
      <xdr:rowOff>137160</xdr:rowOff>
    </xdr:from>
    <xdr:to>
      <xdr:col>6</xdr:col>
      <xdr:colOff>726440</xdr:colOff>
      <xdr:row>2</xdr:row>
      <xdr:rowOff>30480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D7276A4D-5A93-7578-880A-E12AC91A4005}"/>
            </a:ext>
          </a:extLst>
        </xdr:cNvPr>
        <xdr:cNvSpPr txBox="1"/>
      </xdr:nvSpPr>
      <xdr:spPr>
        <a:xfrm>
          <a:off x="2092960" y="137160"/>
          <a:ext cx="286512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 ExtraBold" panose="020B0903050000020004" pitchFamily="34" charset="0"/>
            </a:rPr>
            <a:t>Dashboard - Estadística</a:t>
          </a:r>
          <a:r>
            <a:rPr lang="es-ES" sz="12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 ExtraBold" panose="020B0903050000020004" pitchFamily="34" charset="0"/>
            </a:rPr>
            <a:t> Infantil A FCB</a:t>
          </a:r>
          <a:endParaRPr lang="es-ES" sz="12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 ExtraBold" panose="020B0903050000020004" pitchFamily="34" charset="0"/>
          </a:endParaRPr>
        </a:p>
      </xdr:txBody>
    </xdr:sp>
    <xdr:clientData/>
  </xdr:twoCellAnchor>
  <xdr:twoCellAnchor>
    <xdr:from>
      <xdr:col>3</xdr:col>
      <xdr:colOff>284480</xdr:colOff>
      <xdr:row>1</xdr:row>
      <xdr:rowOff>111760</xdr:rowOff>
    </xdr:from>
    <xdr:to>
      <xdr:col>6</xdr:col>
      <xdr:colOff>726440</xdr:colOff>
      <xdr:row>3</xdr:row>
      <xdr:rowOff>5080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23981B-622E-4960-AC0D-4538A02D41B1}"/>
            </a:ext>
          </a:extLst>
        </xdr:cNvPr>
        <xdr:cNvSpPr txBox="1"/>
      </xdr:nvSpPr>
      <xdr:spPr>
        <a:xfrm>
          <a:off x="2092960" y="294640"/>
          <a:ext cx="286512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Analísis estadístico individual</a:t>
          </a:r>
          <a:r>
            <a:rPr lang="es-ES" sz="8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temporada 2024/25</a:t>
          </a:r>
          <a:endParaRPr lang="es-ES" sz="8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 editAs="oneCell">
    <xdr:from>
      <xdr:col>7</xdr:col>
      <xdr:colOff>594360</xdr:colOff>
      <xdr:row>0</xdr:row>
      <xdr:rowOff>66040</xdr:rowOff>
    </xdr:from>
    <xdr:to>
      <xdr:col>11</xdr:col>
      <xdr:colOff>169230</xdr:colOff>
      <xdr:row>6</xdr:row>
      <xdr:rowOff>1972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Jugador 1">
              <a:extLst>
                <a:ext uri="{FF2B5EF4-FFF2-40B4-BE49-F238E27FC236}">
                  <a16:creationId xmlns:a16="http://schemas.microsoft.com/office/drawing/2014/main" id="{13362F50-6A3D-4DB8-8310-1DAE145FBE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uga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33720" y="66040"/>
              <a:ext cx="2805750" cy="10332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571500</xdr:colOff>
      <xdr:row>0</xdr:row>
      <xdr:rowOff>66040</xdr:rowOff>
    </xdr:from>
    <xdr:to>
      <xdr:col>9</xdr:col>
      <xdr:colOff>55880</xdr:colOff>
      <xdr:row>1</xdr:row>
      <xdr:rowOff>142240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75051DC6-5C66-456B-9EEB-81F9D58DB24F}"/>
            </a:ext>
          </a:extLst>
        </xdr:cNvPr>
        <xdr:cNvSpPr txBox="1"/>
      </xdr:nvSpPr>
      <xdr:spPr>
        <a:xfrm>
          <a:off x="5610860" y="66040"/>
          <a:ext cx="109982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800">
              <a:solidFill>
                <a:srgbClr val="EE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● </a:t>
          </a:r>
          <a:r>
            <a:rPr lang="es-ES" sz="700" b="1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Filtro por jugador</a:t>
          </a:r>
          <a:endParaRPr lang="es-ES" sz="800" b="1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 editAs="oneCell">
    <xdr:from>
      <xdr:col>11</xdr:col>
      <xdr:colOff>269240</xdr:colOff>
      <xdr:row>0</xdr:row>
      <xdr:rowOff>121921</xdr:rowOff>
    </xdr:from>
    <xdr:to>
      <xdr:col>13</xdr:col>
      <xdr:colOff>243417</xdr:colOff>
      <xdr:row>5</xdr:row>
      <xdr:rowOff>171901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POSICION 2">
              <a:extLst>
                <a:ext uri="{FF2B5EF4-FFF2-40B4-BE49-F238E27FC236}">
                  <a16:creationId xmlns:a16="http://schemas.microsoft.com/office/drawing/2014/main" id="{674D8262-CD9B-4031-A368-A30497F6C2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SIC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9480" y="121921"/>
              <a:ext cx="67545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313479</xdr:colOff>
      <xdr:row>5</xdr:row>
      <xdr:rowOff>20320</xdr:rowOff>
    </xdr:from>
    <xdr:to>
      <xdr:col>13</xdr:col>
      <xdr:colOff>412539</xdr:colOff>
      <xdr:row>6</xdr:row>
      <xdr:rowOff>96520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BF40A34B-ADDB-4186-8793-6F025E0F21BA}"/>
            </a:ext>
          </a:extLst>
        </xdr:cNvPr>
        <xdr:cNvSpPr txBox="1"/>
      </xdr:nvSpPr>
      <xdr:spPr>
        <a:xfrm>
          <a:off x="8600229" y="946362"/>
          <a:ext cx="1099185" cy="261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800">
              <a:solidFill>
                <a:srgbClr val="EE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● </a:t>
          </a:r>
          <a:r>
            <a:rPr lang="es-ES" sz="600" b="1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Filtro por posición</a:t>
          </a:r>
          <a:endParaRPr lang="es-ES" sz="800" b="1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2</xdr:col>
      <xdr:colOff>200457</xdr:colOff>
      <xdr:row>5</xdr:row>
      <xdr:rowOff>159542</xdr:rowOff>
    </xdr:from>
    <xdr:to>
      <xdr:col>7</xdr:col>
      <xdr:colOff>670325</xdr:colOff>
      <xdr:row>18</xdr:row>
      <xdr:rowOff>74896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139118F6-4D7C-F909-16A4-CCBEF3A1FB92}"/>
            </a:ext>
          </a:extLst>
        </xdr:cNvPr>
        <xdr:cNvGrpSpPr/>
      </xdr:nvGrpSpPr>
      <xdr:grpSpPr>
        <a:xfrm>
          <a:off x="1308288" y="1038773"/>
          <a:ext cx="4953945" cy="2201354"/>
          <a:chOff x="2500907" y="1313308"/>
          <a:chExt cx="3098800" cy="2280693"/>
        </a:xfrm>
      </xdr:grpSpPr>
      <xdr:graphicFrame macro="">
        <xdr:nvGraphicFramePr>
          <xdr:cNvPr id="22" name="Gráfico 21">
            <a:extLst>
              <a:ext uri="{FF2B5EF4-FFF2-40B4-BE49-F238E27FC236}">
                <a16:creationId xmlns:a16="http://schemas.microsoft.com/office/drawing/2014/main" id="{2850616D-2C9F-4F0C-A00C-9C4344EA04DA}"/>
              </a:ext>
            </a:extLst>
          </xdr:cNvPr>
          <xdr:cNvGraphicFramePr>
            <a:graphicFrameLocks/>
          </xdr:cNvGraphicFramePr>
        </xdr:nvGraphicFramePr>
        <xdr:xfrm>
          <a:off x="2500907" y="1562706"/>
          <a:ext cx="3098800" cy="19710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9C10DC89-C189-3227-B800-8226B9622EBF}"/>
              </a:ext>
            </a:extLst>
          </xdr:cNvPr>
          <xdr:cNvSpPr txBox="1"/>
        </xdr:nvSpPr>
        <xdr:spPr>
          <a:xfrm>
            <a:off x="2995707" y="1313308"/>
            <a:ext cx="2443480" cy="3789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ES" sz="1800" b="1">
                <a:solidFill>
                  <a:srgbClr val="C04F15"/>
                </a:solidFill>
                <a:effectLst/>
                <a:latin typeface="+mn-lt"/>
                <a:ea typeface="+mn-ea"/>
                <a:cs typeface="+mn-cs"/>
              </a:rPr>
              <a:t>▪</a:t>
            </a:r>
            <a:r>
              <a:rPr lang="es-ES" sz="18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ES" sz="1200" b="1">
                <a:solidFill>
                  <a:schemeClr val="bg1"/>
                </a:solidFill>
                <a:latin typeface="Fira Sans" panose="020B0503050000020004" pitchFamily="34" charset="0"/>
                <a:cs typeface="Arial" panose="020B0604020202020204" pitchFamily="34" charset="0"/>
              </a:rPr>
              <a:t>Lanzamientos</a:t>
            </a:r>
            <a:r>
              <a:rPr lang="es-ES" sz="800" b="1">
                <a:solidFill>
                  <a:schemeClr val="bg1"/>
                </a:solidFill>
                <a:latin typeface="Fira Sans" panose="020B0503050000020004" pitchFamily="34" charset="0"/>
                <a:cs typeface="Arial" panose="020B0604020202020204" pitchFamily="34" charset="0"/>
              </a:rPr>
              <a:t>            </a:t>
            </a:r>
            <a:r>
              <a:rPr lang="es-ES" sz="1800" b="1">
                <a:solidFill>
                  <a:schemeClr val="tx2">
                    <a:lumMod val="50000"/>
                    <a:lumOff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▪</a:t>
            </a:r>
            <a:r>
              <a:rPr lang="es-E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ES" sz="1200" b="1">
                <a:solidFill>
                  <a:schemeClr val="bg1"/>
                </a:solidFill>
                <a:latin typeface="Fira Sans" panose="020B0503050000020004" pitchFamily="34" charset="0"/>
                <a:ea typeface="+mn-ea"/>
                <a:cs typeface="Arial" panose="020B0604020202020204" pitchFamily="34" charset="0"/>
              </a:rPr>
              <a:t>Goles(J) / Paradas(P)</a:t>
            </a:r>
          </a:p>
          <a:p>
            <a:endPara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endParaRPr>
          </a:p>
          <a:p>
            <a:endParaRPr lang="es-ES" sz="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es-ES" sz="600"/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4E66152B-0460-4B21-A3B8-E15CCEE4E1C0}"/>
              </a:ext>
            </a:extLst>
          </xdr:cNvPr>
          <xdr:cNvSpPr txBox="1"/>
        </xdr:nvSpPr>
        <xdr:spPr>
          <a:xfrm>
            <a:off x="4012065" y="3334921"/>
            <a:ext cx="83820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s-ES" sz="800">
                <a:solidFill>
                  <a:schemeClr val="bg1"/>
                </a:solidFill>
                <a:effectLst>
                  <a:outerShdw blurRad="63500" dist="63500" dir="2700000" algn="tl" rotWithShape="0">
                    <a:prstClr val="black">
                      <a:alpha val="50000"/>
                    </a:prstClr>
                  </a:outerShdw>
                </a:effectLst>
                <a:latin typeface="Fira Sans" panose="020B0503050000020004" pitchFamily="34" charset="0"/>
                <a:cs typeface="Arial" panose="020B0604020202020204" pitchFamily="34" charset="0"/>
              </a:rPr>
              <a:t> </a:t>
            </a:r>
            <a:r>
              <a:rPr lang="es-ES" sz="900" b="1">
                <a:solidFill>
                  <a:schemeClr val="bg1"/>
                </a:solidFill>
                <a:effectLst>
                  <a:outerShdw blurRad="63500" dist="63500" dir="2700000" algn="tl" rotWithShape="0">
                    <a:prstClr val="black">
                      <a:alpha val="50000"/>
                    </a:prstClr>
                  </a:outerShdw>
                </a:effectLst>
                <a:latin typeface="Fira Sans" panose="020B0503050000020004" pitchFamily="34" charset="0"/>
              </a:rPr>
              <a:t>Jornadas</a:t>
            </a:r>
          </a:p>
        </xdr:txBody>
      </xdr:sp>
      <xdr:sp macro="" textlink="">
        <xdr:nvSpPr>
          <xdr:cNvPr id="29" name="CuadroTexto 28">
            <a:extLst>
              <a:ext uri="{FF2B5EF4-FFF2-40B4-BE49-F238E27FC236}">
                <a16:creationId xmlns:a16="http://schemas.microsoft.com/office/drawing/2014/main" id="{900530CE-0D55-4A65-B35E-A262A86B8CDF}"/>
              </a:ext>
            </a:extLst>
          </xdr:cNvPr>
          <xdr:cNvSpPr txBox="1"/>
        </xdr:nvSpPr>
        <xdr:spPr>
          <a:xfrm rot="16200000">
            <a:off x="2184814" y="2166707"/>
            <a:ext cx="93345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s-ES" sz="800">
                <a:solidFill>
                  <a:schemeClr val="bg1"/>
                </a:solidFill>
                <a:effectLst>
                  <a:outerShdw blurRad="63500" dist="63500" dir="2700000" algn="tl" rotWithShape="0">
                    <a:prstClr val="black">
                      <a:alpha val="50000"/>
                    </a:prstClr>
                  </a:outerShdw>
                </a:effectLst>
                <a:latin typeface="Fira Sans" panose="020B0503050000020004" pitchFamily="34" charset="0"/>
                <a:cs typeface="Arial" panose="020B0604020202020204" pitchFamily="34" charset="0"/>
              </a:rPr>
              <a:t> </a:t>
            </a:r>
            <a:r>
              <a:rPr lang="es-ES" sz="900" b="1">
                <a:solidFill>
                  <a:schemeClr val="bg1"/>
                </a:solidFill>
                <a:effectLst>
                  <a:outerShdw blurRad="63500" dist="63500" dir="2700000" algn="tl" rotWithShape="0">
                    <a:prstClr val="black">
                      <a:alpha val="50000"/>
                    </a:prstClr>
                  </a:outerShdw>
                </a:effectLst>
                <a:latin typeface="Fira Sans" panose="020B0503050000020004" pitchFamily="34" charset="0"/>
                <a:cs typeface="+mn-cs"/>
              </a:rPr>
              <a:t>Unidades</a:t>
            </a:r>
            <a:endParaRPr lang="es-ES" sz="900" b="1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endParaRPr>
          </a:p>
        </xdr:txBody>
      </xdr:sp>
    </xdr:grpSp>
    <xdr:clientData/>
  </xdr:twoCellAnchor>
  <xdr:twoCellAnchor>
    <xdr:from>
      <xdr:col>2</xdr:col>
      <xdr:colOff>216958</xdr:colOff>
      <xdr:row>18</xdr:row>
      <xdr:rowOff>62259</xdr:rowOff>
    </xdr:from>
    <xdr:to>
      <xdr:col>7</xdr:col>
      <xdr:colOff>746125</xdr:colOff>
      <xdr:row>27</xdr:row>
      <xdr:rowOff>89958</xdr:rowOff>
    </xdr:to>
    <xdr:sp macro="" textlink="">
      <xdr:nvSpPr>
        <xdr:cNvPr id="34" name="Rectángulo: esquinas redondeadas 33">
          <a:extLst>
            <a:ext uri="{FF2B5EF4-FFF2-40B4-BE49-F238E27FC236}">
              <a16:creationId xmlns:a16="http://schemas.microsoft.com/office/drawing/2014/main" id="{C4429368-C36F-405D-AD42-4874ECF688B8}"/>
            </a:ext>
          </a:extLst>
        </xdr:cNvPr>
        <xdr:cNvSpPr/>
      </xdr:nvSpPr>
      <xdr:spPr>
        <a:xfrm>
          <a:off x="1217083" y="3396009"/>
          <a:ext cx="4577292" cy="1694574"/>
        </a:xfrm>
        <a:prstGeom prst="roundRect">
          <a:avLst>
            <a:gd name="adj" fmla="val 4463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719667</xdr:colOff>
      <xdr:row>18</xdr:row>
      <xdr:rowOff>145203</xdr:rowOff>
    </xdr:from>
    <xdr:to>
      <xdr:col>7</xdr:col>
      <xdr:colOff>735541</xdr:colOff>
      <xdr:row>26</xdr:row>
      <xdr:rowOff>165523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52786FA4-DDD2-4E89-97C4-DAFCC4BC4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39370</xdr:colOff>
      <xdr:row>0</xdr:row>
      <xdr:rowOff>148167</xdr:rowOff>
    </xdr:from>
    <xdr:to>
      <xdr:col>2</xdr:col>
      <xdr:colOff>191245</xdr:colOff>
      <xdr:row>19</xdr:row>
      <xdr:rowOff>38993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rival 1">
              <a:extLst>
                <a:ext uri="{FF2B5EF4-FFF2-40B4-BE49-F238E27FC236}">
                  <a16:creationId xmlns:a16="http://schemas.microsoft.com/office/drawing/2014/main" id="{36D4AF06-B182-43F3-AB9D-2359BFF5D5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iv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70" y="148167"/>
              <a:ext cx="1152000" cy="34097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107103</xdr:colOff>
      <xdr:row>0</xdr:row>
      <xdr:rowOff>0</xdr:rowOff>
    </xdr:from>
    <xdr:to>
      <xdr:col>2</xdr:col>
      <xdr:colOff>208703</xdr:colOff>
      <xdr:row>1</xdr:row>
      <xdr:rowOff>76200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EC2A207B-7BE6-456E-8610-B1DA548504B7}"/>
            </a:ext>
          </a:extLst>
        </xdr:cNvPr>
        <xdr:cNvSpPr txBox="1"/>
      </xdr:nvSpPr>
      <xdr:spPr>
        <a:xfrm>
          <a:off x="107103" y="0"/>
          <a:ext cx="1101725" cy="261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800">
              <a:solidFill>
                <a:srgbClr val="EE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● </a:t>
          </a:r>
          <a:r>
            <a:rPr lang="es-ES" sz="600" b="1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Filtro por rival</a:t>
          </a:r>
          <a:endParaRPr lang="es-ES" sz="800" b="1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1</xdr:col>
      <xdr:colOff>327224</xdr:colOff>
      <xdr:row>14</xdr:row>
      <xdr:rowOff>169654</xdr:rowOff>
    </xdr:from>
    <xdr:to>
      <xdr:col>2</xdr:col>
      <xdr:colOff>703144</xdr:colOff>
      <xdr:row>18</xdr:row>
      <xdr:rowOff>11807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631A360-BD12-411F-91F1-15B1D356F9FA}"/>
            </a:ext>
          </a:extLst>
        </xdr:cNvPr>
        <xdr:cNvSpPr/>
      </xdr:nvSpPr>
      <xdr:spPr>
        <a:xfrm>
          <a:off x="517724" y="2762571"/>
          <a:ext cx="1185545" cy="582986"/>
        </a:xfrm>
        <a:prstGeom prst="roundRect">
          <a:avLst>
            <a:gd name="adj" fmla="val 9755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312189</xdr:colOff>
      <xdr:row>14</xdr:row>
      <xdr:rowOff>37316</xdr:rowOff>
    </xdr:from>
    <xdr:to>
      <xdr:col>2</xdr:col>
      <xdr:colOff>647469</xdr:colOff>
      <xdr:row>20</xdr:row>
      <xdr:rowOff>14892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14038B1-6C63-47F2-A09E-07C697ABA86E}"/>
            </a:ext>
          </a:extLst>
        </xdr:cNvPr>
        <xdr:cNvSpPr txBox="1"/>
      </xdr:nvSpPr>
      <xdr:spPr>
        <a:xfrm>
          <a:off x="502689" y="2630233"/>
          <a:ext cx="1144905" cy="10888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800" b="1" baseline="0">
              <a:solidFill>
                <a:srgbClr val="C04F15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Totales: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   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800" b="1">
            <a:solidFill>
              <a:schemeClr val="bg1"/>
            </a:solidFill>
            <a:latin typeface="Fira Sans" panose="020B0503050000020004" pitchFamily="34" charset="0"/>
            <a:ea typeface="+mn-ea"/>
            <a:cs typeface="Arial" panose="020B0604020202020204" pitchFamily="34" charset="0"/>
          </a:endParaRPr>
        </a:p>
        <a:p>
          <a:endParaRPr lang="es-ES" sz="800" b="1">
            <a:solidFill>
              <a:schemeClr val="bg1"/>
            </a:solidFill>
            <a:latin typeface="Fira Sans" panose="020B0503050000020004" pitchFamily="34" charset="0"/>
            <a:cs typeface="Arial" panose="020B0604020202020204" pitchFamily="34" charset="0"/>
          </a:endParaRPr>
        </a:p>
        <a:p>
          <a:endParaRPr lang="es-ES" sz="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ES" sz="600"/>
        </a:p>
      </xdr:txBody>
    </xdr:sp>
    <xdr:clientData/>
  </xdr:twoCellAnchor>
  <xdr:twoCellAnchor>
    <xdr:from>
      <xdr:col>1</xdr:col>
      <xdr:colOff>327224</xdr:colOff>
      <xdr:row>24</xdr:row>
      <xdr:rowOff>26568</xdr:rowOff>
    </xdr:from>
    <xdr:to>
      <xdr:col>2</xdr:col>
      <xdr:colOff>704743</xdr:colOff>
      <xdr:row>27</xdr:row>
      <xdr:rowOff>55029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A7D29673-DB4F-4415-A294-69FC281F0F74}"/>
            </a:ext>
          </a:extLst>
        </xdr:cNvPr>
        <xdr:cNvSpPr/>
      </xdr:nvSpPr>
      <xdr:spPr>
        <a:xfrm>
          <a:off x="517724" y="4471568"/>
          <a:ext cx="1187144" cy="584086"/>
        </a:xfrm>
        <a:prstGeom prst="roundRect">
          <a:avLst>
            <a:gd name="adj" fmla="val 9755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236967</xdr:colOff>
      <xdr:row>23</xdr:row>
      <xdr:rowOff>99179</xdr:rowOff>
    </xdr:from>
    <xdr:to>
      <xdr:col>2</xdr:col>
      <xdr:colOff>572247</xdr:colOff>
      <xdr:row>29</xdr:row>
      <xdr:rowOff>77984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A5C44BF0-A5C0-479B-8CCF-BF3E414762D1}"/>
            </a:ext>
          </a:extLst>
        </xdr:cNvPr>
        <xdr:cNvSpPr txBox="1"/>
      </xdr:nvSpPr>
      <xdr:spPr>
        <a:xfrm>
          <a:off x="427467" y="4358971"/>
          <a:ext cx="1144905" cy="1090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800" b="1" baseline="0">
              <a:solidFill>
                <a:srgbClr val="C04F15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ES" sz="800" b="1" baseline="0">
              <a:solidFill>
                <a:schemeClr val="bg1"/>
              </a:solidFill>
              <a:effectLst/>
              <a:latin typeface="Fira Sans" panose="020B0503050000020004" pitchFamily="34" charset="0"/>
              <a:ea typeface="+mn-ea"/>
              <a:cs typeface="Arial" panose="020B0604020202020204" pitchFamily="34" charset="0"/>
            </a:rPr>
            <a:t>Promedio</a:t>
          </a: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   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800" b="1">
            <a:solidFill>
              <a:schemeClr val="bg1"/>
            </a:solidFill>
            <a:latin typeface="Fira Sans" panose="020B0503050000020004" pitchFamily="34" charset="0"/>
            <a:ea typeface="+mn-ea"/>
            <a:cs typeface="Arial" panose="020B0604020202020204" pitchFamily="34" charset="0"/>
          </a:endParaRPr>
        </a:p>
        <a:p>
          <a:endParaRPr lang="es-ES" sz="800" b="1">
            <a:solidFill>
              <a:schemeClr val="bg1"/>
            </a:solidFill>
            <a:latin typeface="Fira Sans" panose="020B0503050000020004" pitchFamily="34" charset="0"/>
            <a:cs typeface="Arial" panose="020B0604020202020204" pitchFamily="34" charset="0"/>
          </a:endParaRPr>
        </a:p>
        <a:p>
          <a:endParaRPr lang="es-ES" sz="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ES" sz="600"/>
        </a:p>
      </xdr:txBody>
    </xdr:sp>
    <xdr:clientData/>
  </xdr:twoCellAnchor>
  <xdr:twoCellAnchor>
    <xdr:from>
      <xdr:col>1</xdr:col>
      <xdr:colOff>403087</xdr:colOff>
      <xdr:row>15</xdr:row>
      <xdr:rowOff>152310</xdr:rowOff>
    </xdr:from>
    <xdr:to>
      <xdr:col>2</xdr:col>
      <xdr:colOff>661458</xdr:colOff>
      <xdr:row>17</xdr:row>
      <xdr:rowOff>176833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495238AE-70B9-4E9F-941B-6E0B78FB1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24</xdr:row>
      <xdr:rowOff>185034</xdr:rowOff>
    </xdr:from>
    <xdr:to>
      <xdr:col>3</xdr:col>
      <xdr:colOff>70495</xdr:colOff>
      <xdr:row>26</xdr:row>
      <xdr:rowOff>142283</xdr:rowOff>
    </xdr:to>
    <xdr:sp macro="" textlink="Analisis!$AC$4">
      <xdr:nvSpPr>
        <xdr:cNvPr id="20" name="CuadroTexto 19">
          <a:extLst>
            <a:ext uri="{FF2B5EF4-FFF2-40B4-BE49-F238E27FC236}">
              <a16:creationId xmlns:a16="http://schemas.microsoft.com/office/drawing/2014/main" id="{3AF1748F-0436-4D79-948B-5906400C9123}"/>
            </a:ext>
          </a:extLst>
        </xdr:cNvPr>
        <xdr:cNvSpPr txBox="1"/>
      </xdr:nvSpPr>
      <xdr:spPr>
        <a:xfrm>
          <a:off x="1000125" y="4630034"/>
          <a:ext cx="880120" cy="327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93DAE787-6943-4BF8-BB88-53A18E2F6EE7}" type="TxLink">
            <a:rPr lang="en-US" sz="2000" b="1" i="0" u="none" strike="noStrike">
              <a:solidFill>
                <a:schemeClr val="accent6">
                  <a:lumMod val="75000"/>
                </a:schemeClr>
              </a:solidFill>
              <a:latin typeface="Aptos Narrow"/>
              <a:cs typeface="Arial" panose="020B0604020202020204" pitchFamily="34" charset="0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100%</a:t>
          </a:fld>
          <a:endParaRPr lang="es-ES" sz="2000" b="1">
            <a:solidFill>
              <a:schemeClr val="accent6">
                <a:lumMod val="75000"/>
              </a:schemeClr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7</xdr:col>
      <xdr:colOff>777663</xdr:colOff>
      <xdr:row>6</xdr:row>
      <xdr:rowOff>58209</xdr:rowOff>
    </xdr:from>
    <xdr:to>
      <xdr:col>13</xdr:col>
      <xdr:colOff>365125</xdr:colOff>
      <xdr:row>16</xdr:row>
      <xdr:rowOff>174625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D25A6C53-E8CF-45C5-A7FE-84BE5524DE83}"/>
            </a:ext>
          </a:extLst>
        </xdr:cNvPr>
        <xdr:cNvSpPr/>
      </xdr:nvSpPr>
      <xdr:spPr>
        <a:xfrm>
          <a:off x="5825913" y="1169459"/>
          <a:ext cx="3826087" cy="1968499"/>
        </a:xfrm>
        <a:prstGeom prst="roundRect">
          <a:avLst>
            <a:gd name="adj" fmla="val 4463"/>
          </a:avLst>
        </a:prstGeom>
        <a:solidFill>
          <a:srgbClr val="2E2F3C"/>
        </a:solidFill>
        <a:ln>
          <a:solidFill>
            <a:srgbClr val="00B050"/>
          </a:solidFill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5292</xdr:colOff>
      <xdr:row>6</xdr:row>
      <xdr:rowOff>105834</xdr:rowOff>
    </xdr:from>
    <xdr:to>
      <xdr:col>13</xdr:col>
      <xdr:colOff>328083</xdr:colOff>
      <xdr:row>16</xdr:row>
      <xdr:rowOff>132293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BEAB17DA-5F15-4A2A-8C94-7B207ECFC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465457</xdr:colOff>
      <xdr:row>6</xdr:row>
      <xdr:rowOff>46910</xdr:rowOff>
    </xdr:from>
    <xdr:to>
      <xdr:col>12</xdr:col>
      <xdr:colOff>97792</xdr:colOff>
      <xdr:row>7</xdr:row>
      <xdr:rowOff>125439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7BB21C26-CD23-4B0E-BE41-0FB778CB15F6}"/>
            </a:ext>
          </a:extLst>
        </xdr:cNvPr>
        <xdr:cNvSpPr txBox="1"/>
      </xdr:nvSpPr>
      <xdr:spPr>
        <a:xfrm>
          <a:off x="6323332" y="1158160"/>
          <a:ext cx="2870835" cy="263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s-ES" sz="12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 ExtraBold" panose="020B0903050000020004" pitchFamily="34" charset="0"/>
          </a:endParaRPr>
        </a:p>
      </xdr:txBody>
    </xdr:sp>
    <xdr:clientData/>
  </xdr:twoCellAnchor>
  <xdr:twoCellAnchor>
    <xdr:from>
      <xdr:col>7</xdr:col>
      <xdr:colOff>777663</xdr:colOff>
      <xdr:row>17</xdr:row>
      <xdr:rowOff>4576</xdr:rowOff>
    </xdr:from>
    <xdr:to>
      <xdr:col>13</xdr:col>
      <xdr:colOff>365125</xdr:colOff>
      <xdr:row>27</xdr:row>
      <xdr:rowOff>120992</xdr:rowOff>
    </xdr:to>
    <xdr:sp macro="" textlink="">
      <xdr:nvSpPr>
        <xdr:cNvPr id="43" name="Rectángulo: esquinas redondeadas 42">
          <a:extLst>
            <a:ext uri="{FF2B5EF4-FFF2-40B4-BE49-F238E27FC236}">
              <a16:creationId xmlns:a16="http://schemas.microsoft.com/office/drawing/2014/main" id="{897385F1-5778-4DD5-A75F-4B6A674BDF33}"/>
            </a:ext>
          </a:extLst>
        </xdr:cNvPr>
        <xdr:cNvSpPr/>
      </xdr:nvSpPr>
      <xdr:spPr>
        <a:xfrm>
          <a:off x="5825913" y="3153118"/>
          <a:ext cx="3826087" cy="1968499"/>
        </a:xfrm>
        <a:prstGeom prst="roundRect">
          <a:avLst>
            <a:gd name="adj" fmla="val 4463"/>
          </a:avLst>
        </a:prstGeom>
        <a:solidFill>
          <a:srgbClr val="2E2F3C"/>
        </a:solidFill>
        <a:ln>
          <a:solidFill>
            <a:srgbClr val="FF0000"/>
          </a:solidFill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42122</xdr:colOff>
      <xdr:row>17</xdr:row>
      <xdr:rowOff>52201</xdr:rowOff>
    </xdr:from>
    <xdr:to>
      <xdr:col>13</xdr:col>
      <xdr:colOff>317499</xdr:colOff>
      <xdr:row>27</xdr:row>
      <xdr:rowOff>63499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B9C0C76-9A7D-4582-8701-1857E7BA1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7</xdr:col>
      <xdr:colOff>492124</xdr:colOff>
      <xdr:row>5</xdr:row>
      <xdr:rowOff>31749</xdr:rowOff>
    </xdr:from>
    <xdr:ext cx="1026585" cy="799041"/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769D6637-1C0B-23EB-4892-E4F0DA85DC67}"/>
            </a:ext>
          </a:extLst>
        </xdr:cNvPr>
        <xdr:cNvSpPr/>
      </xdr:nvSpPr>
      <xdr:spPr>
        <a:xfrm>
          <a:off x="5540374" y="957791"/>
          <a:ext cx="1026585" cy="79904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600" b="1" cap="none" spc="0">
              <a:ln w="0"/>
              <a:solidFill>
                <a:schemeClr val="accent3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MS Mincho" panose="02020609040205080304" pitchFamily="49" charset="-128"/>
              <a:ea typeface="MS Mincho" panose="02020609040205080304" pitchFamily="49" charset="-128"/>
            </a:rPr>
            <a:t>✓</a:t>
          </a:r>
          <a:endParaRPr lang="es-ES" sz="3600" b="1" cap="none" spc="0">
            <a:ln w="0"/>
            <a:solidFill>
              <a:schemeClr val="accent3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740834</xdr:colOff>
      <xdr:row>16</xdr:row>
      <xdr:rowOff>10583</xdr:rowOff>
    </xdr:from>
    <xdr:ext cx="476250" cy="592668"/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1DBC040F-AEDE-4499-9949-BCBA75E50EBB}"/>
            </a:ext>
          </a:extLst>
        </xdr:cNvPr>
        <xdr:cNvSpPr/>
      </xdr:nvSpPr>
      <xdr:spPr>
        <a:xfrm>
          <a:off x="5789084" y="2973916"/>
          <a:ext cx="476250" cy="59266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6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MS Mincho" panose="02020609040205080304" pitchFamily="49" charset="-128"/>
              <a:ea typeface="MS Mincho" panose="02020609040205080304" pitchFamily="49" charset="-128"/>
            </a:rPr>
            <a:t>✗</a:t>
          </a:r>
          <a:endParaRPr lang="es-ES" sz="3600" b="1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13</xdr:col>
      <xdr:colOff>153248</xdr:colOff>
      <xdr:row>8</xdr:row>
      <xdr:rowOff>41619</xdr:rowOff>
    </xdr:from>
    <xdr:to>
      <xdr:col>13</xdr:col>
      <xdr:colOff>523875</xdr:colOff>
      <xdr:row>9</xdr:row>
      <xdr:rowOff>31751</xdr:rowOff>
    </xdr:to>
    <xdr:sp macro="" textlink="Analisis!AH5">
      <xdr:nvSpPr>
        <xdr:cNvPr id="17" name="CuadroTexto 16">
          <a:extLst>
            <a:ext uri="{FF2B5EF4-FFF2-40B4-BE49-F238E27FC236}">
              <a16:creationId xmlns:a16="http://schemas.microsoft.com/office/drawing/2014/main" id="{F3BCE826-9A3B-4FAF-993A-F59A27F193CE}"/>
            </a:ext>
          </a:extLst>
        </xdr:cNvPr>
        <xdr:cNvSpPr txBox="1"/>
      </xdr:nvSpPr>
      <xdr:spPr>
        <a:xfrm>
          <a:off x="9440123" y="1523286"/>
          <a:ext cx="370627" cy="175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ACE0172A-742F-418A-AA7F-12507E8F9204}" type="TxLink">
            <a:rPr lang="en-US" sz="700" b="0" i="0" u="none" strike="noStrike" baseline="0">
              <a:solidFill>
                <a:srgbClr val="00B0F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</a:t>
          </a:fld>
          <a:endParaRPr lang="es-ES" sz="700" b="1">
            <a:solidFill>
              <a:srgbClr val="00B0F0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13</xdr:col>
      <xdr:colOff>132292</xdr:colOff>
      <xdr:row>8</xdr:row>
      <xdr:rowOff>153458</xdr:rowOff>
    </xdr:from>
    <xdr:to>
      <xdr:col>13</xdr:col>
      <xdr:colOff>502919</xdr:colOff>
      <xdr:row>9</xdr:row>
      <xdr:rowOff>143590</xdr:rowOff>
    </xdr:to>
    <xdr:sp macro="" textlink="Analisis!AR4">
      <xdr:nvSpPr>
        <xdr:cNvPr id="35" name="CuadroTexto 34">
          <a:extLst>
            <a:ext uri="{FF2B5EF4-FFF2-40B4-BE49-F238E27FC236}">
              <a16:creationId xmlns:a16="http://schemas.microsoft.com/office/drawing/2014/main" id="{676BA3CA-C608-496F-B1C1-788D2F376D03}"/>
            </a:ext>
          </a:extLst>
        </xdr:cNvPr>
        <xdr:cNvSpPr txBox="1"/>
      </xdr:nvSpPr>
      <xdr:spPr>
        <a:xfrm>
          <a:off x="9419167" y="1635125"/>
          <a:ext cx="370627" cy="175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C1151D47-C9C2-4EC1-92D6-52392AE32923}" type="TxLink">
            <a:rPr lang="en-US" sz="700" b="0" i="0" u="none" strike="noStrike" baseline="0">
              <a:solidFill>
                <a:srgbClr val="00B0F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0,285714286</a:t>
          </a:fld>
          <a:endParaRPr lang="es-ES" sz="700" b="1">
            <a:solidFill>
              <a:srgbClr val="00B0F0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13</xdr:col>
      <xdr:colOff>34925</xdr:colOff>
      <xdr:row>8</xdr:row>
      <xdr:rowOff>37569</xdr:rowOff>
    </xdr:from>
    <xdr:to>
      <xdr:col>13</xdr:col>
      <xdr:colOff>243417</xdr:colOff>
      <xdr:row>10</xdr:row>
      <xdr:rowOff>21166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53066414-08AB-C860-749E-D956434D72CB}"/>
            </a:ext>
          </a:extLst>
        </xdr:cNvPr>
        <xdr:cNvSpPr txBox="1"/>
      </xdr:nvSpPr>
      <xdr:spPr>
        <a:xfrm>
          <a:off x="9321800" y="1519236"/>
          <a:ext cx="208492" cy="3540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Bef>
              <a:spcPts val="0"/>
            </a:spcBef>
          </a:pPr>
          <a:r>
            <a:rPr lang="es-ES" sz="700">
              <a:solidFill>
                <a:srgbClr val="00B0F0"/>
              </a:solidFill>
              <a:latin typeface="Lobster Two" panose="020F0502020204030204" pitchFamily="2" charset="0"/>
            </a:rPr>
            <a:t>∑</a:t>
          </a:r>
        </a:p>
        <a:p>
          <a:pPr>
            <a:spcBef>
              <a:spcPts val="0"/>
            </a:spcBef>
          </a:pPr>
          <a:r>
            <a:rPr lang="es-ES" sz="700">
              <a:solidFill>
                <a:srgbClr val="00B0F0"/>
              </a:solidFill>
              <a:latin typeface="MS Reference Sans Serif" panose="020B0604030504040204" pitchFamily="34" charset="0"/>
            </a:rPr>
            <a:t></a:t>
          </a:r>
          <a:endParaRPr lang="es-ES" sz="700">
            <a:solidFill>
              <a:srgbClr val="00B0F0"/>
            </a:solidFill>
          </a:endParaRPr>
        </a:p>
      </xdr:txBody>
    </xdr:sp>
    <xdr:clientData/>
  </xdr:twoCellAnchor>
  <xdr:twoCellAnchor>
    <xdr:from>
      <xdr:col>13</xdr:col>
      <xdr:colOff>158540</xdr:colOff>
      <xdr:row>10</xdr:row>
      <xdr:rowOff>37041</xdr:rowOff>
    </xdr:from>
    <xdr:to>
      <xdr:col>13</xdr:col>
      <xdr:colOff>529167</xdr:colOff>
      <xdr:row>11</xdr:row>
      <xdr:rowOff>27172</xdr:rowOff>
    </xdr:to>
    <xdr:sp macro="" textlink="Analisis!AG5">
      <xdr:nvSpPr>
        <xdr:cNvPr id="41" name="CuadroTexto 40">
          <a:extLst>
            <a:ext uri="{FF2B5EF4-FFF2-40B4-BE49-F238E27FC236}">
              <a16:creationId xmlns:a16="http://schemas.microsoft.com/office/drawing/2014/main" id="{980BFD64-4A16-4A66-94E7-5244CC6184AC}"/>
            </a:ext>
          </a:extLst>
        </xdr:cNvPr>
        <xdr:cNvSpPr txBox="1"/>
      </xdr:nvSpPr>
      <xdr:spPr>
        <a:xfrm>
          <a:off x="9445415" y="1889124"/>
          <a:ext cx="370627" cy="175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1A6FBC2E-A2F1-421E-84DB-42970851452F}" type="TxLink">
            <a:rPr lang="en-US" sz="700" b="0" i="0" u="none" strike="noStrike" baseline="0">
              <a:solidFill>
                <a:srgbClr val="00800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</a:t>
          </a:fld>
          <a:endParaRPr lang="es-ES" sz="700" b="0" i="0" u="none" strike="noStrike" baseline="0">
            <a:solidFill>
              <a:srgbClr val="008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179917</xdr:colOff>
      <xdr:row>10</xdr:row>
      <xdr:rowOff>159464</xdr:rowOff>
    </xdr:from>
    <xdr:to>
      <xdr:col>13</xdr:col>
      <xdr:colOff>550544</xdr:colOff>
      <xdr:row>11</xdr:row>
      <xdr:rowOff>149595</xdr:rowOff>
    </xdr:to>
    <xdr:sp macro="" textlink="Analisis!AR5">
      <xdr:nvSpPr>
        <xdr:cNvPr id="42" name="CuadroTexto 41">
          <a:extLst>
            <a:ext uri="{FF2B5EF4-FFF2-40B4-BE49-F238E27FC236}">
              <a16:creationId xmlns:a16="http://schemas.microsoft.com/office/drawing/2014/main" id="{4B0C0603-006F-4E24-970B-ABFDF2C30218}"/>
            </a:ext>
          </a:extLst>
        </xdr:cNvPr>
        <xdr:cNvSpPr txBox="1"/>
      </xdr:nvSpPr>
      <xdr:spPr>
        <a:xfrm>
          <a:off x="9466792" y="2011547"/>
          <a:ext cx="370627" cy="175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3CE8B70-73AE-403D-B88C-AF8A5E275EEC}" type="TxLink">
            <a:rPr lang="en-US" sz="700" b="0" i="0" u="none" strike="noStrike" baseline="0">
              <a:solidFill>
                <a:srgbClr val="00800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0,142857143</a:t>
          </a:fld>
          <a:endParaRPr lang="es-ES" sz="700" b="1">
            <a:solidFill>
              <a:srgbClr val="008000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13</xdr:col>
      <xdr:colOff>63500</xdr:colOff>
      <xdr:row>10</xdr:row>
      <xdr:rowOff>42334</xdr:rowOff>
    </xdr:from>
    <xdr:to>
      <xdr:col>13</xdr:col>
      <xdr:colOff>271992</xdr:colOff>
      <xdr:row>12</xdr:row>
      <xdr:rowOff>25930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0A584AE6-03DA-472D-B4F0-EE53DDAFAA0F}"/>
            </a:ext>
          </a:extLst>
        </xdr:cNvPr>
        <xdr:cNvSpPr txBox="1"/>
      </xdr:nvSpPr>
      <xdr:spPr>
        <a:xfrm>
          <a:off x="9350375" y="1894417"/>
          <a:ext cx="208492" cy="3540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Bef>
              <a:spcPts val="0"/>
            </a:spcBef>
          </a:pPr>
          <a:r>
            <a:rPr lang="es-ES" sz="700">
              <a:solidFill>
                <a:srgbClr val="008000"/>
              </a:solidFill>
              <a:latin typeface="Lobster Two" panose="020F0502020204030204" pitchFamily="2" charset="0"/>
            </a:rPr>
            <a:t>∑</a:t>
          </a:r>
        </a:p>
        <a:p>
          <a:pPr>
            <a:spcBef>
              <a:spcPts val="0"/>
            </a:spcBef>
          </a:pPr>
          <a:r>
            <a:rPr lang="es-ES" sz="700">
              <a:solidFill>
                <a:srgbClr val="008000"/>
              </a:solidFill>
              <a:latin typeface="MS Reference Sans Serif" panose="020B0604030504040204" pitchFamily="34" charset="0"/>
            </a:rPr>
            <a:t></a:t>
          </a:r>
          <a:endParaRPr lang="es-ES" sz="700">
            <a:solidFill>
              <a:srgbClr val="008000"/>
            </a:solidFill>
          </a:endParaRPr>
        </a:p>
      </xdr:txBody>
    </xdr:sp>
    <xdr:clientData/>
  </xdr:twoCellAnchor>
  <xdr:twoCellAnchor>
    <xdr:from>
      <xdr:col>13</xdr:col>
      <xdr:colOff>153458</xdr:colOff>
      <xdr:row>11</xdr:row>
      <xdr:rowOff>169333</xdr:rowOff>
    </xdr:from>
    <xdr:to>
      <xdr:col>13</xdr:col>
      <xdr:colOff>524085</xdr:colOff>
      <xdr:row>12</xdr:row>
      <xdr:rowOff>159465</xdr:rowOff>
    </xdr:to>
    <xdr:sp macro="" textlink="Analisis!AF5">
      <xdr:nvSpPr>
        <xdr:cNvPr id="12" name="CuadroTexto 11">
          <a:extLst>
            <a:ext uri="{FF2B5EF4-FFF2-40B4-BE49-F238E27FC236}">
              <a16:creationId xmlns:a16="http://schemas.microsoft.com/office/drawing/2014/main" id="{39907E28-9590-49F4-9279-AFD4AA69C29D}"/>
            </a:ext>
          </a:extLst>
        </xdr:cNvPr>
        <xdr:cNvSpPr txBox="1"/>
      </xdr:nvSpPr>
      <xdr:spPr>
        <a:xfrm>
          <a:off x="9440333" y="2206625"/>
          <a:ext cx="370627" cy="175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D0BF0F7-8BE6-4B0F-BDCE-953D3A0C169E}" type="TxLink">
            <a:rPr lang="en-US" sz="700" b="0" i="0" u="none" strike="noStrike" baseline="0">
              <a:solidFill>
                <a:srgbClr val="FFC00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</a:t>
          </a:fld>
          <a:endParaRPr lang="es-ES" sz="700" b="0" i="0" u="none" strike="noStrike" baseline="0">
            <a:solidFill>
              <a:srgbClr val="FFC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100542</xdr:colOff>
      <xdr:row>12</xdr:row>
      <xdr:rowOff>105833</xdr:rowOff>
    </xdr:from>
    <xdr:to>
      <xdr:col>13</xdr:col>
      <xdr:colOff>471169</xdr:colOff>
      <xdr:row>13</xdr:row>
      <xdr:rowOff>95965</xdr:rowOff>
    </xdr:to>
    <xdr:sp macro="" textlink="Analisis!AR6">
      <xdr:nvSpPr>
        <xdr:cNvPr id="21" name="CuadroTexto 20">
          <a:extLst>
            <a:ext uri="{FF2B5EF4-FFF2-40B4-BE49-F238E27FC236}">
              <a16:creationId xmlns:a16="http://schemas.microsoft.com/office/drawing/2014/main" id="{502B917D-326C-405C-AD65-3891D7709025}"/>
            </a:ext>
          </a:extLst>
        </xdr:cNvPr>
        <xdr:cNvSpPr txBox="1"/>
      </xdr:nvSpPr>
      <xdr:spPr>
        <a:xfrm>
          <a:off x="9387417" y="2328333"/>
          <a:ext cx="370627" cy="175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BA4A88A3-3982-471C-AEB6-EA3C5B771889}" type="TxLink">
            <a:rPr lang="en-US" sz="700" b="0" i="0" u="none" strike="noStrike" baseline="0">
              <a:solidFill>
                <a:srgbClr val="FFC00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0,285714286</a:t>
          </a:fld>
          <a:endParaRPr lang="es-ES" sz="700" b="0" i="0" u="none" strike="noStrike" baseline="0">
            <a:solidFill>
              <a:srgbClr val="FFC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158750</xdr:colOff>
      <xdr:row>13</xdr:row>
      <xdr:rowOff>174625</xdr:rowOff>
    </xdr:from>
    <xdr:to>
      <xdr:col>13</xdr:col>
      <xdr:colOff>529377</xdr:colOff>
      <xdr:row>14</xdr:row>
      <xdr:rowOff>164756</xdr:rowOff>
    </xdr:to>
    <xdr:sp macro="" textlink="Analisis!AE5">
      <xdr:nvSpPr>
        <xdr:cNvPr id="32" name="CuadroTexto 31">
          <a:extLst>
            <a:ext uri="{FF2B5EF4-FFF2-40B4-BE49-F238E27FC236}">
              <a16:creationId xmlns:a16="http://schemas.microsoft.com/office/drawing/2014/main" id="{DD8553D0-6D2B-4EF3-88B1-1BF3BA5F346C}"/>
            </a:ext>
          </a:extLst>
        </xdr:cNvPr>
        <xdr:cNvSpPr txBox="1"/>
      </xdr:nvSpPr>
      <xdr:spPr>
        <a:xfrm>
          <a:off x="9445625" y="2582333"/>
          <a:ext cx="370627" cy="175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38060710-4A73-4415-95BB-B2B5AD0CDE4E}" type="TxLink">
            <a:rPr lang="en-US" sz="700" b="0" i="0" u="none" strike="noStrike" baseline="0">
              <a:solidFill>
                <a:srgbClr val="FFFF0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40</a:t>
          </a:fld>
          <a:endParaRPr lang="es-ES" sz="700" b="0" i="0" u="none" strike="noStrike" baseline="0">
            <a:solidFill>
              <a:srgbClr val="FFFF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105833</xdr:colOff>
      <xdr:row>14</xdr:row>
      <xdr:rowOff>105833</xdr:rowOff>
    </xdr:from>
    <xdr:to>
      <xdr:col>13</xdr:col>
      <xdr:colOff>476460</xdr:colOff>
      <xdr:row>15</xdr:row>
      <xdr:rowOff>95965</xdr:rowOff>
    </xdr:to>
    <xdr:sp macro="" textlink="Analisis!AR7">
      <xdr:nvSpPr>
        <xdr:cNvPr id="39" name="CuadroTexto 38">
          <a:extLst>
            <a:ext uri="{FF2B5EF4-FFF2-40B4-BE49-F238E27FC236}">
              <a16:creationId xmlns:a16="http://schemas.microsoft.com/office/drawing/2014/main" id="{53D2065F-B098-47A1-ADC3-5C8211CA7FEA}"/>
            </a:ext>
          </a:extLst>
        </xdr:cNvPr>
        <xdr:cNvSpPr txBox="1"/>
      </xdr:nvSpPr>
      <xdr:spPr>
        <a:xfrm>
          <a:off x="9392708" y="2698750"/>
          <a:ext cx="370627" cy="175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8465CFA4-6F6B-448E-BA37-B88E9D1DF9E8}" type="TxLink">
            <a:rPr lang="en-US" sz="700" b="0" i="0" u="none" strike="noStrike" baseline="0">
              <a:solidFill>
                <a:srgbClr val="FFFF0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5,714285714</a:t>
          </a:fld>
          <a:endParaRPr lang="es-ES" sz="700" b="0" i="0" u="none" strike="noStrike" baseline="0">
            <a:solidFill>
              <a:srgbClr val="FFFF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185209</xdr:colOff>
      <xdr:row>13</xdr:row>
      <xdr:rowOff>174626</xdr:rowOff>
    </xdr:from>
    <xdr:to>
      <xdr:col>13</xdr:col>
      <xdr:colOff>203201</xdr:colOff>
      <xdr:row>15</xdr:row>
      <xdr:rowOff>158222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BFC841A5-A98C-45D4-B661-2607694104AD}"/>
            </a:ext>
          </a:extLst>
        </xdr:cNvPr>
        <xdr:cNvSpPr txBox="1"/>
      </xdr:nvSpPr>
      <xdr:spPr>
        <a:xfrm>
          <a:off x="9281584" y="2582334"/>
          <a:ext cx="208492" cy="3540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Bef>
              <a:spcPts val="0"/>
            </a:spcBef>
          </a:pPr>
          <a:r>
            <a:rPr lang="es-ES" sz="700">
              <a:solidFill>
                <a:srgbClr val="FFFF00"/>
              </a:solidFill>
              <a:latin typeface="Lobster Two" panose="020F0502020204030204" pitchFamily="2" charset="0"/>
            </a:rPr>
            <a:t>∑</a:t>
          </a:r>
        </a:p>
        <a:p>
          <a:pPr>
            <a:spcBef>
              <a:spcPts val="0"/>
            </a:spcBef>
          </a:pPr>
          <a:r>
            <a:rPr lang="es-ES" sz="700">
              <a:solidFill>
                <a:srgbClr val="FFFF00"/>
              </a:solidFill>
              <a:latin typeface="MS Reference Sans Serif" panose="020B0604030504040204" pitchFamily="34" charset="0"/>
            </a:rPr>
            <a:t></a:t>
          </a:r>
          <a:endParaRPr lang="es-ES" sz="700">
            <a:solidFill>
              <a:srgbClr val="FFFF00"/>
            </a:solidFill>
          </a:endParaRPr>
        </a:p>
      </xdr:txBody>
    </xdr:sp>
    <xdr:clientData/>
  </xdr:twoCellAnchor>
  <xdr:twoCellAnchor>
    <xdr:from>
      <xdr:col>11</xdr:col>
      <xdr:colOff>615462</xdr:colOff>
      <xdr:row>26</xdr:row>
      <xdr:rowOff>123092</xdr:rowOff>
    </xdr:from>
    <xdr:to>
      <xdr:col>13</xdr:col>
      <xdr:colOff>392723</xdr:colOff>
      <xdr:row>28</xdr:row>
      <xdr:rowOff>82062</xdr:rowOff>
    </xdr:to>
    <xdr:sp macro="" textlink="">
      <xdr:nvSpPr>
        <xdr:cNvPr id="46" name="Rectángulo: esquinas redondeadas 4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067487E-84B5-44A8-BEF5-F7F92688B5ED}"/>
            </a:ext>
          </a:extLst>
        </xdr:cNvPr>
        <xdr:cNvSpPr/>
      </xdr:nvSpPr>
      <xdr:spPr>
        <a:xfrm>
          <a:off x="9794631" y="4695092"/>
          <a:ext cx="885092" cy="31066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  PORTADA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0.91904</cdr:x>
      <cdr:y>0.52845</cdr:y>
    </cdr:from>
    <cdr:to>
      <cdr:x>0.97461</cdr:x>
      <cdr:y>0.7169</cdr:y>
    </cdr:to>
    <cdr:sp macro="" textlink="">
      <cdr:nvSpPr>
        <cdr:cNvPr id="2" name="CuadroTexto 39">
          <a:extLst xmlns:a="http://schemas.openxmlformats.org/drawingml/2006/main">
            <a:ext uri="{FF2B5EF4-FFF2-40B4-BE49-F238E27FC236}">
              <a16:creationId xmlns:a16="http://schemas.microsoft.com/office/drawing/2014/main" id="{53066414-08AB-C860-749E-D956434D72CB}"/>
            </a:ext>
          </a:extLst>
        </cdr:cNvPr>
        <cdr:cNvSpPr txBox="1"/>
      </cdr:nvSpPr>
      <cdr:spPr>
        <a:xfrm xmlns:a="http://schemas.openxmlformats.org/drawingml/2006/main">
          <a:off x="3448049" y="992717"/>
          <a:ext cx="208492" cy="3540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spcBef>
              <a:spcPts val="0"/>
            </a:spcBef>
          </a:pPr>
          <a:r>
            <a:rPr lang="es-ES" sz="700">
              <a:solidFill>
                <a:srgbClr val="FFC000"/>
              </a:solidFill>
              <a:latin typeface="Lobster Two" panose="020F0502020204030204" pitchFamily="2" charset="0"/>
            </a:rPr>
            <a:t>∑</a:t>
          </a:r>
        </a:p>
        <a:p xmlns:a="http://schemas.openxmlformats.org/drawingml/2006/main">
          <a:pPr>
            <a:spcBef>
              <a:spcPts val="0"/>
            </a:spcBef>
          </a:pPr>
          <a:r>
            <a:rPr lang="es-ES" sz="700">
              <a:solidFill>
                <a:srgbClr val="FFC000"/>
              </a:solidFill>
              <a:latin typeface="MS Reference Sans Serif" panose="020B0604030504040204" pitchFamily="34" charset="0"/>
            </a:rPr>
            <a:t></a:t>
          </a:r>
          <a:endParaRPr lang="es-ES" sz="700">
            <a:solidFill>
              <a:srgbClr val="FFC000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31540</xdr:colOff>
      <xdr:row>0</xdr:row>
      <xdr:rowOff>41618</xdr:rowOff>
    </xdr:from>
    <xdr:to>
      <xdr:col>13</xdr:col>
      <xdr:colOff>444501</xdr:colOff>
      <xdr:row>27</xdr:row>
      <xdr:rowOff>153458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9388DB6-24AE-405E-8DB4-04E3B293BB45}"/>
            </a:ext>
          </a:extLst>
        </xdr:cNvPr>
        <xdr:cNvSpPr/>
      </xdr:nvSpPr>
      <xdr:spPr>
        <a:xfrm>
          <a:off x="31540" y="41618"/>
          <a:ext cx="9699836" cy="5112465"/>
        </a:xfrm>
        <a:prstGeom prst="roundRect">
          <a:avLst>
            <a:gd name="adj" fmla="val 3007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195791</xdr:colOff>
      <xdr:row>0</xdr:row>
      <xdr:rowOff>66040</xdr:rowOff>
    </xdr:from>
    <xdr:to>
      <xdr:col>13</xdr:col>
      <xdr:colOff>301624</xdr:colOff>
      <xdr:row>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A16D4399-25E0-4B65-AB43-7C604C353DD0}"/>
            </a:ext>
          </a:extLst>
        </xdr:cNvPr>
        <xdr:cNvSpPr/>
      </xdr:nvSpPr>
      <xdr:spPr>
        <a:xfrm>
          <a:off x="1195916" y="66040"/>
          <a:ext cx="8392583" cy="1045210"/>
        </a:xfrm>
        <a:prstGeom prst="rect">
          <a:avLst/>
        </a:prstGeom>
        <a:solidFill>
          <a:srgbClr val="2E2F3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169545</xdr:colOff>
      <xdr:row>6</xdr:row>
      <xdr:rowOff>46142</xdr:rowOff>
    </xdr:from>
    <xdr:to>
      <xdr:col>7</xdr:col>
      <xdr:colOff>734086</xdr:colOff>
      <xdr:row>18</xdr:row>
      <xdr:rowOff>41062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15CBB8F1-B9D0-4D15-B75E-99756785FCA6}"/>
            </a:ext>
          </a:extLst>
        </xdr:cNvPr>
        <xdr:cNvSpPr/>
      </xdr:nvSpPr>
      <xdr:spPr>
        <a:xfrm>
          <a:off x="1167765" y="1143422"/>
          <a:ext cx="4603141" cy="2189480"/>
        </a:xfrm>
        <a:prstGeom prst="roundRect">
          <a:avLst>
            <a:gd name="adj" fmla="val 4463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268605</xdr:colOff>
      <xdr:row>0</xdr:row>
      <xdr:rowOff>114300</xdr:rowOff>
    </xdr:from>
    <xdr:to>
      <xdr:col>2</xdr:col>
      <xdr:colOff>630510</xdr:colOff>
      <xdr:row>2</xdr:row>
      <xdr:rowOff>108540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C134E301-422B-4E4C-94B6-465D8B4D8361}"/>
            </a:ext>
          </a:extLst>
        </xdr:cNvPr>
        <xdr:cNvSpPr/>
      </xdr:nvSpPr>
      <xdr:spPr>
        <a:xfrm>
          <a:off x="1268730" y="114300"/>
          <a:ext cx="361905" cy="364657"/>
        </a:xfrm>
        <a:prstGeom prst="ellipse">
          <a:avLst/>
        </a:prstGeom>
        <a:solidFill>
          <a:sysClr val="window" lastClr="FFFFFF"/>
        </a:solidFill>
        <a:effectLst>
          <a:outerShdw blurRad="63500" dist="635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2</xdr:col>
      <xdr:colOff>258022</xdr:colOff>
      <xdr:row>0</xdr:row>
      <xdr:rowOff>98849</xdr:rowOff>
    </xdr:from>
    <xdr:to>
      <xdr:col>2</xdr:col>
      <xdr:colOff>619927</xdr:colOff>
      <xdr:row>2</xdr:row>
      <xdr:rowOff>93089</xdr:rowOff>
    </xdr:to>
    <xdr:pic>
      <xdr:nvPicPr>
        <xdr:cNvPr id="6" name="Gráfico 5" descr="Diagrama de flujo circular contorno">
          <a:extLst>
            <a:ext uri="{FF2B5EF4-FFF2-40B4-BE49-F238E27FC236}">
              <a16:creationId xmlns:a16="http://schemas.microsoft.com/office/drawing/2014/main" id="{B517F84B-CE1B-43EC-B83A-1BFBED5ED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58147" y="98849"/>
          <a:ext cx="361905" cy="364657"/>
        </a:xfrm>
        <a:prstGeom prst="rect">
          <a:avLst/>
        </a:prstGeom>
      </xdr:spPr>
    </xdr:pic>
    <xdr:clientData/>
  </xdr:twoCellAnchor>
  <xdr:twoCellAnchor>
    <xdr:from>
      <xdr:col>2</xdr:col>
      <xdr:colOff>633730</xdr:colOff>
      <xdr:row>0</xdr:row>
      <xdr:rowOff>94827</xdr:rowOff>
    </xdr:from>
    <xdr:to>
      <xdr:col>6</xdr:col>
      <xdr:colOff>266065</xdr:colOff>
      <xdr:row>1</xdr:row>
      <xdr:rowOff>173356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C691980-E1C1-4D90-8E93-E01AF0C49B6A}"/>
            </a:ext>
          </a:extLst>
        </xdr:cNvPr>
        <xdr:cNvSpPr txBox="1"/>
      </xdr:nvSpPr>
      <xdr:spPr>
        <a:xfrm>
          <a:off x="1633855" y="94827"/>
          <a:ext cx="2870835" cy="263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 ExtraBold" panose="020B0903050000020004" pitchFamily="34" charset="0"/>
            </a:rPr>
            <a:t>Dashboard - Estadística</a:t>
          </a:r>
          <a:r>
            <a:rPr lang="es-ES" sz="12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 ExtraBold" panose="020B0903050000020004" pitchFamily="34" charset="0"/>
            </a:rPr>
            <a:t> Infantil A FCB</a:t>
          </a:r>
          <a:endParaRPr lang="es-ES" sz="12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 ExtraBold" panose="020B0903050000020004" pitchFamily="34" charset="0"/>
          </a:endParaRPr>
        </a:p>
      </xdr:txBody>
    </xdr:sp>
    <xdr:clientData/>
  </xdr:twoCellAnchor>
  <xdr:twoCellAnchor>
    <xdr:from>
      <xdr:col>2</xdr:col>
      <xdr:colOff>633730</xdr:colOff>
      <xdr:row>1</xdr:row>
      <xdr:rowOff>69427</xdr:rowOff>
    </xdr:from>
    <xdr:to>
      <xdr:col>6</xdr:col>
      <xdr:colOff>266065</xdr:colOff>
      <xdr:row>2</xdr:row>
      <xdr:rowOff>147955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8E866ADC-A27C-44AD-8289-D91FE003B71F}"/>
            </a:ext>
          </a:extLst>
        </xdr:cNvPr>
        <xdr:cNvSpPr txBox="1"/>
      </xdr:nvSpPr>
      <xdr:spPr>
        <a:xfrm>
          <a:off x="1633855" y="254635"/>
          <a:ext cx="2870835" cy="263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Analísis estadístico individual</a:t>
          </a:r>
          <a:r>
            <a:rPr lang="es-ES" sz="8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temporada 2024/25</a:t>
          </a:r>
          <a:endParaRPr lang="es-ES" sz="8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2</xdr:col>
      <xdr:colOff>216958</xdr:colOff>
      <xdr:row>18</xdr:row>
      <xdr:rowOff>62259</xdr:rowOff>
    </xdr:from>
    <xdr:to>
      <xdr:col>7</xdr:col>
      <xdr:colOff>746125</xdr:colOff>
      <xdr:row>27</xdr:row>
      <xdr:rowOff>89958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4DF22D53-D4CD-4A83-8DD3-FDF92B6D5DF0}"/>
            </a:ext>
          </a:extLst>
        </xdr:cNvPr>
        <xdr:cNvSpPr/>
      </xdr:nvSpPr>
      <xdr:spPr>
        <a:xfrm>
          <a:off x="1215178" y="3354099"/>
          <a:ext cx="4567767" cy="1673619"/>
        </a:xfrm>
        <a:prstGeom prst="roundRect">
          <a:avLst>
            <a:gd name="adj" fmla="val 4463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39370</xdr:colOff>
      <xdr:row>0</xdr:row>
      <xdr:rowOff>148167</xdr:rowOff>
    </xdr:from>
    <xdr:to>
      <xdr:col>2</xdr:col>
      <xdr:colOff>191245</xdr:colOff>
      <xdr:row>19</xdr:row>
      <xdr:rowOff>38993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rival 2">
              <a:extLst>
                <a:ext uri="{FF2B5EF4-FFF2-40B4-BE49-F238E27FC236}">
                  <a16:creationId xmlns:a16="http://schemas.microsoft.com/office/drawing/2014/main" id="{20998937-4573-4236-B3D4-390C5C9FB9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iva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70" y="148167"/>
              <a:ext cx="1152000" cy="34097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107103</xdr:colOff>
      <xdr:row>0</xdr:row>
      <xdr:rowOff>0</xdr:rowOff>
    </xdr:from>
    <xdr:to>
      <xdr:col>2</xdr:col>
      <xdr:colOff>208703</xdr:colOff>
      <xdr:row>1</xdr:row>
      <xdr:rowOff>76200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E1CEB997-AD2F-4000-9C00-C5DF3783E37E}"/>
            </a:ext>
          </a:extLst>
        </xdr:cNvPr>
        <xdr:cNvSpPr txBox="1"/>
      </xdr:nvSpPr>
      <xdr:spPr>
        <a:xfrm>
          <a:off x="107103" y="0"/>
          <a:ext cx="109982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800">
              <a:solidFill>
                <a:srgbClr val="EE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● </a:t>
          </a:r>
          <a:r>
            <a:rPr lang="es-ES" sz="600" b="1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Filtro por rival</a:t>
          </a:r>
          <a:endParaRPr lang="es-ES" sz="800" b="1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1</xdr:col>
      <xdr:colOff>327224</xdr:colOff>
      <xdr:row>14</xdr:row>
      <xdr:rowOff>169654</xdr:rowOff>
    </xdr:from>
    <xdr:to>
      <xdr:col>2</xdr:col>
      <xdr:colOff>703144</xdr:colOff>
      <xdr:row>18</xdr:row>
      <xdr:rowOff>11807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E86CEBF3-5F02-4D37-9CAE-D32E09A4B1F5}"/>
            </a:ext>
          </a:extLst>
        </xdr:cNvPr>
        <xdr:cNvSpPr/>
      </xdr:nvSpPr>
      <xdr:spPr>
        <a:xfrm>
          <a:off x="517724" y="2729974"/>
          <a:ext cx="1183640" cy="573673"/>
        </a:xfrm>
        <a:prstGeom prst="roundRect">
          <a:avLst>
            <a:gd name="adj" fmla="val 9755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312189</xdr:colOff>
      <xdr:row>14</xdr:row>
      <xdr:rowOff>37316</xdr:rowOff>
    </xdr:from>
    <xdr:to>
      <xdr:col>2</xdr:col>
      <xdr:colOff>647469</xdr:colOff>
      <xdr:row>20</xdr:row>
      <xdr:rowOff>14892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A06B2894-E6F4-4EEA-91DB-36A16729F73C}"/>
            </a:ext>
          </a:extLst>
        </xdr:cNvPr>
        <xdr:cNvSpPr txBox="1"/>
      </xdr:nvSpPr>
      <xdr:spPr>
        <a:xfrm>
          <a:off x="502689" y="2597636"/>
          <a:ext cx="1143000" cy="10748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800" b="1" baseline="0">
              <a:solidFill>
                <a:srgbClr val="C04F15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Totales: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   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800" b="1">
            <a:solidFill>
              <a:schemeClr val="bg1"/>
            </a:solidFill>
            <a:latin typeface="Fira Sans" panose="020B0503050000020004" pitchFamily="34" charset="0"/>
            <a:ea typeface="+mn-ea"/>
            <a:cs typeface="Arial" panose="020B0604020202020204" pitchFamily="34" charset="0"/>
          </a:endParaRPr>
        </a:p>
        <a:p>
          <a:endParaRPr lang="es-ES" sz="800" b="1">
            <a:solidFill>
              <a:schemeClr val="bg1"/>
            </a:solidFill>
            <a:latin typeface="Fira Sans" panose="020B0503050000020004" pitchFamily="34" charset="0"/>
            <a:cs typeface="Arial" panose="020B0604020202020204" pitchFamily="34" charset="0"/>
          </a:endParaRPr>
        </a:p>
        <a:p>
          <a:endParaRPr lang="es-ES" sz="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ES" sz="600"/>
        </a:p>
      </xdr:txBody>
    </xdr:sp>
    <xdr:clientData/>
  </xdr:twoCellAnchor>
  <xdr:twoCellAnchor>
    <xdr:from>
      <xdr:col>1</xdr:col>
      <xdr:colOff>327224</xdr:colOff>
      <xdr:row>24</xdr:row>
      <xdr:rowOff>26568</xdr:rowOff>
    </xdr:from>
    <xdr:to>
      <xdr:col>2</xdr:col>
      <xdr:colOff>704743</xdr:colOff>
      <xdr:row>27</xdr:row>
      <xdr:rowOff>55029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CB0EC200-FB51-4E85-BE9D-6AC45D168ABA}"/>
            </a:ext>
          </a:extLst>
        </xdr:cNvPr>
        <xdr:cNvSpPr/>
      </xdr:nvSpPr>
      <xdr:spPr>
        <a:xfrm>
          <a:off x="517724" y="4471568"/>
          <a:ext cx="1187144" cy="584086"/>
        </a:xfrm>
        <a:prstGeom prst="roundRect">
          <a:avLst>
            <a:gd name="adj" fmla="val 9755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777663</xdr:colOff>
      <xdr:row>6</xdr:row>
      <xdr:rowOff>58209</xdr:rowOff>
    </xdr:from>
    <xdr:to>
      <xdr:col>13</xdr:col>
      <xdr:colOff>365125</xdr:colOff>
      <xdr:row>16</xdr:row>
      <xdr:rowOff>174625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8F7F984B-9575-4978-886B-A1A227F280E5}"/>
            </a:ext>
          </a:extLst>
        </xdr:cNvPr>
        <xdr:cNvSpPr/>
      </xdr:nvSpPr>
      <xdr:spPr>
        <a:xfrm>
          <a:off x="5814483" y="1155489"/>
          <a:ext cx="3816562" cy="1945216"/>
        </a:xfrm>
        <a:prstGeom prst="roundRect">
          <a:avLst>
            <a:gd name="adj" fmla="val 4463"/>
          </a:avLst>
        </a:prstGeom>
        <a:solidFill>
          <a:srgbClr val="2E2F3C"/>
        </a:solidFill>
        <a:ln>
          <a:solidFill>
            <a:srgbClr val="00B050"/>
          </a:solidFill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465457</xdr:colOff>
      <xdr:row>6</xdr:row>
      <xdr:rowOff>46910</xdr:rowOff>
    </xdr:from>
    <xdr:to>
      <xdr:col>12</xdr:col>
      <xdr:colOff>97792</xdr:colOff>
      <xdr:row>7</xdr:row>
      <xdr:rowOff>125439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D6AB3E07-737F-4388-8F94-94FFB32F3583}"/>
            </a:ext>
          </a:extLst>
        </xdr:cNvPr>
        <xdr:cNvSpPr txBox="1"/>
      </xdr:nvSpPr>
      <xdr:spPr>
        <a:xfrm>
          <a:off x="6309997" y="1144190"/>
          <a:ext cx="2863215" cy="2614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s-ES" sz="12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 ExtraBold" panose="020B0903050000020004" pitchFamily="34" charset="0"/>
          </a:endParaRPr>
        </a:p>
      </xdr:txBody>
    </xdr:sp>
    <xdr:clientData/>
  </xdr:twoCellAnchor>
  <xdr:twoCellAnchor>
    <xdr:from>
      <xdr:col>7</xdr:col>
      <xdr:colOff>777663</xdr:colOff>
      <xdr:row>17</xdr:row>
      <xdr:rowOff>4576</xdr:rowOff>
    </xdr:from>
    <xdr:to>
      <xdr:col>13</xdr:col>
      <xdr:colOff>365125</xdr:colOff>
      <xdr:row>27</xdr:row>
      <xdr:rowOff>120992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A3A2C440-9968-4553-B9FD-6BF3947B1B4E}"/>
            </a:ext>
          </a:extLst>
        </xdr:cNvPr>
        <xdr:cNvSpPr/>
      </xdr:nvSpPr>
      <xdr:spPr>
        <a:xfrm>
          <a:off x="5814483" y="3113536"/>
          <a:ext cx="3816562" cy="1945216"/>
        </a:xfrm>
        <a:prstGeom prst="roundRect">
          <a:avLst>
            <a:gd name="adj" fmla="val 4463"/>
          </a:avLst>
        </a:prstGeom>
        <a:solidFill>
          <a:srgbClr val="2E2F3C"/>
        </a:solidFill>
        <a:ln>
          <a:solidFill>
            <a:srgbClr val="FF0000"/>
          </a:solidFill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243418</xdr:colOff>
      <xdr:row>7</xdr:row>
      <xdr:rowOff>74083</xdr:rowOff>
    </xdr:from>
    <xdr:to>
      <xdr:col>7</xdr:col>
      <xdr:colOff>672041</xdr:colOff>
      <xdr:row>17</xdr:row>
      <xdr:rowOff>142874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2A5890E7-77C0-46F6-9AC2-B01BF78AF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259273</xdr:colOff>
      <xdr:row>15</xdr:row>
      <xdr:rowOff>94677</xdr:rowOff>
    </xdr:from>
    <xdr:to>
      <xdr:col>2</xdr:col>
      <xdr:colOff>375708</xdr:colOff>
      <xdr:row>17</xdr:row>
      <xdr:rowOff>142874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D070F511-ABDA-45E0-8221-82B7CA587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296333</xdr:colOff>
      <xdr:row>5</xdr:row>
      <xdr:rowOff>173910</xdr:rowOff>
    </xdr:from>
    <xdr:to>
      <xdr:col>7</xdr:col>
      <xdr:colOff>560917</xdr:colOff>
      <xdr:row>8</xdr:row>
      <xdr:rowOff>4265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6CA5BB35-1E7A-4748-98DC-5FD345229E00}"/>
            </a:ext>
          </a:extLst>
        </xdr:cNvPr>
        <xdr:cNvSpPr txBox="1"/>
      </xdr:nvSpPr>
      <xdr:spPr>
        <a:xfrm>
          <a:off x="2106083" y="1099952"/>
          <a:ext cx="3503084" cy="385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800" b="1">
              <a:solidFill>
                <a:srgbClr val="4E95D9"/>
              </a:solidFill>
              <a:effectLst/>
              <a:latin typeface="+mn-lt"/>
              <a:ea typeface="+mn-ea"/>
              <a:cs typeface="+mn-cs"/>
            </a:rPr>
            <a:t>▪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200" b="1">
              <a:solidFill>
                <a:schemeClr val="bg1"/>
              </a:solidFill>
              <a:latin typeface="Fira Sans" panose="020B0503050000020004" pitchFamily="34" charset="0"/>
              <a:ea typeface="+mn-ea"/>
              <a:cs typeface="Arial" panose="020B0604020202020204" pitchFamily="34" charset="0"/>
            </a:rPr>
            <a:t>Goles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s-ES" sz="1800" b="1">
              <a:solidFill>
                <a:srgbClr val="C04F15"/>
              </a:solidFill>
              <a:effectLst/>
              <a:latin typeface="+mn-lt"/>
              <a:ea typeface="+mn-ea"/>
              <a:cs typeface="+mn-cs"/>
            </a:rPr>
            <a:t>▪</a:t>
          </a:r>
          <a:r>
            <a:rPr lang="es-ES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Lanzamientos</a:t>
          </a: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</a:t>
          </a:r>
          <a:r>
            <a:rPr lang="es-ES" sz="1800" b="1">
              <a:solidFill>
                <a:srgbClr val="196B24"/>
              </a:solidFill>
              <a:effectLst/>
              <a:latin typeface="+mn-lt"/>
              <a:ea typeface="+mn-ea"/>
              <a:cs typeface="+mn-cs"/>
            </a:rPr>
            <a:t>▪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200" b="1">
              <a:solidFill>
                <a:schemeClr val="bg1"/>
              </a:solidFill>
              <a:latin typeface="Fira Sans" panose="020B0503050000020004" pitchFamily="34" charset="0"/>
              <a:ea typeface="+mn-ea"/>
              <a:cs typeface="Arial" panose="020B0604020202020204" pitchFamily="34" charset="0"/>
            </a:rPr>
            <a:t>Porcentaje(%)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</a:t>
          </a:r>
          <a:endParaRPr lang="es-ES" sz="1200" b="1">
            <a:solidFill>
              <a:schemeClr val="bg1"/>
            </a:solidFill>
            <a:latin typeface="Fira Sans" panose="020B0503050000020004" pitchFamily="34" charset="0"/>
            <a:ea typeface="+mn-ea"/>
            <a:cs typeface="Arial" panose="020B0604020202020204" pitchFamily="34" charset="0"/>
          </a:endParaRPr>
        </a:p>
        <a:p>
          <a:endParaRPr lang="es-ES" sz="800" b="1">
            <a:solidFill>
              <a:schemeClr val="bg1"/>
            </a:solidFill>
            <a:latin typeface="Fira Sans" panose="020B0503050000020004" pitchFamily="34" charset="0"/>
            <a:cs typeface="Arial" panose="020B0604020202020204" pitchFamily="34" charset="0"/>
          </a:endParaRPr>
        </a:p>
        <a:p>
          <a:endParaRPr lang="es-ES" sz="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ES" sz="600"/>
        </a:p>
      </xdr:txBody>
    </xdr:sp>
    <xdr:clientData/>
  </xdr:twoCellAnchor>
  <xdr:twoCellAnchor>
    <xdr:from>
      <xdr:col>1</xdr:col>
      <xdr:colOff>730042</xdr:colOff>
      <xdr:row>7</xdr:row>
      <xdr:rowOff>37042</xdr:rowOff>
    </xdr:from>
    <xdr:to>
      <xdr:col>3</xdr:col>
      <xdr:colOff>61583</xdr:colOff>
      <xdr:row>13</xdr:row>
      <xdr:rowOff>144188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77B2BF34-77A6-4E19-9050-DEA61B670A65}"/>
            </a:ext>
          </a:extLst>
        </xdr:cNvPr>
        <xdr:cNvSpPr txBox="1"/>
      </xdr:nvSpPr>
      <xdr:spPr>
        <a:xfrm rot="16200000">
          <a:off x="786740" y="1467302"/>
          <a:ext cx="1218396" cy="9507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900" b="1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+mn-cs"/>
            </a:rPr>
            <a:t>Unidades</a:t>
          </a:r>
          <a:endParaRPr lang="es-ES" sz="900" b="1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2</xdr:col>
      <xdr:colOff>215052</xdr:colOff>
      <xdr:row>18</xdr:row>
      <xdr:rowOff>111125</xdr:rowOff>
    </xdr:from>
    <xdr:to>
      <xdr:col>7</xdr:col>
      <xdr:colOff>709082</xdr:colOff>
      <xdr:row>27</xdr:row>
      <xdr:rowOff>84667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B5151682-0A3D-4834-88E0-9B012BCD4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714167</xdr:colOff>
      <xdr:row>17</xdr:row>
      <xdr:rowOff>110410</xdr:rowOff>
    </xdr:from>
    <xdr:to>
      <xdr:col>3</xdr:col>
      <xdr:colOff>45708</xdr:colOff>
      <xdr:row>24</xdr:row>
      <xdr:rowOff>32348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E2E2D768-E7F9-4534-9FBD-DA794B3CACB0}"/>
            </a:ext>
          </a:extLst>
        </xdr:cNvPr>
        <xdr:cNvSpPr txBox="1"/>
      </xdr:nvSpPr>
      <xdr:spPr>
        <a:xfrm rot="16200000">
          <a:off x="770865" y="3392754"/>
          <a:ext cx="1218396" cy="9507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900" b="1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+mn-cs"/>
            </a:rPr>
            <a:t>Unidades</a:t>
          </a:r>
          <a:endParaRPr lang="es-ES" sz="900" b="1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1</xdr:col>
      <xdr:colOff>211666</xdr:colOff>
      <xdr:row>24</xdr:row>
      <xdr:rowOff>37041</xdr:rowOff>
    </xdr:from>
    <xdr:to>
      <xdr:col>2</xdr:col>
      <xdr:colOff>619125</xdr:colOff>
      <xdr:row>27</xdr:row>
      <xdr:rowOff>121708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14DC27B4-F606-4E68-8400-E7BC0DE97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312210</xdr:colOff>
      <xdr:row>23</xdr:row>
      <xdr:rowOff>84666</xdr:rowOff>
    </xdr:from>
    <xdr:to>
      <xdr:col>2</xdr:col>
      <xdr:colOff>100543</xdr:colOff>
      <xdr:row>25</xdr:row>
      <xdr:rowOff>31750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57588B84-22C4-4559-93F1-064B794977D3}"/>
            </a:ext>
          </a:extLst>
        </xdr:cNvPr>
        <xdr:cNvSpPr txBox="1"/>
      </xdr:nvSpPr>
      <xdr:spPr>
        <a:xfrm>
          <a:off x="502710" y="4344458"/>
          <a:ext cx="597958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800" b="1" baseline="0">
              <a:solidFill>
                <a:srgbClr val="C04F15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Totales: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   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800" b="1">
            <a:solidFill>
              <a:schemeClr val="bg1"/>
            </a:solidFill>
            <a:latin typeface="Fira Sans" panose="020B0503050000020004" pitchFamily="34" charset="0"/>
            <a:ea typeface="+mn-ea"/>
            <a:cs typeface="Arial" panose="020B0604020202020204" pitchFamily="34" charset="0"/>
          </a:endParaRPr>
        </a:p>
        <a:p>
          <a:endParaRPr lang="es-ES" sz="800" b="1">
            <a:solidFill>
              <a:schemeClr val="bg1"/>
            </a:solidFill>
            <a:latin typeface="Fira Sans" panose="020B0503050000020004" pitchFamily="34" charset="0"/>
            <a:cs typeface="Arial" panose="020B0604020202020204" pitchFamily="34" charset="0"/>
          </a:endParaRPr>
        </a:p>
        <a:p>
          <a:endParaRPr lang="es-ES" sz="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ES" sz="600"/>
        </a:p>
      </xdr:txBody>
    </xdr:sp>
    <xdr:clientData/>
  </xdr:twoCellAnchor>
  <xdr:twoCellAnchor>
    <xdr:from>
      <xdr:col>6</xdr:col>
      <xdr:colOff>259292</xdr:colOff>
      <xdr:row>0</xdr:row>
      <xdr:rowOff>79374</xdr:rowOff>
    </xdr:from>
    <xdr:to>
      <xdr:col>13</xdr:col>
      <xdr:colOff>269875</xdr:colOff>
      <xdr:row>5</xdr:row>
      <xdr:rowOff>171880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6BD055DB-FE6B-4350-8DB3-93C795EBBEBA}"/>
            </a:ext>
          </a:extLst>
        </xdr:cNvPr>
        <xdr:cNvSpPr txBox="1"/>
      </xdr:nvSpPr>
      <xdr:spPr>
        <a:xfrm>
          <a:off x="4968796" y="79374"/>
          <a:ext cx="5619590" cy="980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800" b="1" baseline="0">
              <a:solidFill>
                <a:schemeClr val="bg1"/>
              </a:solidFill>
              <a:effectLst/>
              <a:latin typeface="Fira Sans" panose="020B0503050000020004" pitchFamily="34" charset="0"/>
              <a:ea typeface="+mn-ea"/>
              <a:cs typeface="Arial" panose="020B0604020202020204" pitchFamily="34" charset="0"/>
            </a:rPr>
            <a:t>MEDIAS TEMPORADA</a:t>
          </a: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800" b="1">
            <a:solidFill>
              <a:schemeClr val="bg1"/>
            </a:solidFill>
            <a:latin typeface="Fira Sans" panose="020B05030500000200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800" b="1" baseline="0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 EFICIENCIA LANZAMIENTOS :                         MEDIA RECUPERACIONES:             MEDIA PÉRDIDAS: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800" b="1" baseline="0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 PORCENTAJES PARADAS:                                MEDIA EXCLUSIONES (+):               MEDIA EXCLUSIONES (-):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800" b="1" baseline="0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 MEDIA GOLES FAVOR:                                      MEDIA ASISTENCIAS:                   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800" b="1" baseline="0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 MEDIA GOLES CONTRA:                                          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800" b="1" baseline="0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                                                                                                                                                                                       NÚMERO JORNADAS: </a:t>
          </a:r>
          <a:endParaRPr lang="es-ES" sz="800" b="1">
            <a:solidFill>
              <a:schemeClr val="bg1"/>
            </a:solidFill>
            <a:latin typeface="Fira Sans" panose="020B05030500000200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   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800" b="1">
            <a:solidFill>
              <a:schemeClr val="bg1"/>
            </a:solidFill>
            <a:latin typeface="Fira Sans" panose="020B0503050000020004" pitchFamily="34" charset="0"/>
            <a:ea typeface="+mn-ea"/>
            <a:cs typeface="Arial" panose="020B0604020202020204" pitchFamily="34" charset="0"/>
          </a:endParaRPr>
        </a:p>
        <a:p>
          <a:endParaRPr lang="es-ES" sz="800" b="1">
            <a:solidFill>
              <a:schemeClr val="bg1"/>
            </a:solidFill>
            <a:latin typeface="Fira Sans" panose="020B0503050000020004" pitchFamily="34" charset="0"/>
            <a:cs typeface="Arial" panose="020B0604020202020204" pitchFamily="34" charset="0"/>
          </a:endParaRPr>
        </a:p>
        <a:p>
          <a:endParaRPr lang="es-ES" sz="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ES" sz="600"/>
        </a:p>
      </xdr:txBody>
    </xdr:sp>
    <xdr:clientData/>
  </xdr:twoCellAnchor>
  <xdr:twoCellAnchor>
    <xdr:from>
      <xdr:col>2</xdr:col>
      <xdr:colOff>804333</xdr:colOff>
      <xdr:row>18</xdr:row>
      <xdr:rowOff>9867</xdr:rowOff>
    </xdr:from>
    <xdr:to>
      <xdr:col>7</xdr:col>
      <xdr:colOff>481332</xdr:colOff>
      <xdr:row>20</xdr:row>
      <xdr:rowOff>25430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A05B5907-47A3-4E2D-BEE3-FAE8197F29D7}"/>
            </a:ext>
          </a:extLst>
        </xdr:cNvPr>
        <xdr:cNvSpPr txBox="1"/>
      </xdr:nvSpPr>
      <xdr:spPr>
        <a:xfrm>
          <a:off x="1804458" y="3343617"/>
          <a:ext cx="3725124" cy="385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800" b="1">
              <a:solidFill>
                <a:srgbClr val="4E95D9"/>
              </a:solidFill>
              <a:effectLst/>
              <a:latin typeface="+mn-lt"/>
              <a:ea typeface="+mn-ea"/>
              <a:cs typeface="+mn-cs"/>
            </a:rPr>
            <a:t>▪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200" b="1">
              <a:solidFill>
                <a:schemeClr val="bg1"/>
              </a:solidFill>
              <a:effectLst/>
              <a:latin typeface="Fira Sans" panose="020B0503050000020004" pitchFamily="34" charset="0"/>
              <a:ea typeface="+mn-ea"/>
              <a:cs typeface="Arial" panose="020B0604020202020204" pitchFamily="34" charset="0"/>
            </a:rPr>
            <a:t>Paradas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s-ES" sz="1800" b="1">
              <a:solidFill>
                <a:srgbClr val="C04F15"/>
              </a:solidFill>
              <a:effectLst/>
              <a:latin typeface="+mn-lt"/>
              <a:ea typeface="+mn-ea"/>
              <a:cs typeface="+mn-cs"/>
            </a:rPr>
            <a:t>▪</a:t>
          </a:r>
          <a:r>
            <a:rPr lang="es-ES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Goles</a:t>
          </a:r>
          <a:r>
            <a:rPr lang="es-ES" sz="1200" b="1" baseline="0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encajados</a:t>
          </a: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</a:t>
          </a:r>
          <a:r>
            <a:rPr lang="es-ES" sz="1800" b="1">
              <a:solidFill>
                <a:srgbClr val="196B24"/>
              </a:solidFill>
              <a:effectLst/>
              <a:latin typeface="+mn-lt"/>
              <a:ea typeface="+mn-ea"/>
              <a:cs typeface="+mn-cs"/>
            </a:rPr>
            <a:t>▪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200" b="1">
              <a:solidFill>
                <a:schemeClr val="bg1"/>
              </a:solidFill>
              <a:latin typeface="Fira Sans" panose="020B0503050000020004" pitchFamily="34" charset="0"/>
              <a:ea typeface="+mn-ea"/>
              <a:cs typeface="Arial" panose="020B0604020202020204" pitchFamily="34" charset="0"/>
            </a:rPr>
            <a:t>Porcentaje(%)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</a:t>
          </a:r>
          <a:endParaRPr lang="es-ES" sz="1200" b="1">
            <a:solidFill>
              <a:schemeClr val="bg1"/>
            </a:solidFill>
            <a:latin typeface="Fira Sans" panose="020B0503050000020004" pitchFamily="34" charset="0"/>
            <a:ea typeface="+mn-ea"/>
            <a:cs typeface="Arial" panose="020B0604020202020204" pitchFamily="34" charset="0"/>
          </a:endParaRPr>
        </a:p>
        <a:p>
          <a:endParaRPr lang="es-ES" sz="800" b="1">
            <a:solidFill>
              <a:schemeClr val="bg1"/>
            </a:solidFill>
            <a:latin typeface="Fira Sans" panose="020B0503050000020004" pitchFamily="34" charset="0"/>
            <a:cs typeface="Arial" panose="020B0604020202020204" pitchFamily="34" charset="0"/>
          </a:endParaRPr>
        </a:p>
        <a:p>
          <a:endParaRPr lang="es-ES" sz="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ES" sz="600"/>
        </a:p>
      </xdr:txBody>
    </xdr:sp>
    <xdr:clientData/>
  </xdr:twoCellAnchor>
  <xdr:twoCellAnchor>
    <xdr:from>
      <xdr:col>8</xdr:col>
      <xdr:colOff>26459</xdr:colOff>
      <xdr:row>6</xdr:row>
      <xdr:rowOff>121709</xdr:rowOff>
    </xdr:from>
    <xdr:to>
      <xdr:col>13</xdr:col>
      <xdr:colOff>301625</xdr:colOff>
      <xdr:row>16</xdr:row>
      <xdr:rowOff>142876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798C245E-F24F-40D3-A631-1CA05441D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7</xdr:col>
      <xdr:colOff>476249</xdr:colOff>
      <xdr:row>4</xdr:row>
      <xdr:rowOff>153458</xdr:rowOff>
    </xdr:from>
    <xdr:ext cx="1026585" cy="799041"/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7B5C7135-E6C1-427F-B37F-444C6E8CF0B6}"/>
            </a:ext>
          </a:extLst>
        </xdr:cNvPr>
        <xdr:cNvSpPr/>
      </xdr:nvSpPr>
      <xdr:spPr>
        <a:xfrm>
          <a:off x="5524499" y="894291"/>
          <a:ext cx="1026585" cy="79904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600" b="1" cap="none" spc="0">
              <a:ln w="0"/>
              <a:solidFill>
                <a:schemeClr val="accent3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MS Mincho" panose="02020609040205080304" pitchFamily="49" charset="-128"/>
              <a:ea typeface="MS Mincho" panose="02020609040205080304" pitchFamily="49" charset="-128"/>
            </a:rPr>
            <a:t>✓</a:t>
          </a:r>
          <a:endParaRPr lang="es-ES" sz="3600" b="1" cap="none" spc="0">
            <a:ln w="0"/>
            <a:solidFill>
              <a:schemeClr val="accent3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8</xdr:col>
      <xdr:colOff>47624</xdr:colOff>
      <xdr:row>17</xdr:row>
      <xdr:rowOff>60244</xdr:rowOff>
    </xdr:from>
    <xdr:to>
      <xdr:col>13</xdr:col>
      <xdr:colOff>296333</xdr:colOff>
      <xdr:row>27</xdr:row>
      <xdr:rowOff>79375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1FE5537D-12A9-467E-90C3-EB45B68F3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7</xdr:col>
      <xdr:colOff>719667</xdr:colOff>
      <xdr:row>15</xdr:row>
      <xdr:rowOff>137583</xdr:rowOff>
    </xdr:from>
    <xdr:ext cx="476250" cy="592668"/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8D55E4BD-133C-4F49-B492-B6AA98ED8A4D}"/>
            </a:ext>
          </a:extLst>
        </xdr:cNvPr>
        <xdr:cNvSpPr/>
      </xdr:nvSpPr>
      <xdr:spPr>
        <a:xfrm>
          <a:off x="5767917" y="2915708"/>
          <a:ext cx="476250" cy="59266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6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MS Mincho" panose="02020609040205080304" pitchFamily="49" charset="-128"/>
              <a:ea typeface="MS Mincho" panose="02020609040205080304" pitchFamily="49" charset="-128"/>
            </a:rPr>
            <a:t>✗</a:t>
          </a:r>
          <a:endParaRPr lang="es-ES" sz="3600" b="1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7</xdr:col>
      <xdr:colOff>787727</xdr:colOff>
      <xdr:row>1</xdr:row>
      <xdr:rowOff>127889</xdr:rowOff>
    </xdr:from>
    <xdr:to>
      <xdr:col>8</xdr:col>
      <xdr:colOff>354850</xdr:colOff>
      <xdr:row>3</xdr:row>
      <xdr:rowOff>143764</xdr:rowOff>
    </xdr:to>
    <xdr:sp macro="" textlink="Analisis_Equipo!AI7">
      <xdr:nvSpPr>
        <xdr:cNvPr id="52" name="CuadroTexto 51">
          <a:extLst>
            <a:ext uri="{FF2B5EF4-FFF2-40B4-BE49-F238E27FC236}">
              <a16:creationId xmlns:a16="http://schemas.microsoft.com/office/drawing/2014/main" id="{E4065817-500C-4233-8A91-39DB97CAF2B3}"/>
            </a:ext>
          </a:extLst>
        </xdr:cNvPr>
        <xdr:cNvSpPr txBox="1"/>
      </xdr:nvSpPr>
      <xdr:spPr>
        <a:xfrm>
          <a:off x="6390409" y="304074"/>
          <a:ext cx="465666" cy="368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0A29D5B6-BA67-4B03-88C0-1105F623800A}" type="TxLink">
            <a:rPr lang="en-US" sz="800" b="1" i="0" u="none" strike="noStrike">
              <a:solidFill>
                <a:schemeClr val="bg1"/>
              </a:solidFill>
              <a:latin typeface="Fira Sans" panose="020B0503050000020004" pitchFamily="34" charset="0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84,4</a:t>
          </a:fld>
          <a:endParaRPr lang="en-US" sz="800" b="1" i="0" u="none" strike="noStrike">
            <a:solidFill>
              <a:schemeClr val="bg1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8</xdr:col>
      <xdr:colOff>93784</xdr:colOff>
      <xdr:row>1</xdr:row>
      <xdr:rowOff>132293</xdr:rowOff>
    </xdr:from>
    <xdr:to>
      <xdr:col>8</xdr:col>
      <xdr:colOff>356775</xdr:colOff>
      <xdr:row>3</xdr:row>
      <xdr:rowOff>1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DF3376BB-F9DA-41D5-8218-0EC825A43474}"/>
            </a:ext>
          </a:extLst>
        </xdr:cNvPr>
        <xdr:cNvSpPr txBox="1"/>
      </xdr:nvSpPr>
      <xdr:spPr>
        <a:xfrm>
          <a:off x="6595009" y="308478"/>
          <a:ext cx="262991" cy="220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i="0" u="none" strike="noStrike">
              <a:solidFill>
                <a:schemeClr val="bg1"/>
              </a:solidFill>
              <a:latin typeface="Fira Sans" panose="020B0503050000020004" pitchFamily="34" charset="0"/>
            </a:rPr>
            <a:t>%</a:t>
          </a:r>
        </a:p>
      </xdr:txBody>
    </xdr:sp>
    <xdr:clientData/>
  </xdr:twoCellAnchor>
  <xdr:twoCellAnchor>
    <xdr:from>
      <xdr:col>7</xdr:col>
      <xdr:colOff>724958</xdr:colOff>
      <xdr:row>3</xdr:row>
      <xdr:rowOff>21166</xdr:rowOff>
    </xdr:from>
    <xdr:to>
      <xdr:col>8</xdr:col>
      <xdr:colOff>380999</xdr:colOff>
      <xdr:row>4</xdr:row>
      <xdr:rowOff>26459</xdr:rowOff>
    </xdr:to>
    <xdr:sp macro="" textlink="Analisis_Equipo!AI8">
      <xdr:nvSpPr>
        <xdr:cNvPr id="54" name="CuadroTexto 53">
          <a:extLst>
            <a:ext uri="{FF2B5EF4-FFF2-40B4-BE49-F238E27FC236}">
              <a16:creationId xmlns:a16="http://schemas.microsoft.com/office/drawing/2014/main" id="{82E0CD2D-8C0E-4AF2-A446-87AC09A92306}"/>
            </a:ext>
          </a:extLst>
        </xdr:cNvPr>
        <xdr:cNvSpPr txBox="1"/>
      </xdr:nvSpPr>
      <xdr:spPr>
        <a:xfrm>
          <a:off x="5773208" y="576791"/>
          <a:ext cx="465666" cy="190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D52C20AB-BAB9-4F4D-A852-3D8AA781659B}" type="TxLink">
            <a:rPr lang="en-US" sz="800" b="1" i="0" u="none" strike="noStrike" baseline="0">
              <a:solidFill>
                <a:schemeClr val="bg1"/>
              </a:solidFill>
              <a:effectLst/>
              <a:latin typeface="Fira Sans" panose="020B0503050000020004" pitchFamily="34" charset="0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37,9</a:t>
          </a:fld>
          <a:endParaRPr lang="es-ES" sz="800" b="1">
            <a:solidFill>
              <a:schemeClr val="bg1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7</xdr:col>
      <xdr:colOff>780537</xdr:colOff>
      <xdr:row>2</xdr:row>
      <xdr:rowOff>74970</xdr:rowOff>
    </xdr:from>
    <xdr:to>
      <xdr:col>8</xdr:col>
      <xdr:colOff>325943</xdr:colOff>
      <xdr:row>3</xdr:row>
      <xdr:rowOff>64387</xdr:rowOff>
    </xdr:to>
    <xdr:sp macro="" textlink="Analisis_Equipo!AI9">
      <xdr:nvSpPr>
        <xdr:cNvPr id="57" name="CuadroTexto 56">
          <a:extLst>
            <a:ext uri="{FF2B5EF4-FFF2-40B4-BE49-F238E27FC236}">
              <a16:creationId xmlns:a16="http://schemas.microsoft.com/office/drawing/2014/main" id="{9EE1A680-7DC8-4722-A388-7A7FE5C93E77}"/>
            </a:ext>
          </a:extLst>
        </xdr:cNvPr>
        <xdr:cNvSpPr txBox="1"/>
      </xdr:nvSpPr>
      <xdr:spPr>
        <a:xfrm>
          <a:off x="6383219" y="427340"/>
          <a:ext cx="443949" cy="165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8EDBA051-82E5-4B23-9F31-CD5F4165E1FC}" type="TxLink">
            <a:rPr lang="en-US" sz="800" b="1" i="0" u="none" strike="noStrike" baseline="0">
              <a:solidFill>
                <a:schemeClr val="bg1"/>
              </a:solidFill>
              <a:effectLst/>
              <a:latin typeface="Fira Sans" panose="020B0503050000020004" pitchFamily="34" charset="0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36,6%</a:t>
          </a:fld>
          <a:endParaRPr lang="es-ES" sz="800" b="1">
            <a:solidFill>
              <a:schemeClr val="bg1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7</xdr:col>
      <xdr:colOff>724961</xdr:colOff>
      <xdr:row>3</xdr:row>
      <xdr:rowOff>132294</xdr:rowOff>
    </xdr:from>
    <xdr:to>
      <xdr:col>8</xdr:col>
      <xdr:colOff>381002</xdr:colOff>
      <xdr:row>5</xdr:row>
      <xdr:rowOff>0</xdr:rowOff>
    </xdr:to>
    <xdr:sp macro="" textlink="Analisis_Equipo!AI10">
      <xdr:nvSpPr>
        <xdr:cNvPr id="58" name="CuadroTexto 57">
          <a:extLst>
            <a:ext uri="{FF2B5EF4-FFF2-40B4-BE49-F238E27FC236}">
              <a16:creationId xmlns:a16="http://schemas.microsoft.com/office/drawing/2014/main" id="{C00DE86D-3633-48FE-8976-B1BF6C9DB127}"/>
            </a:ext>
          </a:extLst>
        </xdr:cNvPr>
        <xdr:cNvSpPr txBox="1"/>
      </xdr:nvSpPr>
      <xdr:spPr>
        <a:xfrm>
          <a:off x="5773211" y="687919"/>
          <a:ext cx="465666" cy="2381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F6DDE5AA-649B-458B-8419-C97CF437D220}" type="TxLink">
            <a:rPr lang="en-US" sz="800" b="1" i="0" u="none" strike="noStrike">
              <a:solidFill>
                <a:schemeClr val="bg1"/>
              </a:solidFill>
              <a:latin typeface="Fira Sans" panose="020B0503050000020004" pitchFamily="34" charset="0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13,9</a:t>
          </a:fld>
          <a:endParaRPr lang="en-US" sz="800" b="1" i="0" u="none" strike="noStrike">
            <a:solidFill>
              <a:schemeClr val="bg1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12</xdr:col>
      <xdr:colOff>199214</xdr:colOff>
      <xdr:row>4</xdr:row>
      <xdr:rowOff>111397</xdr:rowOff>
    </xdr:from>
    <xdr:to>
      <xdr:col>13</xdr:col>
      <xdr:colOff>452895</xdr:colOff>
      <xdr:row>6</xdr:row>
      <xdr:rowOff>127273</xdr:rowOff>
    </xdr:to>
    <xdr:sp macro="" textlink="Analisis_Equipo!AI2">
      <xdr:nvSpPr>
        <xdr:cNvPr id="59" name="CuadroTexto 58">
          <a:extLst>
            <a:ext uri="{FF2B5EF4-FFF2-40B4-BE49-F238E27FC236}">
              <a16:creationId xmlns:a16="http://schemas.microsoft.com/office/drawing/2014/main" id="{CCED2929-4F8E-4DBC-83D5-F1C775826B64}"/>
            </a:ext>
          </a:extLst>
        </xdr:cNvPr>
        <xdr:cNvSpPr txBox="1"/>
      </xdr:nvSpPr>
      <xdr:spPr>
        <a:xfrm>
          <a:off x="10305740" y="821833"/>
          <a:ext cx="465666" cy="3710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2DF4BABD-88E0-4643-8DE2-2DB467CA4656}" type="TxLink">
            <a:rPr lang="en-US" sz="800" b="1" i="0" u="none" strike="noStrike" baseline="0">
              <a:solidFill>
                <a:schemeClr val="bg1"/>
              </a:solidFill>
              <a:effectLst/>
              <a:latin typeface="Fira Sans" panose="020B0503050000020004" pitchFamily="34" charset="0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7</a:t>
          </a:fld>
          <a:endParaRPr lang="es-ES" sz="800" b="1">
            <a:solidFill>
              <a:schemeClr val="bg1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9</xdr:col>
      <xdr:colOff>558350</xdr:colOff>
      <xdr:row>3</xdr:row>
      <xdr:rowOff>54802</xdr:rowOff>
    </xdr:from>
    <xdr:to>
      <xdr:col>10</xdr:col>
      <xdr:colOff>125473</xdr:colOff>
      <xdr:row>4</xdr:row>
      <xdr:rowOff>66101</xdr:rowOff>
    </xdr:to>
    <xdr:sp macro="" textlink="Analisis_Equipo!AJ11">
      <xdr:nvSpPr>
        <xdr:cNvPr id="60" name="CuadroTexto 59">
          <a:extLst>
            <a:ext uri="{FF2B5EF4-FFF2-40B4-BE49-F238E27FC236}">
              <a16:creationId xmlns:a16="http://schemas.microsoft.com/office/drawing/2014/main" id="{D55C7C4F-824C-4F4C-8F52-94DE8A88BC82}"/>
            </a:ext>
          </a:extLst>
        </xdr:cNvPr>
        <xdr:cNvSpPr txBox="1"/>
      </xdr:nvSpPr>
      <xdr:spPr>
        <a:xfrm>
          <a:off x="7958119" y="583357"/>
          <a:ext cx="465666" cy="1874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FFCAB6AB-AB6E-432E-AA9A-1AC00E3EF480}" type="TxLink">
            <a:rPr lang="en-US" sz="800" b="1" i="0" u="none" strike="noStrike">
              <a:solidFill>
                <a:schemeClr val="bg1"/>
              </a:solidFill>
              <a:latin typeface="Fira Sans" panose="020B0503050000020004" pitchFamily="34" charset="0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21,9</a:t>
          </a:fld>
          <a:endParaRPr lang="en-US" sz="800" b="1" i="0" u="none" strike="noStrike">
            <a:solidFill>
              <a:schemeClr val="bg1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9</xdr:col>
      <xdr:colOff>699753</xdr:colOff>
      <xdr:row>1</xdr:row>
      <xdr:rowOff>131314</xdr:rowOff>
    </xdr:from>
    <xdr:to>
      <xdr:col>10</xdr:col>
      <xdr:colOff>266876</xdr:colOff>
      <xdr:row>3</xdr:row>
      <xdr:rowOff>147189</xdr:rowOff>
    </xdr:to>
    <xdr:sp macro="" textlink="Analisis_Equipo!AJ13">
      <xdr:nvSpPr>
        <xdr:cNvPr id="61" name="CuadroTexto 60">
          <a:extLst>
            <a:ext uri="{FF2B5EF4-FFF2-40B4-BE49-F238E27FC236}">
              <a16:creationId xmlns:a16="http://schemas.microsoft.com/office/drawing/2014/main" id="{D370444F-A612-4AFF-9B8C-FB83A044E5B5}"/>
            </a:ext>
          </a:extLst>
        </xdr:cNvPr>
        <xdr:cNvSpPr txBox="1"/>
      </xdr:nvSpPr>
      <xdr:spPr>
        <a:xfrm>
          <a:off x="8099522" y="307499"/>
          <a:ext cx="465666" cy="368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65D4F14-0326-47A7-BB20-88222A34634B}" type="TxLink">
            <a:rPr lang="en-US" sz="800" b="1" i="0" u="none" strike="noStrike">
              <a:solidFill>
                <a:schemeClr val="bg1"/>
              </a:solidFill>
              <a:latin typeface="Fira Sans" panose="020B0503050000020004" pitchFamily="34" charset="0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14,3</a:t>
          </a:fld>
          <a:endParaRPr lang="en-US" sz="800" b="1" i="0" u="none" strike="noStrike">
            <a:solidFill>
              <a:schemeClr val="bg1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10</xdr:col>
      <xdr:colOff>881394</xdr:colOff>
      <xdr:row>1</xdr:row>
      <xdr:rowOff>124965</xdr:rowOff>
    </xdr:from>
    <xdr:to>
      <xdr:col>11</xdr:col>
      <xdr:colOff>558358</xdr:colOff>
      <xdr:row>2</xdr:row>
      <xdr:rowOff>118191</xdr:rowOff>
    </xdr:to>
    <xdr:sp macro="" textlink="Analisis_Equipo!AJ12">
      <xdr:nvSpPr>
        <xdr:cNvPr id="62" name="CuadroTexto 61">
          <a:extLst>
            <a:ext uri="{FF2B5EF4-FFF2-40B4-BE49-F238E27FC236}">
              <a16:creationId xmlns:a16="http://schemas.microsoft.com/office/drawing/2014/main" id="{268ABA42-30ED-440D-990F-E4A6DA1CC620}"/>
            </a:ext>
          </a:extLst>
        </xdr:cNvPr>
        <xdr:cNvSpPr txBox="1"/>
      </xdr:nvSpPr>
      <xdr:spPr>
        <a:xfrm>
          <a:off x="9179706" y="301150"/>
          <a:ext cx="575507" cy="169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07DFEF3F-644A-4A1E-AC7D-7C2577A009C5}" type="TxLink">
            <a:rPr lang="en-US" sz="800" b="1" i="0" u="none" strike="noStrike">
              <a:solidFill>
                <a:schemeClr val="bg1"/>
              </a:solidFill>
              <a:latin typeface="Fira Sans" panose="020B0503050000020004" pitchFamily="34" charset="0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5,4</a:t>
          </a:fld>
          <a:endParaRPr lang="en-US" sz="800" b="1" i="0" u="none" strike="noStrike">
            <a:solidFill>
              <a:schemeClr val="bg1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9</xdr:col>
      <xdr:colOff>650042</xdr:colOff>
      <xdr:row>2</xdr:row>
      <xdr:rowOff>101822</xdr:rowOff>
    </xdr:from>
    <xdr:to>
      <xdr:col>10</xdr:col>
      <xdr:colOff>217165</xdr:colOff>
      <xdr:row>3</xdr:row>
      <xdr:rowOff>101399</xdr:rowOff>
    </xdr:to>
    <xdr:sp macro="" textlink="Analisis_Equipo!AJ14">
      <xdr:nvSpPr>
        <xdr:cNvPr id="63" name="CuadroTexto 62">
          <a:extLst>
            <a:ext uri="{FF2B5EF4-FFF2-40B4-BE49-F238E27FC236}">
              <a16:creationId xmlns:a16="http://schemas.microsoft.com/office/drawing/2014/main" id="{0C63BE56-D3A9-4905-8C3F-1C3524E4B01A}"/>
            </a:ext>
          </a:extLst>
        </xdr:cNvPr>
        <xdr:cNvSpPr txBox="1"/>
      </xdr:nvSpPr>
      <xdr:spPr>
        <a:xfrm>
          <a:off x="8049811" y="454192"/>
          <a:ext cx="465666" cy="175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4E5E2E4F-FC43-49FE-B06D-FDD1151C6422}" type="TxLink">
            <a:rPr lang="en-US" sz="800" b="1" i="0" u="none" strike="noStrike">
              <a:solidFill>
                <a:schemeClr val="bg1"/>
              </a:solidFill>
              <a:latin typeface="Fira Sans" panose="020B0503050000020004" pitchFamily="34" charset="0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1,0</a:t>
          </a:fld>
          <a:endParaRPr lang="en-US" sz="800" b="1" i="0" u="none" strike="noStrike">
            <a:solidFill>
              <a:schemeClr val="bg1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11</xdr:col>
      <xdr:colOff>217474</xdr:colOff>
      <xdr:row>2</xdr:row>
      <xdr:rowOff>95207</xdr:rowOff>
    </xdr:from>
    <xdr:to>
      <xdr:col>11</xdr:col>
      <xdr:colOff>703274</xdr:colOff>
      <xdr:row>4</xdr:row>
      <xdr:rowOff>111083</xdr:rowOff>
    </xdr:to>
    <xdr:sp macro="" textlink="Analisis_Equipo!AJ15">
      <xdr:nvSpPr>
        <xdr:cNvPr id="64" name="CuadroTexto 63">
          <a:extLst>
            <a:ext uri="{FF2B5EF4-FFF2-40B4-BE49-F238E27FC236}">
              <a16:creationId xmlns:a16="http://schemas.microsoft.com/office/drawing/2014/main" id="{7EF59C93-77BF-4528-9451-0531BAAF1EB8}"/>
            </a:ext>
          </a:extLst>
        </xdr:cNvPr>
        <xdr:cNvSpPr txBox="1"/>
      </xdr:nvSpPr>
      <xdr:spPr>
        <a:xfrm>
          <a:off x="9411035" y="442134"/>
          <a:ext cx="485800" cy="362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1E42E54-F820-4285-BB0D-862573B08B7C}" type="TxLink">
            <a:rPr lang="en-US" sz="800" b="1" i="0" u="none" strike="noStrike">
              <a:solidFill>
                <a:schemeClr val="bg1"/>
              </a:solidFill>
              <a:latin typeface="Fira Sans" panose="020B0503050000020004" pitchFamily="34" charset="0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2,3</a:t>
          </a:fld>
          <a:endParaRPr lang="en-US" sz="800" b="1" i="0" u="none" strike="noStrike">
            <a:solidFill>
              <a:schemeClr val="bg1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12</xdr:col>
      <xdr:colOff>169333</xdr:colOff>
      <xdr:row>14</xdr:row>
      <xdr:rowOff>13122</xdr:rowOff>
    </xdr:from>
    <xdr:to>
      <xdr:col>13</xdr:col>
      <xdr:colOff>404811</xdr:colOff>
      <xdr:row>16</xdr:row>
      <xdr:rowOff>28998</xdr:rowOff>
    </xdr:to>
    <xdr:sp macro="" textlink="Analisis_Equipo!AI11">
      <xdr:nvSpPr>
        <xdr:cNvPr id="65" name="CuadroTexto 64">
          <a:extLst>
            <a:ext uri="{FF2B5EF4-FFF2-40B4-BE49-F238E27FC236}">
              <a16:creationId xmlns:a16="http://schemas.microsoft.com/office/drawing/2014/main" id="{A8F145C3-BD68-4CDA-B9F7-1210C2BE5FA8}"/>
            </a:ext>
          </a:extLst>
        </xdr:cNvPr>
        <xdr:cNvSpPr txBox="1"/>
      </xdr:nvSpPr>
      <xdr:spPr>
        <a:xfrm>
          <a:off x="9265708" y="2606039"/>
          <a:ext cx="425978" cy="386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BB689E83-3B85-46ED-AF6A-716D60CDE3AB}" type="TxLink">
            <a:rPr lang="en-US" sz="1100" b="1" i="0" u="none" strike="noStrike" baseline="0">
              <a:solidFill>
                <a:srgbClr val="FFFF0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153</a:t>
          </a:fld>
          <a:endParaRPr lang="es-ES" sz="800" b="1">
            <a:solidFill>
              <a:srgbClr val="FFFF00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13</xdr:col>
      <xdr:colOff>103081</xdr:colOff>
      <xdr:row>12</xdr:row>
      <xdr:rowOff>41618</xdr:rowOff>
    </xdr:from>
    <xdr:to>
      <xdr:col>13</xdr:col>
      <xdr:colOff>367770</xdr:colOff>
      <xdr:row>14</xdr:row>
      <xdr:rowOff>57493</xdr:rowOff>
    </xdr:to>
    <xdr:sp macro="" textlink="Analisis_Equipo!AI16">
      <xdr:nvSpPr>
        <xdr:cNvPr id="9" name="CuadroTexto 8">
          <a:extLst>
            <a:ext uri="{FF2B5EF4-FFF2-40B4-BE49-F238E27FC236}">
              <a16:creationId xmlns:a16="http://schemas.microsoft.com/office/drawing/2014/main" id="{EE7283DD-BE1C-421C-B227-3B225C2FF9E8}"/>
            </a:ext>
          </a:extLst>
        </xdr:cNvPr>
        <xdr:cNvSpPr txBox="1"/>
      </xdr:nvSpPr>
      <xdr:spPr>
        <a:xfrm>
          <a:off x="9389956" y="2264118"/>
          <a:ext cx="264689" cy="386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E13CB7DF-A7D9-4E21-A007-6EFFC7E9ED72}" type="TxLink">
            <a:rPr lang="en-US" sz="1100" b="1" i="0" u="none" strike="noStrike" baseline="0">
              <a:solidFill>
                <a:srgbClr val="E97132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13</a:t>
          </a:fld>
          <a:endParaRPr lang="es-ES" sz="800" b="1">
            <a:solidFill>
              <a:srgbClr val="E97132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13</xdr:col>
      <xdr:colOff>116417</xdr:colOff>
      <xdr:row>10</xdr:row>
      <xdr:rowOff>58209</xdr:rowOff>
    </xdr:from>
    <xdr:to>
      <xdr:col>13</xdr:col>
      <xdr:colOff>362425</xdr:colOff>
      <xdr:row>12</xdr:row>
      <xdr:rowOff>74084</xdr:rowOff>
    </xdr:to>
    <xdr:sp macro="" textlink="Analisis_Equipo!AI14">
      <xdr:nvSpPr>
        <xdr:cNvPr id="10" name="CuadroTexto 9">
          <a:extLst>
            <a:ext uri="{FF2B5EF4-FFF2-40B4-BE49-F238E27FC236}">
              <a16:creationId xmlns:a16="http://schemas.microsoft.com/office/drawing/2014/main" id="{1A6C3DAC-AC61-46DA-BD93-CF16E70C6160}"/>
            </a:ext>
          </a:extLst>
        </xdr:cNvPr>
        <xdr:cNvSpPr txBox="1"/>
      </xdr:nvSpPr>
      <xdr:spPr>
        <a:xfrm>
          <a:off x="9403292" y="1910292"/>
          <a:ext cx="246008" cy="386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10C32460-AA25-48C2-9A9D-20A0A0B32137}" type="TxLink">
            <a:rPr lang="en-US" sz="1100" b="1" i="0" u="none" strike="noStrike" baseline="0">
              <a:solidFill>
                <a:srgbClr val="196B24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7</a:t>
          </a:fld>
          <a:endParaRPr lang="es-ES" sz="800" b="1">
            <a:solidFill>
              <a:srgbClr val="196B24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12</xdr:col>
      <xdr:colOff>153458</xdr:colOff>
      <xdr:row>8</xdr:row>
      <xdr:rowOff>63499</xdr:rowOff>
    </xdr:from>
    <xdr:to>
      <xdr:col>13</xdr:col>
      <xdr:colOff>362425</xdr:colOff>
      <xdr:row>10</xdr:row>
      <xdr:rowOff>79375</xdr:rowOff>
    </xdr:to>
    <xdr:sp macro="" textlink="Analisis_Equipo!AI13">
      <xdr:nvSpPr>
        <xdr:cNvPr id="11" name="CuadroTexto 10">
          <a:extLst>
            <a:ext uri="{FF2B5EF4-FFF2-40B4-BE49-F238E27FC236}">
              <a16:creationId xmlns:a16="http://schemas.microsoft.com/office/drawing/2014/main" id="{D3F82773-D4CB-45D9-8FDF-AFB0E8057F89}"/>
            </a:ext>
          </a:extLst>
        </xdr:cNvPr>
        <xdr:cNvSpPr txBox="1"/>
      </xdr:nvSpPr>
      <xdr:spPr>
        <a:xfrm>
          <a:off x="9249833" y="1545166"/>
          <a:ext cx="399467" cy="386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EE2B1852-2DA4-435E-84CC-8EDA0FCE9D8F}" type="TxLink">
            <a:rPr lang="en-US" sz="1100" b="1" i="0" u="none" strike="noStrike" baseline="0">
              <a:solidFill>
                <a:srgbClr val="0F9ED5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100</a:t>
          </a:fld>
          <a:endParaRPr lang="es-ES" sz="800" b="1">
            <a:solidFill>
              <a:srgbClr val="0F9ED5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13</xdr:col>
      <xdr:colOff>79375</xdr:colOff>
      <xdr:row>24</xdr:row>
      <xdr:rowOff>118956</xdr:rowOff>
    </xdr:from>
    <xdr:to>
      <xdr:col>13</xdr:col>
      <xdr:colOff>418147</xdr:colOff>
      <xdr:row>26</xdr:row>
      <xdr:rowOff>134831</xdr:rowOff>
    </xdr:to>
    <xdr:sp macro="" textlink="Analisis_Equipo!AI17">
      <xdr:nvSpPr>
        <xdr:cNvPr id="12" name="CuadroTexto 11">
          <a:extLst>
            <a:ext uri="{FF2B5EF4-FFF2-40B4-BE49-F238E27FC236}">
              <a16:creationId xmlns:a16="http://schemas.microsoft.com/office/drawing/2014/main" id="{9ABC25E9-D244-4403-A2B7-2BF878225303}"/>
            </a:ext>
          </a:extLst>
        </xdr:cNvPr>
        <xdr:cNvSpPr txBox="1"/>
      </xdr:nvSpPr>
      <xdr:spPr>
        <a:xfrm>
          <a:off x="9366250" y="4563956"/>
          <a:ext cx="338772" cy="386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FD8E016-9B29-4A9F-AFD2-923995344719}" type="TxLink">
            <a:rPr lang="en-US" sz="1100" b="1" i="0" u="none" strike="noStrike" baseline="0">
              <a:solidFill>
                <a:srgbClr val="A6A6A6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35</a:t>
          </a:fld>
          <a:endParaRPr lang="es-ES" sz="800" b="1">
            <a:solidFill>
              <a:srgbClr val="A6A6A6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13</xdr:col>
      <xdr:colOff>79376</xdr:colOff>
      <xdr:row>22</xdr:row>
      <xdr:rowOff>163327</xdr:rowOff>
    </xdr:from>
    <xdr:to>
      <xdr:col>13</xdr:col>
      <xdr:colOff>344065</xdr:colOff>
      <xdr:row>24</xdr:row>
      <xdr:rowOff>179202</xdr:rowOff>
    </xdr:to>
    <xdr:sp macro="" textlink="Analisis_Equipo!AI19">
      <xdr:nvSpPr>
        <xdr:cNvPr id="13" name="CuadroTexto 12">
          <a:extLst>
            <a:ext uri="{FF2B5EF4-FFF2-40B4-BE49-F238E27FC236}">
              <a16:creationId xmlns:a16="http://schemas.microsoft.com/office/drawing/2014/main" id="{FB0B3559-3C36-475F-9D60-EB0D4C2EFBA9}"/>
            </a:ext>
          </a:extLst>
        </xdr:cNvPr>
        <xdr:cNvSpPr txBox="1"/>
      </xdr:nvSpPr>
      <xdr:spPr>
        <a:xfrm>
          <a:off x="9366251" y="4237910"/>
          <a:ext cx="264689" cy="386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1CA9F559-B88C-4F5E-9E29-7968EB874D14}" type="TxLink">
            <a:rPr lang="en-US" sz="1100" b="1" i="0" u="none" strike="noStrike" baseline="0">
              <a:solidFill>
                <a:srgbClr val="E59EDD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</a:t>
          </a:fld>
          <a:endParaRPr lang="es-ES" sz="800" b="1">
            <a:solidFill>
              <a:srgbClr val="E59EDD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13</xdr:col>
      <xdr:colOff>37042</xdr:colOff>
      <xdr:row>20</xdr:row>
      <xdr:rowOff>179917</xdr:rowOff>
    </xdr:from>
    <xdr:to>
      <xdr:col>13</xdr:col>
      <xdr:colOff>386292</xdr:colOff>
      <xdr:row>23</xdr:row>
      <xdr:rowOff>10584</xdr:rowOff>
    </xdr:to>
    <xdr:sp macro="" textlink="Analisis_Equipo!AI18">
      <xdr:nvSpPr>
        <xdr:cNvPr id="16" name="CuadroTexto 15">
          <a:extLst>
            <a:ext uri="{FF2B5EF4-FFF2-40B4-BE49-F238E27FC236}">
              <a16:creationId xmlns:a16="http://schemas.microsoft.com/office/drawing/2014/main" id="{DAB503B6-9CA2-4687-BE08-2D920ACE7650}"/>
            </a:ext>
          </a:extLst>
        </xdr:cNvPr>
        <xdr:cNvSpPr txBox="1"/>
      </xdr:nvSpPr>
      <xdr:spPr>
        <a:xfrm>
          <a:off x="9323917" y="3884084"/>
          <a:ext cx="349250" cy="386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3D20DF34-6A9E-4C92-A423-8108704C317D}" type="TxLink">
            <a:rPr lang="en-US" sz="1100" b="1" i="0" u="none" strike="noStrike" baseline="0">
              <a:solidFill>
                <a:srgbClr val="B4E5A2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</a:t>
          </a:fld>
          <a:endParaRPr lang="es-ES" sz="800" b="1">
            <a:solidFill>
              <a:srgbClr val="B4E5A2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13</xdr:col>
      <xdr:colOff>47625</xdr:colOff>
      <xdr:row>19</xdr:row>
      <xdr:rowOff>0</xdr:rowOff>
    </xdr:from>
    <xdr:to>
      <xdr:col>13</xdr:col>
      <xdr:colOff>402166</xdr:colOff>
      <xdr:row>21</xdr:row>
      <xdr:rowOff>15875</xdr:rowOff>
    </xdr:to>
    <xdr:sp macro="" textlink="Analisis_Equipo!AI15">
      <xdr:nvSpPr>
        <xdr:cNvPr id="17" name="CuadroTexto 16">
          <a:extLst>
            <a:ext uri="{FF2B5EF4-FFF2-40B4-BE49-F238E27FC236}">
              <a16:creationId xmlns:a16="http://schemas.microsoft.com/office/drawing/2014/main" id="{210EFF0A-DAF6-4144-9C12-608DF69180DC}"/>
            </a:ext>
          </a:extLst>
        </xdr:cNvPr>
        <xdr:cNvSpPr txBox="1"/>
      </xdr:nvSpPr>
      <xdr:spPr>
        <a:xfrm>
          <a:off x="9334500" y="3518958"/>
          <a:ext cx="354541" cy="386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40E9970F-EDFC-4CD2-B420-64A1184361D5}" type="TxLink">
            <a:rPr lang="en-US" sz="1100" b="1" i="0" u="none" strike="noStrike" baseline="0">
              <a:solidFill>
                <a:srgbClr val="04FCFC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16</a:t>
          </a:fld>
          <a:endParaRPr lang="es-ES" sz="800" b="1">
            <a:solidFill>
              <a:srgbClr val="04FCFC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2</xdr:col>
      <xdr:colOff>317290</xdr:colOff>
      <xdr:row>16</xdr:row>
      <xdr:rowOff>163327</xdr:rowOff>
    </xdr:from>
    <xdr:to>
      <xdr:col>2</xdr:col>
      <xdr:colOff>782956</xdr:colOff>
      <xdr:row>18</xdr:row>
      <xdr:rowOff>179202</xdr:rowOff>
    </xdr:to>
    <xdr:sp macro="" textlink="Analisis_Equipo!AM35">
      <xdr:nvSpPr>
        <xdr:cNvPr id="19" name="CuadroTexto 18">
          <a:extLst>
            <a:ext uri="{FF2B5EF4-FFF2-40B4-BE49-F238E27FC236}">
              <a16:creationId xmlns:a16="http://schemas.microsoft.com/office/drawing/2014/main" id="{130C6A38-5335-4B37-A0F6-FC7FF0D151F6}"/>
            </a:ext>
          </a:extLst>
        </xdr:cNvPr>
        <xdr:cNvSpPr txBox="1"/>
      </xdr:nvSpPr>
      <xdr:spPr>
        <a:xfrm>
          <a:off x="1317415" y="3126660"/>
          <a:ext cx="465666" cy="386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0A29D5B6-BA67-4B03-88C0-1105F623800A}" type="TxLink">
            <a:rPr lang="en-US" sz="800" b="1" i="0" u="none" strike="noStrike">
              <a:solidFill>
                <a:schemeClr val="accent3"/>
              </a:solidFill>
              <a:latin typeface="Fira Sans" panose="020B0503050000020004" pitchFamily="34" charset="0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 </a:t>
          </a:fld>
          <a:endParaRPr lang="en-US" sz="800" b="1" i="0" u="none" strike="noStrike">
            <a:solidFill>
              <a:schemeClr val="accent3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11</xdr:col>
      <xdr:colOff>429699</xdr:colOff>
      <xdr:row>26</xdr:row>
      <xdr:rowOff>97398</xdr:rowOff>
    </xdr:from>
    <xdr:to>
      <xdr:col>13</xdr:col>
      <xdr:colOff>203303</xdr:colOff>
      <xdr:row>28</xdr:row>
      <xdr:rowOff>52842</xdr:rowOff>
    </xdr:to>
    <xdr:sp macro="" textlink="">
      <xdr:nvSpPr>
        <xdr:cNvPr id="55" name="Rectángulo: esquinas redondeadas 5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B5634E8-FF2D-4BA8-98C7-B6DBF24019A3}"/>
            </a:ext>
          </a:extLst>
        </xdr:cNvPr>
        <xdr:cNvSpPr/>
      </xdr:nvSpPr>
      <xdr:spPr>
        <a:xfrm>
          <a:off x="9636722" y="4715233"/>
          <a:ext cx="885092" cy="31066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  PORTADA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97971</xdr:colOff>
      <xdr:row>2</xdr:row>
      <xdr:rowOff>166352</xdr:rowOff>
    </xdr:from>
    <xdr:to>
      <xdr:col>13</xdr:col>
      <xdr:colOff>684389</xdr:colOff>
      <xdr:row>130</xdr:row>
      <xdr:rowOff>114300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503A566-BF65-4D57-A2DA-C9039461277E}"/>
            </a:ext>
          </a:extLst>
        </xdr:cNvPr>
        <xdr:cNvSpPr/>
      </xdr:nvSpPr>
      <xdr:spPr>
        <a:xfrm>
          <a:off x="97971" y="348803"/>
          <a:ext cx="9886038" cy="23301638"/>
        </a:xfrm>
        <a:prstGeom prst="roundRect">
          <a:avLst>
            <a:gd name="adj" fmla="val 3007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195792</xdr:colOff>
      <xdr:row>3</xdr:row>
      <xdr:rowOff>134155</xdr:rowOff>
    </xdr:from>
    <xdr:to>
      <xdr:col>10</xdr:col>
      <xdr:colOff>480060</xdr:colOff>
      <xdr:row>7</xdr:row>
      <xdr:rowOff>5366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CEB9D76-4496-477D-9D64-D735B0EE416A}"/>
            </a:ext>
          </a:extLst>
        </xdr:cNvPr>
        <xdr:cNvSpPr/>
      </xdr:nvSpPr>
      <xdr:spPr>
        <a:xfrm>
          <a:off x="1199271" y="499056"/>
          <a:ext cx="6766634" cy="601014"/>
        </a:xfrm>
        <a:prstGeom prst="rect">
          <a:avLst/>
        </a:prstGeom>
        <a:solidFill>
          <a:srgbClr val="2E2F3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196834</xdr:colOff>
      <xdr:row>7</xdr:row>
      <xdr:rowOff>79216</xdr:rowOff>
    </xdr:from>
    <xdr:to>
      <xdr:col>13</xdr:col>
      <xdr:colOff>484156</xdr:colOff>
      <xdr:row>28</xdr:row>
      <xdr:rowOff>96593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338F7A6D-E178-4324-85F7-8FE43A87A3BA}"/>
            </a:ext>
          </a:extLst>
        </xdr:cNvPr>
        <xdr:cNvSpPr/>
      </xdr:nvSpPr>
      <xdr:spPr>
        <a:xfrm>
          <a:off x="1200313" y="1173920"/>
          <a:ext cx="8583463" cy="3848842"/>
        </a:xfrm>
        <a:prstGeom prst="roundRect">
          <a:avLst>
            <a:gd name="adj" fmla="val 4463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781747</xdr:colOff>
      <xdr:row>4</xdr:row>
      <xdr:rowOff>81209</xdr:rowOff>
    </xdr:from>
    <xdr:to>
      <xdr:col>3</xdr:col>
      <xdr:colOff>334027</xdr:colOff>
      <xdr:row>6</xdr:row>
      <xdr:rowOff>75448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53DFBF22-3E1B-4761-A3FB-087BDCAB9281}"/>
            </a:ext>
          </a:extLst>
        </xdr:cNvPr>
        <xdr:cNvSpPr/>
      </xdr:nvSpPr>
      <xdr:spPr>
        <a:xfrm>
          <a:off x="1785226" y="628561"/>
          <a:ext cx="362576" cy="359141"/>
        </a:xfrm>
        <a:prstGeom prst="ellipse">
          <a:avLst/>
        </a:prstGeom>
        <a:solidFill>
          <a:sysClr val="window" lastClr="FFFFFF"/>
        </a:solidFill>
        <a:effectLst>
          <a:outerShdw blurRad="63500" dist="635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2</xdr:col>
      <xdr:colOff>781748</xdr:colOff>
      <xdr:row>4</xdr:row>
      <xdr:rowOff>49584</xdr:rowOff>
    </xdr:from>
    <xdr:ext cx="362576" cy="359141"/>
    <xdr:pic>
      <xdr:nvPicPr>
        <xdr:cNvPr id="6" name="Gráfico 5" descr="Diagrama de flujo circular contorno">
          <a:extLst>
            <a:ext uri="{FF2B5EF4-FFF2-40B4-BE49-F238E27FC236}">
              <a16:creationId xmlns:a16="http://schemas.microsoft.com/office/drawing/2014/main" id="{6B7DFFC8-087D-47F4-B98B-725FAA3AF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85227" y="596936"/>
          <a:ext cx="362576" cy="359141"/>
        </a:xfrm>
        <a:prstGeom prst="rect">
          <a:avLst/>
        </a:prstGeom>
      </xdr:spPr>
    </xdr:pic>
    <xdr:clientData/>
  </xdr:oneCellAnchor>
  <xdr:twoCellAnchor>
    <xdr:from>
      <xdr:col>3</xdr:col>
      <xdr:colOff>311311</xdr:colOff>
      <xdr:row>4</xdr:row>
      <xdr:rowOff>72766</xdr:rowOff>
    </xdr:from>
    <xdr:to>
      <xdr:col>6</xdr:col>
      <xdr:colOff>753271</xdr:colOff>
      <xdr:row>5</xdr:row>
      <xdr:rowOff>148536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A31CBD8D-7BFF-47BD-BB99-4CD9748EEDEB}"/>
            </a:ext>
          </a:extLst>
        </xdr:cNvPr>
        <xdr:cNvSpPr txBox="1"/>
      </xdr:nvSpPr>
      <xdr:spPr>
        <a:xfrm>
          <a:off x="2125086" y="620118"/>
          <a:ext cx="2872847" cy="258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 ExtraBold" panose="020B0903050000020004" pitchFamily="34" charset="0"/>
            </a:rPr>
            <a:t>Dashboard - Estadística</a:t>
          </a:r>
          <a:r>
            <a:rPr lang="es-ES" sz="12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 ExtraBold" panose="020B0903050000020004" pitchFamily="34" charset="0"/>
            </a:rPr>
            <a:t> Infantil A FCB</a:t>
          </a:r>
          <a:endParaRPr lang="es-ES" sz="12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 ExtraBold" panose="020B0903050000020004" pitchFamily="34" charset="0"/>
          </a:endParaRPr>
        </a:p>
      </xdr:txBody>
    </xdr:sp>
    <xdr:clientData/>
  </xdr:twoCellAnchor>
  <xdr:twoCellAnchor>
    <xdr:from>
      <xdr:col>3</xdr:col>
      <xdr:colOff>311311</xdr:colOff>
      <xdr:row>5</xdr:row>
      <xdr:rowOff>47366</xdr:rowOff>
    </xdr:from>
    <xdr:to>
      <xdr:col>6</xdr:col>
      <xdr:colOff>753271</xdr:colOff>
      <xdr:row>6</xdr:row>
      <xdr:rowOff>123136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CFE008EE-73AD-4812-A74C-17530B36D71E}"/>
            </a:ext>
          </a:extLst>
        </xdr:cNvPr>
        <xdr:cNvSpPr txBox="1"/>
      </xdr:nvSpPr>
      <xdr:spPr>
        <a:xfrm>
          <a:off x="2125086" y="777169"/>
          <a:ext cx="2872847" cy="258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Analísis estadístico individual</a:t>
          </a:r>
          <a:r>
            <a:rPr lang="es-ES" sz="8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temporada 2024/25</a:t>
          </a:r>
          <a:endParaRPr lang="es-ES" sz="8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oneCellAnchor>
    <xdr:from>
      <xdr:col>7</xdr:col>
      <xdr:colOff>594360</xdr:colOff>
      <xdr:row>0</xdr:row>
      <xdr:rowOff>28477</xdr:rowOff>
    </xdr:from>
    <xdr:ext cx="2816053" cy="1030636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Jugador 2">
              <a:extLst>
                <a:ext uri="{FF2B5EF4-FFF2-40B4-BE49-F238E27FC236}">
                  <a16:creationId xmlns:a16="http://schemas.microsoft.com/office/drawing/2014/main" id="{BD0C56B2-BC31-4140-B9C9-4FDDB29D7D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ugado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9318" y="28477"/>
              <a:ext cx="2816053" cy="10306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twoCellAnchor>
    <xdr:from>
      <xdr:col>7</xdr:col>
      <xdr:colOff>571500</xdr:colOff>
      <xdr:row>1</xdr:row>
      <xdr:rowOff>66040</xdr:rowOff>
    </xdr:from>
    <xdr:to>
      <xdr:col>9</xdr:col>
      <xdr:colOff>55880</xdr:colOff>
      <xdr:row>2</xdr:row>
      <xdr:rowOff>142240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AE30F1A2-6409-4A76-A8C5-1F9EF553C0CE}"/>
            </a:ext>
          </a:extLst>
        </xdr:cNvPr>
        <xdr:cNvSpPr txBox="1"/>
      </xdr:nvSpPr>
      <xdr:spPr>
        <a:xfrm>
          <a:off x="5608320" y="66040"/>
          <a:ext cx="109982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800">
              <a:solidFill>
                <a:srgbClr val="EE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● </a:t>
          </a:r>
          <a:r>
            <a:rPr lang="es-ES" sz="700" b="1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Filtro por jugador</a:t>
          </a:r>
          <a:endParaRPr lang="es-ES" sz="800" b="1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oneCellAnchor>
    <xdr:from>
      <xdr:col>11</xdr:col>
      <xdr:colOff>285338</xdr:colOff>
      <xdr:row>0</xdr:row>
      <xdr:rowOff>25329</xdr:rowOff>
    </xdr:from>
    <xdr:ext cx="977656" cy="1026446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OSICION 3">
              <a:extLst>
                <a:ext uri="{FF2B5EF4-FFF2-40B4-BE49-F238E27FC236}">
                  <a16:creationId xmlns:a16="http://schemas.microsoft.com/office/drawing/2014/main" id="{9DAB5243-6F26-4BEB-AE6A-595FAE95A6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SICION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1479" y="25329"/>
              <a:ext cx="977656" cy="10264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twoCellAnchor>
    <xdr:from>
      <xdr:col>11</xdr:col>
      <xdr:colOff>249084</xdr:colOff>
      <xdr:row>5</xdr:row>
      <xdr:rowOff>138376</xdr:rowOff>
    </xdr:from>
    <xdr:to>
      <xdr:col>13</xdr:col>
      <xdr:colOff>348144</xdr:colOff>
      <xdr:row>7</xdr:row>
      <xdr:rowOff>32125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DA3A6AA1-8D9D-453B-B62D-15A66256D4D0}"/>
            </a:ext>
          </a:extLst>
        </xdr:cNvPr>
        <xdr:cNvSpPr txBox="1"/>
      </xdr:nvSpPr>
      <xdr:spPr>
        <a:xfrm>
          <a:off x="8545225" y="830615"/>
          <a:ext cx="1102539" cy="258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800">
              <a:solidFill>
                <a:srgbClr val="EE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● </a:t>
          </a:r>
          <a:r>
            <a:rPr lang="es-ES" sz="600" b="1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Filtro por posición</a:t>
          </a:r>
          <a:endParaRPr lang="es-ES" sz="800" b="1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2</xdr:col>
      <xdr:colOff>311853</xdr:colOff>
      <xdr:row>9</xdr:row>
      <xdr:rowOff>48296</xdr:rowOff>
    </xdr:from>
    <xdr:to>
      <xdr:col>13</xdr:col>
      <xdr:colOff>472225</xdr:colOff>
      <xdr:row>28</xdr:row>
      <xdr:rowOff>48296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66CDE3BE-2782-4384-B16A-6255DB9A3553}"/>
            </a:ext>
          </a:extLst>
        </xdr:cNvPr>
        <xdr:cNvGrpSpPr/>
      </xdr:nvGrpSpPr>
      <xdr:grpSpPr>
        <a:xfrm>
          <a:off x="1428022" y="1427409"/>
          <a:ext cx="9390231" cy="3364605"/>
          <a:chOff x="2118304" y="1460317"/>
          <a:chExt cx="5449650" cy="3699018"/>
        </a:xfrm>
      </xdr:grpSpPr>
      <xdr:graphicFrame macro="">
        <xdr:nvGraphicFramePr>
          <xdr:cNvPr id="14" name="G_Lanzamientos" hidden="1">
            <a:extLst>
              <a:ext uri="{FF2B5EF4-FFF2-40B4-BE49-F238E27FC236}">
                <a16:creationId xmlns:a16="http://schemas.microsoft.com/office/drawing/2014/main" id="{63BF85AE-D98F-15E9-7318-CC21C8C3DFD1}"/>
              </a:ext>
            </a:extLst>
          </xdr:cNvPr>
          <xdr:cNvGraphicFramePr>
            <a:graphicFrameLocks/>
          </xdr:cNvGraphicFramePr>
        </xdr:nvGraphicFramePr>
        <xdr:xfrm>
          <a:off x="2212955" y="1460317"/>
          <a:ext cx="5354999" cy="36990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12298874-9A7E-9176-C7D2-69B2A6B8B05B}"/>
              </a:ext>
            </a:extLst>
          </xdr:cNvPr>
          <xdr:cNvSpPr txBox="1"/>
        </xdr:nvSpPr>
        <xdr:spPr>
          <a:xfrm>
            <a:off x="4348710" y="4833278"/>
            <a:ext cx="110944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s-ES" sz="1400">
                <a:solidFill>
                  <a:schemeClr val="bg1"/>
                </a:solidFill>
                <a:effectLst>
                  <a:outerShdw blurRad="63500" dist="63500" dir="2700000" algn="tl" rotWithShape="0">
                    <a:prstClr val="black">
                      <a:alpha val="50000"/>
                    </a:prstClr>
                  </a:outerShdw>
                </a:effectLst>
                <a:latin typeface="Fira Sans" panose="020B0503050000020004" pitchFamily="34" charset="0"/>
                <a:cs typeface="Arial" panose="020B0604020202020204" pitchFamily="34" charset="0"/>
              </a:rPr>
              <a:t> </a:t>
            </a:r>
            <a:r>
              <a:rPr lang="es-ES" sz="1400" b="1">
                <a:solidFill>
                  <a:schemeClr val="bg1"/>
                </a:solidFill>
                <a:effectLst>
                  <a:outerShdw blurRad="63500" dist="63500" dir="2700000" algn="tl" rotWithShape="0">
                    <a:prstClr val="black">
                      <a:alpha val="50000"/>
                    </a:prstClr>
                  </a:outerShdw>
                </a:effectLst>
                <a:latin typeface="Fira Sans" panose="020B0503050000020004" pitchFamily="34" charset="0"/>
              </a:rPr>
              <a:t>Jornadas</a:t>
            </a:r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02EAF5F6-B377-2500-917F-7DA06AEFAB97}"/>
              </a:ext>
            </a:extLst>
          </xdr:cNvPr>
          <xdr:cNvSpPr txBox="1"/>
        </xdr:nvSpPr>
        <xdr:spPr>
          <a:xfrm rot="16200000">
            <a:off x="1501804" y="2841114"/>
            <a:ext cx="1492079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s-ES" sz="800">
                <a:solidFill>
                  <a:schemeClr val="bg1"/>
                </a:solidFill>
                <a:effectLst>
                  <a:outerShdw blurRad="63500" dist="63500" dir="2700000" algn="tl" rotWithShape="0">
                    <a:prstClr val="black">
                      <a:alpha val="50000"/>
                    </a:prstClr>
                  </a:outerShdw>
                </a:effectLst>
                <a:latin typeface="Fira Sans" panose="020B0503050000020004" pitchFamily="34" charset="0"/>
                <a:cs typeface="Arial" panose="020B0604020202020204" pitchFamily="34" charset="0"/>
              </a:rPr>
              <a:t> </a:t>
            </a:r>
            <a:r>
              <a:rPr lang="es-ES" sz="1400" b="1">
                <a:solidFill>
                  <a:schemeClr val="bg1"/>
                </a:solidFill>
                <a:effectLst>
                  <a:outerShdw blurRad="63500" dist="63500" dir="2700000" algn="tl" rotWithShape="0">
                    <a:prstClr val="black">
                      <a:alpha val="50000"/>
                    </a:prstClr>
                  </a:outerShdw>
                </a:effectLst>
                <a:latin typeface="Fira Sans" panose="020B0503050000020004" pitchFamily="34" charset="0"/>
                <a:cs typeface="+mn-cs"/>
              </a:rPr>
              <a:t>Unidades</a:t>
            </a:r>
            <a:endParaRPr lang="es-ES" sz="1400" b="1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endParaRPr>
          </a:p>
        </xdr:txBody>
      </xdr:sp>
    </xdr:grpSp>
    <xdr:clientData/>
  </xdr:twoCellAnchor>
  <xdr:oneCellAnchor>
    <xdr:from>
      <xdr:col>0</xdr:col>
      <xdr:colOff>146804</xdr:colOff>
      <xdr:row>3</xdr:row>
      <xdr:rowOff>158134</xdr:rowOff>
    </xdr:from>
    <xdr:ext cx="1025251" cy="2798641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rival 3">
              <a:extLst>
                <a:ext uri="{FF2B5EF4-FFF2-40B4-BE49-F238E27FC236}">
                  <a16:creationId xmlns:a16="http://schemas.microsoft.com/office/drawing/2014/main" id="{FBFFFE15-1398-4691-9A26-3F58ED9D1A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ival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804" y="480106"/>
              <a:ext cx="1025251" cy="27986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twoCellAnchor>
    <xdr:from>
      <xdr:col>0</xdr:col>
      <xdr:colOff>123202</xdr:colOff>
      <xdr:row>2</xdr:row>
      <xdr:rowOff>139520</xdr:rowOff>
    </xdr:from>
    <xdr:to>
      <xdr:col>2</xdr:col>
      <xdr:colOff>224802</xdr:colOff>
      <xdr:row>4</xdr:row>
      <xdr:rowOff>33270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F6C4C112-853A-4AAA-920E-4A492B20739F}"/>
            </a:ext>
          </a:extLst>
        </xdr:cNvPr>
        <xdr:cNvSpPr txBox="1"/>
      </xdr:nvSpPr>
      <xdr:spPr>
        <a:xfrm>
          <a:off x="123202" y="321971"/>
          <a:ext cx="1105079" cy="258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800">
              <a:solidFill>
                <a:srgbClr val="EE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● </a:t>
          </a:r>
          <a:r>
            <a:rPr lang="es-ES" sz="600" b="1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Filtro por rival</a:t>
          </a:r>
          <a:endParaRPr lang="es-ES" sz="800" b="1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0</xdr:col>
      <xdr:colOff>187933</xdr:colOff>
      <xdr:row>23</xdr:row>
      <xdr:rowOff>13039</xdr:rowOff>
    </xdr:from>
    <xdr:to>
      <xdr:col>2</xdr:col>
      <xdr:colOff>804393</xdr:colOff>
      <xdr:row>27</xdr:row>
      <xdr:rowOff>28442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3E12BFC0-905C-4A14-9088-AD98E0370165}"/>
            </a:ext>
          </a:extLst>
        </xdr:cNvPr>
        <xdr:cNvSpPr/>
      </xdr:nvSpPr>
      <xdr:spPr>
        <a:xfrm>
          <a:off x="187933" y="4026954"/>
          <a:ext cx="1619939" cy="745206"/>
        </a:xfrm>
        <a:prstGeom prst="roundRect">
          <a:avLst>
            <a:gd name="adj" fmla="val 9755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49148</xdr:colOff>
      <xdr:row>24</xdr:row>
      <xdr:rowOff>43760</xdr:rowOff>
    </xdr:from>
    <xdr:to>
      <xdr:col>2</xdr:col>
      <xdr:colOff>767366</xdr:colOff>
      <xdr:row>26</xdr:row>
      <xdr:rowOff>150253</xdr:rowOff>
    </xdr:to>
    <xdr:graphicFrame macro="">
      <xdr:nvGraphicFramePr>
        <xdr:cNvPr id="26" name="G_Lan_T" hidden="1">
          <a:extLst>
            <a:ext uri="{FF2B5EF4-FFF2-40B4-BE49-F238E27FC236}">
              <a16:creationId xmlns:a16="http://schemas.microsoft.com/office/drawing/2014/main" id="{FE089C38-2AE7-48A8-A062-8FE33B58C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465457</xdr:colOff>
      <xdr:row>7</xdr:row>
      <xdr:rowOff>46910</xdr:rowOff>
    </xdr:from>
    <xdr:to>
      <xdr:col>12</xdr:col>
      <xdr:colOff>97792</xdr:colOff>
      <xdr:row>8</xdr:row>
      <xdr:rowOff>125439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7F5E722D-B897-460B-B0B5-117B23AC552A}"/>
            </a:ext>
          </a:extLst>
        </xdr:cNvPr>
        <xdr:cNvSpPr txBox="1"/>
      </xdr:nvSpPr>
      <xdr:spPr>
        <a:xfrm>
          <a:off x="6309997" y="1144190"/>
          <a:ext cx="2863215" cy="2614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s-ES" sz="12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 ExtraBold" panose="020B0903050000020004" pitchFamily="34" charset="0"/>
          </a:endParaRPr>
        </a:p>
      </xdr:txBody>
    </xdr:sp>
    <xdr:clientData/>
  </xdr:twoCellAnchor>
  <xdr:twoCellAnchor>
    <xdr:from>
      <xdr:col>2</xdr:col>
      <xdr:colOff>788219</xdr:colOff>
      <xdr:row>7</xdr:row>
      <xdr:rowOff>156999</xdr:rowOff>
    </xdr:from>
    <xdr:to>
      <xdr:col>13</xdr:col>
      <xdr:colOff>5138</xdr:colOff>
      <xdr:row>26</xdr:row>
      <xdr:rowOff>75126</xdr:rowOff>
    </xdr:to>
    <xdr:graphicFrame macro="">
      <xdr:nvGraphicFramePr>
        <xdr:cNvPr id="36" name="G_Eficiencia" hidden="1">
          <a:extLst>
            <a:ext uri="{FF2B5EF4-FFF2-40B4-BE49-F238E27FC236}">
              <a16:creationId xmlns:a16="http://schemas.microsoft.com/office/drawing/2014/main" id="{F2DB41B7-217B-44DC-8005-618CF9685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593271</xdr:colOff>
      <xdr:row>50</xdr:row>
      <xdr:rowOff>54429</xdr:rowOff>
    </xdr:from>
    <xdr:to>
      <xdr:col>8</xdr:col>
      <xdr:colOff>501631</xdr:colOff>
      <xdr:row>51</xdr:row>
      <xdr:rowOff>132988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DDD806E-6067-4C5C-B6F2-7ACE549A56C8}"/>
            </a:ext>
          </a:extLst>
        </xdr:cNvPr>
        <xdr:cNvSpPr txBox="1"/>
      </xdr:nvSpPr>
      <xdr:spPr>
        <a:xfrm>
          <a:off x="5617028" y="9122229"/>
          <a:ext cx="713903" cy="263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900" b="1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Jornadas</a:t>
          </a:r>
        </a:p>
      </xdr:txBody>
    </xdr:sp>
    <xdr:clientData/>
  </xdr:twoCellAnchor>
  <xdr:twoCellAnchor>
    <xdr:from>
      <xdr:col>1</xdr:col>
      <xdr:colOff>75126</xdr:colOff>
      <xdr:row>24</xdr:row>
      <xdr:rowOff>21465</xdr:rowOff>
    </xdr:from>
    <xdr:to>
      <xdr:col>3</xdr:col>
      <xdr:colOff>300507</xdr:colOff>
      <xdr:row>26</xdr:row>
      <xdr:rowOff>134155</xdr:rowOff>
    </xdr:to>
    <xdr:graphicFrame macro="">
      <xdr:nvGraphicFramePr>
        <xdr:cNvPr id="43" name="G_T_Ef" hidden="1">
          <a:extLst>
            <a:ext uri="{FF2B5EF4-FFF2-40B4-BE49-F238E27FC236}">
              <a16:creationId xmlns:a16="http://schemas.microsoft.com/office/drawing/2014/main" id="{71588393-8FD2-4115-9A2A-FDA89F9E0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660042</xdr:colOff>
      <xdr:row>9</xdr:row>
      <xdr:rowOff>59027</xdr:rowOff>
    </xdr:from>
    <xdr:to>
      <xdr:col>13</xdr:col>
      <xdr:colOff>413197</xdr:colOff>
      <xdr:row>26</xdr:row>
      <xdr:rowOff>96590</xdr:rowOff>
    </xdr:to>
    <xdr:graphicFrame macro="">
      <xdr:nvGraphicFramePr>
        <xdr:cNvPr id="29" name="G_Acciones_Positivas">
          <a:extLst>
            <a:ext uri="{FF2B5EF4-FFF2-40B4-BE49-F238E27FC236}">
              <a16:creationId xmlns:a16="http://schemas.microsoft.com/office/drawing/2014/main" id="{A4F64B06-8D4B-4E58-BFAE-E01D3DE68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268310</xdr:colOff>
      <xdr:row>7</xdr:row>
      <xdr:rowOff>73849</xdr:rowOff>
    </xdr:from>
    <xdr:to>
      <xdr:col>9</xdr:col>
      <xdr:colOff>756634</xdr:colOff>
      <xdr:row>12</xdr:row>
      <xdr:rowOff>59028</xdr:rowOff>
    </xdr:to>
    <xdr:sp macro="" textlink="$D$2">
      <xdr:nvSpPr>
        <xdr:cNvPr id="39" name="CuadroTexto 38">
          <a:extLst>
            <a:ext uri="{FF2B5EF4-FFF2-40B4-BE49-F238E27FC236}">
              <a16:creationId xmlns:a16="http://schemas.microsoft.com/office/drawing/2014/main" id="{F0F9BC98-1723-4F16-859A-07CBBA6DBA80}"/>
            </a:ext>
          </a:extLst>
        </xdr:cNvPr>
        <xdr:cNvSpPr txBox="1"/>
      </xdr:nvSpPr>
      <xdr:spPr>
        <a:xfrm>
          <a:off x="2892380" y="1125624"/>
          <a:ext cx="4539803" cy="8974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79C845B5-B66B-4324-BC8D-319BF0D087AD}" type="TxLink">
            <a:rPr lang="en-US" sz="2400" b="1" i="0" u="none" strike="noStrike">
              <a:solidFill>
                <a:srgbClr val="FFFFFF"/>
              </a:solidFill>
              <a:latin typeface="Aptos Narrow"/>
              <a:ea typeface="+mn-ea"/>
              <a:cs typeface="Arial" panose="020B0604020202020204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Goles/Lanzamientos</a:t>
          </a:fld>
          <a:endParaRPr lang="es-E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171717</xdr:colOff>
      <xdr:row>23</xdr:row>
      <xdr:rowOff>150254</xdr:rowOff>
    </xdr:from>
    <xdr:to>
      <xdr:col>2</xdr:col>
      <xdr:colOff>713704</xdr:colOff>
      <xdr:row>27</xdr:row>
      <xdr:rowOff>21466</xdr:rowOff>
    </xdr:to>
    <xdr:graphicFrame macro="">
      <xdr:nvGraphicFramePr>
        <xdr:cNvPr id="44" name="G_Ac_Pos">
          <a:extLst>
            <a:ext uri="{FF2B5EF4-FFF2-40B4-BE49-F238E27FC236}">
              <a16:creationId xmlns:a16="http://schemas.microsoft.com/office/drawing/2014/main" id="{174CD6B3-1216-4C75-952F-A9AE0AA1E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167532</xdr:colOff>
      <xdr:row>22</xdr:row>
      <xdr:rowOff>104181</xdr:rowOff>
    </xdr:from>
    <xdr:to>
      <xdr:col>2</xdr:col>
      <xdr:colOff>309629</xdr:colOff>
      <xdr:row>24</xdr:row>
      <xdr:rowOff>66081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AEF36F32-1CB3-4F50-BA27-50F8FBD2FC61}"/>
            </a:ext>
          </a:extLst>
        </xdr:cNvPr>
        <xdr:cNvSpPr txBox="1"/>
      </xdr:nvSpPr>
      <xdr:spPr>
        <a:xfrm>
          <a:off x="167532" y="3935646"/>
          <a:ext cx="1145576" cy="326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800" b="1" baseline="0">
              <a:solidFill>
                <a:srgbClr val="C04F15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Totales: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   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800" b="1">
            <a:solidFill>
              <a:schemeClr val="bg1"/>
            </a:solidFill>
            <a:latin typeface="Fira Sans" panose="020B0503050000020004" pitchFamily="34" charset="0"/>
            <a:ea typeface="+mn-ea"/>
            <a:cs typeface="Arial" panose="020B0604020202020204" pitchFamily="34" charset="0"/>
          </a:endParaRPr>
        </a:p>
        <a:p>
          <a:endParaRPr lang="es-ES" sz="800" b="1">
            <a:solidFill>
              <a:schemeClr val="bg1"/>
            </a:solidFill>
            <a:latin typeface="Fira Sans" panose="020B0503050000020004" pitchFamily="34" charset="0"/>
            <a:cs typeface="Arial" panose="020B0604020202020204" pitchFamily="34" charset="0"/>
          </a:endParaRPr>
        </a:p>
        <a:p>
          <a:endParaRPr lang="es-ES" sz="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ES" sz="600"/>
        </a:p>
      </xdr:txBody>
    </xdr:sp>
    <xdr:clientData/>
  </xdr:twoCellAnchor>
  <xdr:twoCellAnchor>
    <xdr:from>
      <xdr:col>2</xdr:col>
      <xdr:colOff>622479</xdr:colOff>
      <xdr:row>9</xdr:row>
      <xdr:rowOff>120573</xdr:rowOff>
    </xdr:from>
    <xdr:to>
      <xdr:col>13</xdr:col>
      <xdr:colOff>429295</xdr:colOff>
      <xdr:row>26</xdr:row>
      <xdr:rowOff>139521</xdr:rowOff>
    </xdr:to>
    <xdr:graphicFrame macro="">
      <xdr:nvGraphicFramePr>
        <xdr:cNvPr id="32" name="G_Acciones_negativas" hidden="1">
          <a:extLst>
            <a:ext uri="{FF2B5EF4-FFF2-40B4-BE49-F238E27FC236}">
              <a16:creationId xmlns:a16="http://schemas.microsoft.com/office/drawing/2014/main" id="{8DF30380-FD51-4691-959B-F285DA9EF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21465</xdr:colOff>
      <xdr:row>24</xdr:row>
      <xdr:rowOff>0</xdr:rowOff>
    </xdr:from>
    <xdr:to>
      <xdr:col>2</xdr:col>
      <xdr:colOff>654676</xdr:colOff>
      <xdr:row>26</xdr:row>
      <xdr:rowOff>147990</xdr:rowOff>
    </xdr:to>
    <xdr:graphicFrame macro="">
      <xdr:nvGraphicFramePr>
        <xdr:cNvPr id="45" name="G_Ac_Neg" hidden="1">
          <a:extLst>
            <a:ext uri="{FF2B5EF4-FFF2-40B4-BE49-F238E27FC236}">
              <a16:creationId xmlns:a16="http://schemas.microsoft.com/office/drawing/2014/main" id="{22EE216C-D13E-4FC8-87B4-0E1077DCD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622479</xdr:colOff>
      <xdr:row>26</xdr:row>
      <xdr:rowOff>1</xdr:rowOff>
    </xdr:from>
    <xdr:to>
      <xdr:col>11</xdr:col>
      <xdr:colOff>606050</xdr:colOff>
      <xdr:row>27</xdr:row>
      <xdr:rowOff>133578</xdr:rowOff>
    </xdr:to>
    <xdr:sp macro="" textlink="">
      <xdr:nvSpPr>
        <xdr:cNvPr id="31" name="Rectángulo: esquinas redondeadas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DA063A9-2761-4724-9CA8-A48F1E001387}"/>
            </a:ext>
          </a:extLst>
        </xdr:cNvPr>
        <xdr:cNvSpPr/>
      </xdr:nvSpPr>
      <xdr:spPr>
        <a:xfrm>
          <a:off x="8950817" y="4389550"/>
          <a:ext cx="885092" cy="31066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  PORTADA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130168</xdr:colOff>
      <xdr:row>2</xdr:row>
      <xdr:rowOff>69759</xdr:rowOff>
    </xdr:from>
    <xdr:to>
      <xdr:col>13</xdr:col>
      <xdr:colOff>716586</xdr:colOff>
      <xdr:row>128</xdr:row>
      <xdr:rowOff>162809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DCB6FB23-3B9A-4C46-A463-3A2F38AFF361}"/>
            </a:ext>
          </a:extLst>
        </xdr:cNvPr>
        <xdr:cNvSpPr/>
      </xdr:nvSpPr>
      <xdr:spPr>
        <a:xfrm>
          <a:off x="130168" y="311238"/>
          <a:ext cx="9886038" cy="22974515"/>
        </a:xfrm>
        <a:prstGeom prst="roundRect">
          <a:avLst>
            <a:gd name="adj" fmla="val 3007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195792</xdr:colOff>
      <xdr:row>3</xdr:row>
      <xdr:rowOff>134155</xdr:rowOff>
    </xdr:from>
    <xdr:to>
      <xdr:col>6</xdr:col>
      <xdr:colOff>279042</xdr:colOff>
      <xdr:row>7</xdr:row>
      <xdr:rowOff>5366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A910D9E-78FC-41DE-8DF5-A5DBECC34B59}"/>
            </a:ext>
          </a:extLst>
        </xdr:cNvPr>
        <xdr:cNvSpPr/>
      </xdr:nvSpPr>
      <xdr:spPr>
        <a:xfrm>
          <a:off x="1199271" y="450761"/>
          <a:ext cx="3324433" cy="601013"/>
        </a:xfrm>
        <a:prstGeom prst="rect">
          <a:avLst/>
        </a:prstGeom>
        <a:solidFill>
          <a:srgbClr val="2E2F3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196834</xdr:colOff>
      <xdr:row>7</xdr:row>
      <xdr:rowOff>79216</xdr:rowOff>
    </xdr:from>
    <xdr:to>
      <xdr:col>13</xdr:col>
      <xdr:colOff>484156</xdr:colOff>
      <xdr:row>28</xdr:row>
      <xdr:rowOff>96593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F91573F0-A4D5-4CCC-9C3C-C532D0923CC7}"/>
            </a:ext>
          </a:extLst>
        </xdr:cNvPr>
        <xdr:cNvSpPr/>
      </xdr:nvSpPr>
      <xdr:spPr>
        <a:xfrm>
          <a:off x="1200313" y="1130991"/>
          <a:ext cx="8583463" cy="3848841"/>
        </a:xfrm>
        <a:prstGeom prst="roundRect">
          <a:avLst>
            <a:gd name="adj" fmla="val 4463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298790</xdr:colOff>
      <xdr:row>4</xdr:row>
      <xdr:rowOff>81210</xdr:rowOff>
    </xdr:from>
    <xdr:to>
      <xdr:col>2</xdr:col>
      <xdr:colOff>661366</xdr:colOff>
      <xdr:row>6</xdr:row>
      <xdr:rowOff>75449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280EA2-4D72-45A5-8719-166BBBA747AC}"/>
            </a:ext>
          </a:extLst>
        </xdr:cNvPr>
        <xdr:cNvSpPr/>
      </xdr:nvSpPr>
      <xdr:spPr>
        <a:xfrm>
          <a:off x="1302269" y="580266"/>
          <a:ext cx="362576" cy="359141"/>
        </a:xfrm>
        <a:prstGeom prst="ellipse">
          <a:avLst/>
        </a:prstGeom>
        <a:solidFill>
          <a:sysClr val="window" lastClr="FFFFFF"/>
        </a:solidFill>
        <a:effectLst>
          <a:outerShdw blurRad="63500" dist="635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2</xdr:col>
      <xdr:colOff>298790</xdr:colOff>
      <xdr:row>4</xdr:row>
      <xdr:rowOff>65682</xdr:rowOff>
    </xdr:from>
    <xdr:ext cx="362576" cy="359141"/>
    <xdr:pic>
      <xdr:nvPicPr>
        <xdr:cNvPr id="6" name="Gráfico 5" descr="Diagrama de flujo circular contorno">
          <a:extLst>
            <a:ext uri="{FF2B5EF4-FFF2-40B4-BE49-F238E27FC236}">
              <a16:creationId xmlns:a16="http://schemas.microsoft.com/office/drawing/2014/main" id="{B442B55D-1994-4968-AA83-F9E47418A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02269" y="564738"/>
          <a:ext cx="362576" cy="359141"/>
        </a:xfrm>
        <a:prstGeom prst="rect">
          <a:avLst/>
        </a:prstGeom>
      </xdr:spPr>
    </xdr:pic>
    <xdr:clientData/>
  </xdr:oneCellAnchor>
  <xdr:twoCellAnchor>
    <xdr:from>
      <xdr:col>2</xdr:col>
      <xdr:colOff>665480</xdr:colOff>
      <xdr:row>4</xdr:row>
      <xdr:rowOff>56667</xdr:rowOff>
    </xdr:from>
    <xdr:to>
      <xdr:col>6</xdr:col>
      <xdr:colOff>297144</xdr:colOff>
      <xdr:row>5</xdr:row>
      <xdr:rowOff>132437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E6852069-992A-46E1-94D4-B2D037094441}"/>
            </a:ext>
          </a:extLst>
        </xdr:cNvPr>
        <xdr:cNvSpPr txBox="1"/>
      </xdr:nvSpPr>
      <xdr:spPr>
        <a:xfrm>
          <a:off x="1668959" y="555723"/>
          <a:ext cx="2872847" cy="258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 ExtraBold" panose="020B0903050000020004" pitchFamily="34" charset="0"/>
            </a:rPr>
            <a:t>Dashboard - Estadística</a:t>
          </a:r>
          <a:r>
            <a:rPr lang="es-ES" sz="12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 ExtraBold" panose="020B0903050000020004" pitchFamily="34" charset="0"/>
            </a:rPr>
            <a:t> Infantil A FCB</a:t>
          </a:r>
          <a:endParaRPr lang="es-ES" sz="12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 ExtraBold" panose="020B0903050000020004" pitchFamily="34" charset="0"/>
          </a:endParaRPr>
        </a:p>
      </xdr:txBody>
    </xdr:sp>
    <xdr:clientData/>
  </xdr:twoCellAnchor>
  <xdr:twoCellAnchor>
    <xdr:from>
      <xdr:col>2</xdr:col>
      <xdr:colOff>660114</xdr:colOff>
      <xdr:row>5</xdr:row>
      <xdr:rowOff>74197</xdr:rowOff>
    </xdr:from>
    <xdr:to>
      <xdr:col>6</xdr:col>
      <xdr:colOff>291778</xdr:colOff>
      <xdr:row>6</xdr:row>
      <xdr:rowOff>149967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2709999-A554-4596-A9CE-8FDCB3A640EF}"/>
            </a:ext>
          </a:extLst>
        </xdr:cNvPr>
        <xdr:cNvSpPr txBox="1"/>
      </xdr:nvSpPr>
      <xdr:spPr>
        <a:xfrm>
          <a:off x="1663593" y="755704"/>
          <a:ext cx="2872847" cy="258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Analísis estadístico individual</a:t>
          </a:r>
          <a:r>
            <a:rPr lang="es-ES" sz="8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temporada 2025/2026</a:t>
          </a:r>
          <a:endParaRPr lang="es-ES" sz="8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oneCellAnchor>
    <xdr:from>
      <xdr:col>0</xdr:col>
      <xdr:colOff>146804</xdr:colOff>
      <xdr:row>3</xdr:row>
      <xdr:rowOff>158134</xdr:rowOff>
    </xdr:from>
    <xdr:ext cx="1025251" cy="2798641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rival 4">
              <a:extLst>
                <a:ext uri="{FF2B5EF4-FFF2-40B4-BE49-F238E27FC236}">
                  <a16:creationId xmlns:a16="http://schemas.microsoft.com/office/drawing/2014/main" id="{C6713775-DA04-4822-A0F3-B1DE23793D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ival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804" y="480106"/>
              <a:ext cx="1025251" cy="27986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twoCellAnchor>
    <xdr:from>
      <xdr:col>0</xdr:col>
      <xdr:colOff>123202</xdr:colOff>
      <xdr:row>2</xdr:row>
      <xdr:rowOff>139520</xdr:rowOff>
    </xdr:from>
    <xdr:to>
      <xdr:col>2</xdr:col>
      <xdr:colOff>224802</xdr:colOff>
      <xdr:row>4</xdr:row>
      <xdr:rowOff>33270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8AFCBB1B-1443-4B44-A55D-B2A4D4561BEB}"/>
            </a:ext>
          </a:extLst>
        </xdr:cNvPr>
        <xdr:cNvSpPr txBox="1"/>
      </xdr:nvSpPr>
      <xdr:spPr>
        <a:xfrm>
          <a:off x="123202" y="322400"/>
          <a:ext cx="1099820" cy="2137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800">
              <a:solidFill>
                <a:srgbClr val="EE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● </a:t>
          </a:r>
          <a:r>
            <a:rPr lang="es-ES" sz="600" b="1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Filtro por rival</a:t>
          </a:r>
          <a:endParaRPr lang="es-ES" sz="800" b="1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0</xdr:col>
      <xdr:colOff>187933</xdr:colOff>
      <xdr:row>23</xdr:row>
      <xdr:rowOff>13039</xdr:rowOff>
    </xdr:from>
    <xdr:to>
      <xdr:col>2</xdr:col>
      <xdr:colOff>804393</xdr:colOff>
      <xdr:row>27</xdr:row>
      <xdr:rowOff>28442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66A1C97D-F473-4DB0-9FCA-8921B58330F4}"/>
            </a:ext>
          </a:extLst>
        </xdr:cNvPr>
        <xdr:cNvSpPr/>
      </xdr:nvSpPr>
      <xdr:spPr>
        <a:xfrm>
          <a:off x="187933" y="3978659"/>
          <a:ext cx="1619939" cy="745206"/>
        </a:xfrm>
        <a:prstGeom prst="roundRect">
          <a:avLst>
            <a:gd name="adj" fmla="val 9755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465457</xdr:colOff>
      <xdr:row>7</xdr:row>
      <xdr:rowOff>46910</xdr:rowOff>
    </xdr:from>
    <xdr:to>
      <xdr:col>12</xdr:col>
      <xdr:colOff>97792</xdr:colOff>
      <xdr:row>8</xdr:row>
      <xdr:rowOff>125439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C6FE71D8-5C04-4A7F-9096-67AE563CAD59}"/>
            </a:ext>
          </a:extLst>
        </xdr:cNvPr>
        <xdr:cNvSpPr txBox="1"/>
      </xdr:nvSpPr>
      <xdr:spPr>
        <a:xfrm>
          <a:off x="6309997" y="1098470"/>
          <a:ext cx="2863215" cy="2614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s-ES" sz="12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 ExtraBold" panose="020B0903050000020004" pitchFamily="34" charset="0"/>
          </a:endParaRPr>
        </a:p>
      </xdr:txBody>
    </xdr:sp>
    <xdr:clientData/>
  </xdr:twoCellAnchor>
  <xdr:twoCellAnchor>
    <xdr:from>
      <xdr:col>2</xdr:col>
      <xdr:colOff>788219</xdr:colOff>
      <xdr:row>7</xdr:row>
      <xdr:rowOff>156999</xdr:rowOff>
    </xdr:from>
    <xdr:to>
      <xdr:col>13</xdr:col>
      <xdr:colOff>5138</xdr:colOff>
      <xdr:row>26</xdr:row>
      <xdr:rowOff>75126</xdr:rowOff>
    </xdr:to>
    <xdr:graphicFrame macro="">
      <xdr:nvGraphicFramePr>
        <xdr:cNvPr id="22" name="G_Eficiencia" hidden="1">
          <a:extLst>
            <a:ext uri="{FF2B5EF4-FFF2-40B4-BE49-F238E27FC236}">
              <a16:creationId xmlns:a16="http://schemas.microsoft.com/office/drawing/2014/main" id="{39070BEB-E955-4C59-8EA6-BF9BCB56C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593271</xdr:colOff>
      <xdr:row>50</xdr:row>
      <xdr:rowOff>54429</xdr:rowOff>
    </xdr:from>
    <xdr:to>
      <xdr:col>8</xdr:col>
      <xdr:colOff>501631</xdr:colOff>
      <xdr:row>51</xdr:row>
      <xdr:rowOff>132988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F141705C-B8E0-4C2E-BA0C-F1ACF28C61F1}"/>
            </a:ext>
          </a:extLst>
        </xdr:cNvPr>
        <xdr:cNvSpPr txBox="1"/>
      </xdr:nvSpPr>
      <xdr:spPr>
        <a:xfrm>
          <a:off x="5630091" y="8969829"/>
          <a:ext cx="716080" cy="2614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900" b="1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Jornadas</a:t>
          </a:r>
        </a:p>
      </xdr:txBody>
    </xdr:sp>
    <xdr:clientData/>
  </xdr:twoCellAnchor>
  <xdr:twoCellAnchor>
    <xdr:from>
      <xdr:col>1</xdr:col>
      <xdr:colOff>75126</xdr:colOff>
      <xdr:row>24</xdr:row>
      <xdr:rowOff>21465</xdr:rowOff>
    </xdr:from>
    <xdr:to>
      <xdr:col>3</xdr:col>
      <xdr:colOff>300507</xdr:colOff>
      <xdr:row>26</xdr:row>
      <xdr:rowOff>134155</xdr:rowOff>
    </xdr:to>
    <xdr:graphicFrame macro="">
      <xdr:nvGraphicFramePr>
        <xdr:cNvPr id="24" name="G_T_Ef" hidden="1">
          <a:extLst>
            <a:ext uri="{FF2B5EF4-FFF2-40B4-BE49-F238E27FC236}">
              <a16:creationId xmlns:a16="http://schemas.microsoft.com/office/drawing/2014/main" id="{A16E3E51-09F9-4CE9-A1BA-448E10C21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660042</xdr:colOff>
      <xdr:row>9</xdr:row>
      <xdr:rowOff>59027</xdr:rowOff>
    </xdr:from>
    <xdr:to>
      <xdr:col>13</xdr:col>
      <xdr:colOff>413197</xdr:colOff>
      <xdr:row>26</xdr:row>
      <xdr:rowOff>96590</xdr:rowOff>
    </xdr:to>
    <xdr:graphicFrame macro="">
      <xdr:nvGraphicFramePr>
        <xdr:cNvPr id="25" name="G_Acciones_Positivas" hidden="1">
          <a:extLst>
            <a:ext uri="{FF2B5EF4-FFF2-40B4-BE49-F238E27FC236}">
              <a16:creationId xmlns:a16="http://schemas.microsoft.com/office/drawing/2014/main" id="{7A52BFD2-8B54-4229-A1D9-4604D57AF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171717</xdr:colOff>
      <xdr:row>23</xdr:row>
      <xdr:rowOff>150254</xdr:rowOff>
    </xdr:from>
    <xdr:to>
      <xdr:col>2</xdr:col>
      <xdr:colOff>472226</xdr:colOff>
      <xdr:row>27</xdr:row>
      <xdr:rowOff>21466</xdr:rowOff>
    </xdr:to>
    <xdr:graphicFrame macro="">
      <xdr:nvGraphicFramePr>
        <xdr:cNvPr id="27" name="G_Ac_Pos" hidden="1">
          <a:extLst>
            <a:ext uri="{FF2B5EF4-FFF2-40B4-BE49-F238E27FC236}">
              <a16:creationId xmlns:a16="http://schemas.microsoft.com/office/drawing/2014/main" id="{5E1D86EB-F4A3-4831-9C14-61C2D9590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167532</xdr:colOff>
      <xdr:row>22</xdr:row>
      <xdr:rowOff>104181</xdr:rowOff>
    </xdr:from>
    <xdr:to>
      <xdr:col>2</xdr:col>
      <xdr:colOff>309629</xdr:colOff>
      <xdr:row>24</xdr:row>
      <xdr:rowOff>66081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2CCA275F-84FE-4B2E-9FB7-96019265246A}"/>
            </a:ext>
          </a:extLst>
        </xdr:cNvPr>
        <xdr:cNvSpPr txBox="1"/>
      </xdr:nvSpPr>
      <xdr:spPr>
        <a:xfrm>
          <a:off x="167532" y="3898941"/>
          <a:ext cx="1140317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800" b="1" baseline="0">
              <a:solidFill>
                <a:srgbClr val="C04F15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Totales: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   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800" b="1">
            <a:solidFill>
              <a:schemeClr val="bg1"/>
            </a:solidFill>
            <a:latin typeface="Fira Sans" panose="020B0503050000020004" pitchFamily="34" charset="0"/>
            <a:ea typeface="+mn-ea"/>
            <a:cs typeface="Arial" panose="020B0604020202020204" pitchFamily="34" charset="0"/>
          </a:endParaRPr>
        </a:p>
        <a:p>
          <a:endParaRPr lang="es-ES" sz="800" b="1">
            <a:solidFill>
              <a:schemeClr val="bg1"/>
            </a:solidFill>
            <a:latin typeface="Fira Sans" panose="020B0503050000020004" pitchFamily="34" charset="0"/>
            <a:cs typeface="Arial" panose="020B0604020202020204" pitchFamily="34" charset="0"/>
          </a:endParaRPr>
        </a:p>
        <a:p>
          <a:endParaRPr lang="es-ES" sz="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ES" sz="600"/>
        </a:p>
      </xdr:txBody>
    </xdr:sp>
    <xdr:clientData/>
  </xdr:twoCellAnchor>
  <xdr:twoCellAnchor>
    <xdr:from>
      <xdr:col>2</xdr:col>
      <xdr:colOff>622479</xdr:colOff>
      <xdr:row>9</xdr:row>
      <xdr:rowOff>120573</xdr:rowOff>
    </xdr:from>
    <xdr:to>
      <xdr:col>13</xdr:col>
      <xdr:colOff>429295</xdr:colOff>
      <xdr:row>26</xdr:row>
      <xdr:rowOff>139521</xdr:rowOff>
    </xdr:to>
    <xdr:graphicFrame macro="">
      <xdr:nvGraphicFramePr>
        <xdr:cNvPr id="29" name="G_Acciones_negativas" hidden="1">
          <a:extLst>
            <a:ext uri="{FF2B5EF4-FFF2-40B4-BE49-F238E27FC236}">
              <a16:creationId xmlns:a16="http://schemas.microsoft.com/office/drawing/2014/main" id="{4EA42724-31FA-4E28-9415-2DF48F951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21465</xdr:colOff>
      <xdr:row>24</xdr:row>
      <xdr:rowOff>0</xdr:rowOff>
    </xdr:from>
    <xdr:to>
      <xdr:col>2</xdr:col>
      <xdr:colOff>654676</xdr:colOff>
      <xdr:row>26</xdr:row>
      <xdr:rowOff>147990</xdr:rowOff>
    </xdr:to>
    <xdr:graphicFrame macro="">
      <xdr:nvGraphicFramePr>
        <xdr:cNvPr id="30" name="G_Ac_Neg" hidden="1">
          <a:extLst>
            <a:ext uri="{FF2B5EF4-FFF2-40B4-BE49-F238E27FC236}">
              <a16:creationId xmlns:a16="http://schemas.microsoft.com/office/drawing/2014/main" id="{EC42A794-8D0D-4D06-AF48-FD8624F94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450760</xdr:colOff>
      <xdr:row>7</xdr:row>
      <xdr:rowOff>127298</xdr:rowOff>
    </xdr:from>
    <xdr:to>
      <xdr:col>13</xdr:col>
      <xdr:colOff>418563</xdr:colOff>
      <xdr:row>28</xdr:row>
      <xdr:rowOff>53662</xdr:rowOff>
    </xdr:to>
    <xdr:graphicFrame macro="">
      <xdr:nvGraphicFramePr>
        <xdr:cNvPr id="31" name="eficiencia_equipo">
          <a:extLst>
            <a:ext uri="{FF2B5EF4-FFF2-40B4-BE49-F238E27FC236}">
              <a16:creationId xmlns:a16="http://schemas.microsoft.com/office/drawing/2014/main" id="{25E6826A-07C4-4B5B-B57F-5204961D9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41324</xdr:colOff>
      <xdr:row>15</xdr:row>
      <xdr:rowOff>155620</xdr:rowOff>
    </xdr:from>
    <xdr:to>
      <xdr:col>2</xdr:col>
      <xdr:colOff>531258</xdr:colOff>
      <xdr:row>19</xdr:row>
      <xdr:rowOff>116834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A8CD9C87-A240-4A3C-87DD-1A902DBFD5C3}"/>
            </a:ext>
          </a:extLst>
        </xdr:cNvPr>
        <xdr:cNvSpPr txBox="1"/>
      </xdr:nvSpPr>
      <xdr:spPr>
        <a:xfrm rot="16200000">
          <a:off x="944261" y="2767542"/>
          <a:ext cx="691017" cy="489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900" b="1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+mn-cs"/>
            </a:rPr>
            <a:t>Unidades</a:t>
          </a:r>
          <a:endParaRPr lang="es-ES" sz="900" b="1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0</xdr:col>
      <xdr:colOff>187932</xdr:colOff>
      <xdr:row>24</xdr:row>
      <xdr:rowOff>26830</xdr:rowOff>
    </xdr:from>
    <xdr:to>
      <xdr:col>2</xdr:col>
      <xdr:colOff>466858</xdr:colOff>
      <xdr:row>26</xdr:row>
      <xdr:rowOff>177084</xdr:rowOff>
    </xdr:to>
    <xdr:graphicFrame macro="">
      <xdr:nvGraphicFramePr>
        <xdr:cNvPr id="9" name="eficiencia_equipo_T">
          <a:extLst>
            <a:ext uri="{FF2B5EF4-FFF2-40B4-BE49-F238E27FC236}">
              <a16:creationId xmlns:a16="http://schemas.microsoft.com/office/drawing/2014/main" id="{89449261-BD52-47DB-851D-A4A353EDA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252211</xdr:colOff>
      <xdr:row>7</xdr:row>
      <xdr:rowOff>118057</xdr:rowOff>
    </xdr:from>
    <xdr:to>
      <xdr:col>13</xdr:col>
      <xdr:colOff>423928</xdr:colOff>
      <xdr:row>28</xdr:row>
      <xdr:rowOff>26830</xdr:rowOff>
    </xdr:to>
    <xdr:graphicFrame macro="">
      <xdr:nvGraphicFramePr>
        <xdr:cNvPr id="10" name="positivas_equipo" hidden="1">
          <a:extLst>
            <a:ext uri="{FF2B5EF4-FFF2-40B4-BE49-F238E27FC236}">
              <a16:creationId xmlns:a16="http://schemas.microsoft.com/office/drawing/2014/main" id="{64ADA822-0E20-4EB1-AD0B-73ACA38B0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26832</xdr:colOff>
      <xdr:row>24</xdr:row>
      <xdr:rowOff>10733</xdr:rowOff>
    </xdr:from>
    <xdr:to>
      <xdr:col>2</xdr:col>
      <xdr:colOff>541986</xdr:colOff>
      <xdr:row>26</xdr:row>
      <xdr:rowOff>166352</xdr:rowOff>
    </xdr:to>
    <xdr:graphicFrame macro="">
      <xdr:nvGraphicFramePr>
        <xdr:cNvPr id="11" name="positivas_T" hidden="1">
          <a:extLst>
            <a:ext uri="{FF2B5EF4-FFF2-40B4-BE49-F238E27FC236}">
              <a16:creationId xmlns:a16="http://schemas.microsoft.com/office/drawing/2014/main" id="{42235202-12BC-4A63-A763-D03AFEB68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279042</xdr:colOff>
      <xdr:row>7</xdr:row>
      <xdr:rowOff>84582</xdr:rowOff>
    </xdr:from>
    <xdr:to>
      <xdr:col>13</xdr:col>
      <xdr:colOff>413197</xdr:colOff>
      <xdr:row>28</xdr:row>
      <xdr:rowOff>0</xdr:rowOff>
    </xdr:to>
    <xdr:graphicFrame macro="">
      <xdr:nvGraphicFramePr>
        <xdr:cNvPr id="12" name="negativas_equipo" hidden="1">
          <a:extLst>
            <a:ext uri="{FF2B5EF4-FFF2-40B4-BE49-F238E27FC236}">
              <a16:creationId xmlns:a16="http://schemas.microsoft.com/office/drawing/2014/main" id="{64A812D5-E9EF-433D-9A7A-E5CDDF4F8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5483</xdr:colOff>
      <xdr:row>24</xdr:row>
      <xdr:rowOff>13040</xdr:rowOff>
    </xdr:from>
    <xdr:to>
      <xdr:col>2</xdr:col>
      <xdr:colOff>499057</xdr:colOff>
      <xdr:row>26</xdr:row>
      <xdr:rowOff>177084</xdr:rowOff>
    </xdr:to>
    <xdr:graphicFrame macro="">
      <xdr:nvGraphicFramePr>
        <xdr:cNvPr id="13" name="negativas_T" hidden="1">
          <a:extLst>
            <a:ext uri="{FF2B5EF4-FFF2-40B4-BE49-F238E27FC236}">
              <a16:creationId xmlns:a16="http://schemas.microsoft.com/office/drawing/2014/main" id="{11F5BA0D-F216-45E9-9B27-9240E2BD5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457506</xdr:colOff>
      <xdr:row>3</xdr:row>
      <xdr:rowOff>37563</xdr:rowOff>
    </xdr:from>
    <xdr:to>
      <xdr:col>12</xdr:col>
      <xdr:colOff>5366</xdr:colOff>
      <xdr:row>7</xdr:row>
      <xdr:rowOff>59029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A6B45FE8-EB7B-4B76-B609-8AEF374FE507}"/>
            </a:ext>
          </a:extLst>
        </xdr:cNvPr>
        <xdr:cNvSpPr/>
      </xdr:nvSpPr>
      <xdr:spPr>
        <a:xfrm>
          <a:off x="4702168" y="354169"/>
          <a:ext cx="4409635" cy="751268"/>
        </a:xfrm>
        <a:prstGeom prst="rect">
          <a:avLst/>
        </a:prstGeom>
        <a:solidFill>
          <a:srgbClr val="2E2F3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419942</xdr:colOff>
      <xdr:row>3</xdr:row>
      <xdr:rowOff>5366</xdr:rowOff>
    </xdr:from>
    <xdr:to>
      <xdr:col>12</xdr:col>
      <xdr:colOff>48295</xdr:colOff>
      <xdr:row>7</xdr:row>
      <xdr:rowOff>123423</xdr:rowOff>
    </xdr:to>
    <xdr:sp macro="" textlink="">
      <xdr:nvSpPr>
        <xdr:cNvPr id="15" name="CuadroTextoGoles">
          <a:extLst>
            <a:ext uri="{FF2B5EF4-FFF2-40B4-BE49-F238E27FC236}">
              <a16:creationId xmlns:a16="http://schemas.microsoft.com/office/drawing/2014/main" id="{1FDEC871-3DE7-4F13-9AE1-411EEFF88EB5}"/>
            </a:ext>
          </a:extLst>
        </xdr:cNvPr>
        <xdr:cNvSpPr txBox="1"/>
      </xdr:nvSpPr>
      <xdr:spPr>
        <a:xfrm>
          <a:off x="4664604" y="321972"/>
          <a:ext cx="4490128" cy="8478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" sz="1200" b="1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                                             </a:t>
          </a:r>
          <a:r>
            <a:rPr lang="es-ES" sz="1200" b="1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MS Reference Sans Serif" panose="020B0604030504040204" pitchFamily="34" charset="0"/>
            </a:rPr>
            <a:t> Temporada</a:t>
          </a:r>
        </a:p>
        <a:p>
          <a:pPr algn="l"/>
          <a:r>
            <a:rPr lang="es-ES" sz="8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MS Reference Sans Serif" panose="020B0604030504040204" pitchFamily="34" charset="0"/>
            </a:rPr>
            <a:t>Lanzamientos realizados:               Goles realizados:               % eficiencia:</a:t>
          </a:r>
        </a:p>
        <a:p>
          <a:pPr algn="l"/>
          <a:r>
            <a:rPr lang="es-ES" sz="8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MS Reference Sans Serif" panose="020B0604030504040204" pitchFamily="34" charset="0"/>
            </a:rPr>
            <a:t>Paradas realizadas                         Goles Encajados:               % paradas:</a:t>
          </a:r>
        </a:p>
        <a:p>
          <a:pPr algn="l"/>
          <a:r>
            <a:rPr lang="es-ES" sz="8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MS Reference Sans Serif" panose="020B0604030504040204" pitchFamily="34" charset="0"/>
            </a:rPr>
            <a:t>Recuperaciones:                            Asistencias:                       Exclusiones +:</a:t>
          </a:r>
        </a:p>
        <a:p>
          <a:pPr algn="l"/>
          <a:r>
            <a:rPr lang="es-ES" sz="8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MS Reference Sans Serif" panose="020B0604030504040204" pitchFamily="34" charset="0"/>
            </a:rPr>
            <a:t>Pérdidas:                                                                              Exclusiones -: </a:t>
          </a:r>
        </a:p>
        <a:p>
          <a:pPr algn="l"/>
          <a:r>
            <a:rPr lang="es-ES" sz="8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MS Reference Sans Serif" panose="020B0604030504040204" pitchFamily="34" charset="0"/>
            </a:rPr>
            <a:t>                    </a:t>
          </a:r>
        </a:p>
        <a:p>
          <a:pPr algn="l"/>
          <a:endParaRPr lang="es-ES" sz="800" baseline="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MS Reference Sans Serif" panose="020B0604030504040204" pitchFamily="34" charset="0"/>
          </a:endParaRPr>
        </a:p>
        <a:p>
          <a:pPr algn="l"/>
          <a:endParaRPr lang="es-ES" sz="800" baseline="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MS Reference Sans Serif" panose="020B0604030504040204" pitchFamily="34" charset="0"/>
          </a:endParaRPr>
        </a:p>
        <a:p>
          <a:pPr algn="l"/>
          <a:endParaRPr lang="es-ES" sz="800" baseline="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  <a:p>
          <a:pPr algn="l"/>
          <a:endParaRPr lang="es-ES" sz="8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8</xdr:col>
      <xdr:colOff>135531</xdr:colOff>
      <xdr:row>5</xdr:row>
      <xdr:rowOff>91225</xdr:rowOff>
    </xdr:from>
    <xdr:to>
      <xdr:col>8</xdr:col>
      <xdr:colOff>649308</xdr:colOff>
      <xdr:row>6</xdr:row>
      <xdr:rowOff>112690</xdr:rowOff>
    </xdr:to>
    <xdr:sp macro="" textlink="Analisis_Equipo!AJ13">
      <xdr:nvSpPr>
        <xdr:cNvPr id="16" name="CuadroTexto 15">
          <a:extLst>
            <a:ext uri="{FF2B5EF4-FFF2-40B4-BE49-F238E27FC236}">
              <a16:creationId xmlns:a16="http://schemas.microsoft.com/office/drawing/2014/main" id="{E437F589-C776-47E1-A2E5-B083004C1D7A}"/>
            </a:ext>
          </a:extLst>
        </xdr:cNvPr>
        <xdr:cNvSpPr txBox="1"/>
      </xdr:nvSpPr>
      <xdr:spPr>
        <a:xfrm>
          <a:off x="6000785" y="772732"/>
          <a:ext cx="513777" cy="203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65D4F14-0326-47A7-BB20-88222A34634B}" type="TxLink">
            <a:rPr lang="en-US" sz="800" b="0" i="0" u="none" strike="noStrike">
              <a:solidFill>
                <a:schemeClr val="bg1"/>
              </a:solidFill>
              <a:latin typeface="MS Reference Sans Serif" panose="020B0604030504040204" pitchFamily="34" charset="0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14,3</a:t>
          </a:fld>
          <a:endParaRPr lang="en-US" sz="800" b="0" i="0" u="none" strike="noStrike">
            <a:solidFill>
              <a:schemeClr val="bg1"/>
            </a:solidFill>
            <a:latin typeface="MS Reference Sans Serif" panose="020B0604030504040204" pitchFamily="34" charset="0"/>
          </a:endParaRPr>
        </a:p>
      </xdr:txBody>
    </xdr:sp>
    <xdr:clientData/>
  </xdr:twoCellAnchor>
  <xdr:twoCellAnchor>
    <xdr:from>
      <xdr:col>11</xdr:col>
      <xdr:colOff>414576</xdr:colOff>
      <xdr:row>4</xdr:row>
      <xdr:rowOff>16098</xdr:rowOff>
    </xdr:from>
    <xdr:to>
      <xdr:col>12</xdr:col>
      <xdr:colOff>85858</xdr:colOff>
      <xdr:row>5</xdr:row>
      <xdr:rowOff>32198</xdr:rowOff>
    </xdr:to>
    <xdr:sp macro="" textlink="Analisis_Equipo!AI7">
      <xdr:nvSpPr>
        <xdr:cNvPr id="26" name="CuadroTexto 25">
          <a:extLst>
            <a:ext uri="{FF2B5EF4-FFF2-40B4-BE49-F238E27FC236}">
              <a16:creationId xmlns:a16="http://schemas.microsoft.com/office/drawing/2014/main" id="{DDD18F7E-6DE3-4F9A-87B7-1BB9E4C53F4B}"/>
            </a:ext>
          </a:extLst>
        </xdr:cNvPr>
        <xdr:cNvSpPr txBox="1"/>
      </xdr:nvSpPr>
      <xdr:spPr>
        <a:xfrm>
          <a:off x="8710717" y="515154"/>
          <a:ext cx="481578" cy="198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0A29D5B6-BA67-4B03-88C0-1105F623800A}" type="TxLink">
            <a:rPr lang="en-US" sz="800" b="0" i="0" u="none" strike="noStrike">
              <a:solidFill>
                <a:schemeClr val="bg1"/>
              </a:solidFill>
              <a:latin typeface="MS Reference Sans Serif" panose="020B0604030504040204" pitchFamily="34" charset="0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84,4</a:t>
          </a:fld>
          <a:endParaRPr lang="en-US" sz="800" b="0" i="0" u="none" strike="noStrike">
            <a:solidFill>
              <a:schemeClr val="bg1"/>
            </a:solidFill>
            <a:latin typeface="MS Reference Sans Serif" panose="020B060403050404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489704</xdr:colOff>
      <xdr:row>5</xdr:row>
      <xdr:rowOff>64394</xdr:rowOff>
    </xdr:from>
    <xdr:to>
      <xdr:col>12</xdr:col>
      <xdr:colOff>145074</xdr:colOff>
      <xdr:row>6</xdr:row>
      <xdr:rowOff>66728</xdr:rowOff>
    </xdr:to>
    <xdr:sp macro="" textlink="Analisis_Equipo!AJ14">
      <xdr:nvSpPr>
        <xdr:cNvPr id="32" name="CuadroTexto 31">
          <a:extLst>
            <a:ext uri="{FF2B5EF4-FFF2-40B4-BE49-F238E27FC236}">
              <a16:creationId xmlns:a16="http://schemas.microsoft.com/office/drawing/2014/main" id="{0EB315F4-F9ED-4A76-99B6-0C78477FE5F4}"/>
            </a:ext>
          </a:extLst>
        </xdr:cNvPr>
        <xdr:cNvSpPr txBox="1"/>
      </xdr:nvSpPr>
      <xdr:spPr>
        <a:xfrm>
          <a:off x="8785845" y="745901"/>
          <a:ext cx="465666" cy="184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4E5E2E4F-FC43-49FE-B06D-FDD1151C6422}" type="TxLink">
            <a:rPr lang="en-US" sz="800" b="0" i="0" u="none" strike="noStrike">
              <a:solidFill>
                <a:schemeClr val="bg1"/>
              </a:solidFill>
              <a:latin typeface="MS Reference Sans Serif" panose="020B0604030504040204" pitchFamily="34" charset="0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1,0</a:t>
          </a:fld>
          <a:endParaRPr lang="en-US" sz="800" b="0" i="0" u="none" strike="noStrike">
            <a:solidFill>
              <a:schemeClr val="bg1"/>
            </a:solidFill>
            <a:latin typeface="MS Reference Sans Serif" panose="020B060403050404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495068</xdr:colOff>
      <xdr:row>6</xdr:row>
      <xdr:rowOff>21465</xdr:rowOff>
    </xdr:from>
    <xdr:to>
      <xdr:col>12</xdr:col>
      <xdr:colOff>80493</xdr:colOff>
      <xdr:row>7</xdr:row>
      <xdr:rowOff>48296</xdr:rowOff>
    </xdr:to>
    <xdr:sp macro="" textlink="Analisis_Equipo!AJ15">
      <xdr:nvSpPr>
        <xdr:cNvPr id="35" name="CuadroTexto 34">
          <a:extLst>
            <a:ext uri="{FF2B5EF4-FFF2-40B4-BE49-F238E27FC236}">
              <a16:creationId xmlns:a16="http://schemas.microsoft.com/office/drawing/2014/main" id="{C0E90639-7D3A-47DE-ABD1-B93523BEFCDA}"/>
            </a:ext>
          </a:extLst>
        </xdr:cNvPr>
        <xdr:cNvSpPr txBox="1"/>
      </xdr:nvSpPr>
      <xdr:spPr>
        <a:xfrm>
          <a:off x="8791209" y="885423"/>
          <a:ext cx="395721" cy="2092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1E42E54-F820-4285-BB0D-862573B08B7C}" type="TxLink">
            <a:rPr lang="en-US" sz="800" b="0" i="0" u="none" strike="noStrike">
              <a:solidFill>
                <a:schemeClr val="bg1"/>
              </a:solidFill>
              <a:latin typeface="MS Reference Sans Serif" panose="020B0604030504040204" pitchFamily="34" charset="0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2,3</a:t>
          </a:fld>
          <a:endParaRPr lang="en-US" sz="800" b="0" i="0" u="none" strike="noStrike">
            <a:solidFill>
              <a:schemeClr val="bg1"/>
            </a:solidFill>
            <a:latin typeface="MS Reference Sans Serif" panose="020B060403050404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409208</xdr:colOff>
      <xdr:row>4</xdr:row>
      <xdr:rowOff>139521</xdr:rowOff>
    </xdr:from>
    <xdr:to>
      <xdr:col>13</xdr:col>
      <xdr:colOff>8979</xdr:colOff>
      <xdr:row>5</xdr:row>
      <xdr:rowOff>131695</xdr:rowOff>
    </xdr:to>
    <xdr:sp macro="" textlink="Analisis_Equipo!AI9">
      <xdr:nvSpPr>
        <xdr:cNvPr id="36" name="CuadroTexto 35">
          <a:extLst>
            <a:ext uri="{FF2B5EF4-FFF2-40B4-BE49-F238E27FC236}">
              <a16:creationId xmlns:a16="http://schemas.microsoft.com/office/drawing/2014/main" id="{0C1F1135-2D44-4BE6-858C-83350EE85354}"/>
            </a:ext>
          </a:extLst>
        </xdr:cNvPr>
        <xdr:cNvSpPr txBox="1"/>
      </xdr:nvSpPr>
      <xdr:spPr>
        <a:xfrm>
          <a:off x="8705349" y="638577"/>
          <a:ext cx="603250" cy="174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8EDBA051-82E5-4B23-9F31-CD5F4165E1FC}" type="TxLink">
            <a:rPr lang="en-US" sz="800" b="0" i="0" u="none" strike="noStrike">
              <a:solidFill>
                <a:schemeClr val="bg1"/>
              </a:solidFill>
              <a:latin typeface="MS Reference Sans Serif" panose="020B0604030504040204" pitchFamily="34" charset="0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36,6%</a:t>
          </a:fld>
          <a:endParaRPr lang="es-ES" sz="800" b="0" i="0" u="none" strike="noStrike">
            <a:solidFill>
              <a:schemeClr val="bg1"/>
            </a:solidFill>
            <a:latin typeface="MS Reference Sans Serif" panose="020B060403050404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741914</xdr:colOff>
      <xdr:row>4</xdr:row>
      <xdr:rowOff>144887</xdr:rowOff>
    </xdr:from>
    <xdr:to>
      <xdr:col>10</xdr:col>
      <xdr:colOff>397284</xdr:colOff>
      <xdr:row>6</xdr:row>
      <xdr:rowOff>18108</xdr:rowOff>
    </xdr:to>
    <xdr:sp macro="" textlink="Analisis_Equipo!AI10">
      <xdr:nvSpPr>
        <xdr:cNvPr id="37" name="CuadroTexto 36">
          <a:extLst>
            <a:ext uri="{FF2B5EF4-FFF2-40B4-BE49-F238E27FC236}">
              <a16:creationId xmlns:a16="http://schemas.microsoft.com/office/drawing/2014/main" id="{EE3382E0-F961-439E-9DFF-6D33F7C5871B}"/>
            </a:ext>
          </a:extLst>
        </xdr:cNvPr>
        <xdr:cNvSpPr txBox="1"/>
      </xdr:nvSpPr>
      <xdr:spPr>
        <a:xfrm>
          <a:off x="7417463" y="643943"/>
          <a:ext cx="465666" cy="2381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F6DDE5AA-649B-458B-8419-C97CF437D220}" type="TxLink">
            <a:rPr lang="en-US" sz="800" b="0" i="0" u="none" strike="noStrike">
              <a:solidFill>
                <a:schemeClr val="bg1"/>
              </a:solidFill>
              <a:latin typeface="MS Reference Sans Serif" panose="020B0604030504040204" pitchFamily="34" charset="0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13,9</a:t>
          </a:fld>
          <a:endParaRPr lang="en-US" sz="800" b="0" i="0" u="none" strike="noStrike">
            <a:solidFill>
              <a:schemeClr val="bg1"/>
            </a:solidFill>
            <a:latin typeface="MS Reference Sans Serif" panose="020B060403050404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747281</xdr:colOff>
      <xdr:row>4</xdr:row>
      <xdr:rowOff>5367</xdr:rowOff>
    </xdr:from>
    <xdr:to>
      <xdr:col>10</xdr:col>
      <xdr:colOff>402651</xdr:colOff>
      <xdr:row>5</xdr:row>
      <xdr:rowOff>13417</xdr:rowOff>
    </xdr:to>
    <xdr:sp macro="" textlink="Analisis_Equipo!AI8">
      <xdr:nvSpPr>
        <xdr:cNvPr id="38" name="CuadroTexto 37">
          <a:extLst>
            <a:ext uri="{FF2B5EF4-FFF2-40B4-BE49-F238E27FC236}">
              <a16:creationId xmlns:a16="http://schemas.microsoft.com/office/drawing/2014/main" id="{F7D0B73B-2F02-41A7-AF65-B834B452DDF5}"/>
            </a:ext>
          </a:extLst>
        </xdr:cNvPr>
        <xdr:cNvSpPr txBox="1"/>
      </xdr:nvSpPr>
      <xdr:spPr>
        <a:xfrm>
          <a:off x="7422830" y="504423"/>
          <a:ext cx="465666" cy="190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D52C20AB-BAB9-4F4D-A852-3D8AA781659B}" type="TxLink">
            <a:rPr lang="en-US" sz="800" b="0" i="0" u="none" strike="noStrike">
              <a:solidFill>
                <a:schemeClr val="bg1"/>
              </a:solidFill>
              <a:latin typeface="MS Reference Sans Serif" panose="020B0604030504040204" pitchFamily="34" charset="0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37,9</a:t>
          </a:fld>
          <a:endParaRPr lang="es-ES" sz="800" b="0" i="0" u="none" strike="noStrike">
            <a:solidFill>
              <a:schemeClr val="bg1"/>
            </a:solidFill>
            <a:latin typeface="MS Reference Sans Serif" panose="020B060403050404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194562</xdr:colOff>
      <xdr:row>6</xdr:row>
      <xdr:rowOff>26832</xdr:rowOff>
    </xdr:from>
    <xdr:to>
      <xdr:col>8</xdr:col>
      <xdr:colOff>660228</xdr:colOff>
      <xdr:row>7</xdr:row>
      <xdr:rowOff>75128</xdr:rowOff>
    </xdr:to>
    <xdr:sp macro="" textlink="Analisis_Equipo!AJ12">
      <xdr:nvSpPr>
        <xdr:cNvPr id="39" name="CuadroTexto 38">
          <a:extLst>
            <a:ext uri="{FF2B5EF4-FFF2-40B4-BE49-F238E27FC236}">
              <a16:creationId xmlns:a16="http://schemas.microsoft.com/office/drawing/2014/main" id="{EB959489-2456-4511-BA08-75AC7484211F}"/>
            </a:ext>
          </a:extLst>
        </xdr:cNvPr>
        <xdr:cNvSpPr txBox="1"/>
      </xdr:nvSpPr>
      <xdr:spPr>
        <a:xfrm>
          <a:off x="6059816" y="890790"/>
          <a:ext cx="465666" cy="230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07DFEF3F-644A-4A1E-AC7D-7C2577A009C5}" type="TxLink">
            <a:rPr lang="en-US" sz="800" b="0" i="0" u="none" strike="noStrike">
              <a:solidFill>
                <a:schemeClr val="bg1"/>
              </a:solidFill>
              <a:latin typeface="MS Reference Sans Serif" panose="020B0604030504040204" pitchFamily="34" charset="0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5,4</a:t>
          </a:fld>
          <a:endParaRPr lang="en-US" sz="800" b="0" i="0" u="none" strike="noStrike">
            <a:solidFill>
              <a:schemeClr val="bg1"/>
            </a:solidFill>
            <a:latin typeface="MS Reference Sans Serif" panose="020B060403050404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747280</xdr:colOff>
      <xdr:row>5</xdr:row>
      <xdr:rowOff>96590</xdr:rowOff>
    </xdr:from>
    <xdr:to>
      <xdr:col>10</xdr:col>
      <xdr:colOff>402650</xdr:colOff>
      <xdr:row>6</xdr:row>
      <xdr:rowOff>110646</xdr:rowOff>
    </xdr:to>
    <xdr:sp macro="" textlink="Analisis_Equipo!AJ11">
      <xdr:nvSpPr>
        <xdr:cNvPr id="40" name="CuadroTexto 39">
          <a:extLst>
            <a:ext uri="{FF2B5EF4-FFF2-40B4-BE49-F238E27FC236}">
              <a16:creationId xmlns:a16="http://schemas.microsoft.com/office/drawing/2014/main" id="{D26AE5F9-64F9-4ED3-9807-87BA052CCE5E}"/>
            </a:ext>
          </a:extLst>
        </xdr:cNvPr>
        <xdr:cNvSpPr txBox="1"/>
      </xdr:nvSpPr>
      <xdr:spPr>
        <a:xfrm>
          <a:off x="7422829" y="778097"/>
          <a:ext cx="465666" cy="196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FFCAB6AB-AB6E-432E-AA9A-1AC00E3EF480}" type="TxLink">
            <a:rPr lang="en-US" sz="800" b="0" i="0" u="none" strike="noStrike">
              <a:solidFill>
                <a:schemeClr val="bg1"/>
              </a:solidFill>
              <a:latin typeface="MS Reference Sans Serif" panose="020B0604030504040204" pitchFamily="34" charset="0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21,9</a:t>
          </a:fld>
          <a:endParaRPr lang="en-US" sz="800" b="0" i="0" u="none" strike="noStrike">
            <a:solidFill>
              <a:schemeClr val="bg1"/>
            </a:solidFill>
            <a:latin typeface="MS Reference Sans Serif" panose="020B060403050404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146266</xdr:colOff>
      <xdr:row>4</xdr:row>
      <xdr:rowOff>21465</xdr:rowOff>
    </xdr:from>
    <xdr:to>
      <xdr:col>8</xdr:col>
      <xdr:colOff>660043</xdr:colOff>
      <xdr:row>5</xdr:row>
      <xdr:rowOff>42930</xdr:rowOff>
    </xdr:to>
    <xdr:sp macro="" textlink="Analisis_Equipo!AJ6">
      <xdr:nvSpPr>
        <xdr:cNvPr id="20" name="CuadroTexto 19">
          <a:extLst>
            <a:ext uri="{FF2B5EF4-FFF2-40B4-BE49-F238E27FC236}">
              <a16:creationId xmlns:a16="http://schemas.microsoft.com/office/drawing/2014/main" id="{080A5175-CDE8-4811-8227-1D0EFF8CC18E}"/>
            </a:ext>
          </a:extLst>
        </xdr:cNvPr>
        <xdr:cNvSpPr txBox="1"/>
      </xdr:nvSpPr>
      <xdr:spPr>
        <a:xfrm>
          <a:off x="6011520" y="520521"/>
          <a:ext cx="513777" cy="203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8C8C209B-CB9D-4F51-B11F-42D8257B8E52}" type="TxLink">
            <a:rPr lang="en-US" sz="800" b="0" i="0" u="none" strike="noStrike">
              <a:solidFill>
                <a:schemeClr val="bg1"/>
              </a:solidFill>
              <a:latin typeface="MS Reference Sans Serif" panose="020B0604030504040204" pitchFamily="34" charset="0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44,9</a:t>
          </a:fld>
          <a:endParaRPr lang="en-US" sz="800" b="0" i="0" u="none" strike="noStrike">
            <a:solidFill>
              <a:schemeClr val="bg1"/>
            </a:solidFill>
            <a:latin typeface="MS Reference Sans Serif" panose="020B060403050404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146265</xdr:colOff>
      <xdr:row>4</xdr:row>
      <xdr:rowOff>144888</xdr:rowOff>
    </xdr:from>
    <xdr:to>
      <xdr:col>8</xdr:col>
      <xdr:colOff>660042</xdr:colOff>
      <xdr:row>5</xdr:row>
      <xdr:rowOff>166353</xdr:rowOff>
    </xdr:to>
    <xdr:sp macro="" textlink="Analisis_Equipo!AJ5">
      <xdr:nvSpPr>
        <xdr:cNvPr id="34" name="CuadroTexto 33">
          <a:extLst>
            <a:ext uri="{FF2B5EF4-FFF2-40B4-BE49-F238E27FC236}">
              <a16:creationId xmlns:a16="http://schemas.microsoft.com/office/drawing/2014/main" id="{1FEEA08E-9584-4DAE-9121-1E79BB1022B4}"/>
            </a:ext>
          </a:extLst>
        </xdr:cNvPr>
        <xdr:cNvSpPr txBox="1"/>
      </xdr:nvSpPr>
      <xdr:spPr>
        <a:xfrm>
          <a:off x="6011519" y="643944"/>
          <a:ext cx="513777" cy="203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2656CAEA-9DE3-4720-9D49-F708652B6C5A}" type="TxLink">
            <a:rPr lang="en-US" sz="800" b="0" i="0" u="none" strike="noStrike">
              <a:solidFill>
                <a:schemeClr val="bg1"/>
              </a:solidFill>
              <a:latin typeface="MS Reference Sans Serif" panose="020B0604030504040204" pitchFamily="34" charset="0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8,0</a:t>
          </a:fld>
          <a:endParaRPr lang="en-US" sz="800" b="0" i="0" u="none" strike="noStrike">
            <a:solidFill>
              <a:schemeClr val="bg1"/>
            </a:solidFill>
            <a:latin typeface="MS Reference Sans Serif" panose="020B060403050404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568817</xdr:colOff>
      <xdr:row>26</xdr:row>
      <xdr:rowOff>101958</xdr:rowOff>
    </xdr:from>
    <xdr:to>
      <xdr:col>11</xdr:col>
      <xdr:colOff>552388</xdr:colOff>
      <xdr:row>28</xdr:row>
      <xdr:rowOff>58451</xdr:rowOff>
    </xdr:to>
    <xdr:sp macro="" textlink="">
      <xdr:nvSpPr>
        <xdr:cNvPr id="41" name="Rectángulo: esquinas redondeadas 4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7B94284-F544-491B-9668-CCD5836F25C4}"/>
            </a:ext>
          </a:extLst>
        </xdr:cNvPr>
        <xdr:cNvSpPr/>
      </xdr:nvSpPr>
      <xdr:spPr>
        <a:xfrm>
          <a:off x="8897155" y="4480775"/>
          <a:ext cx="885092" cy="31066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  PORTADA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31540</xdr:colOff>
      <xdr:row>0</xdr:row>
      <xdr:rowOff>41618</xdr:rowOff>
    </xdr:from>
    <xdr:to>
      <xdr:col>13</xdr:col>
      <xdr:colOff>444501</xdr:colOff>
      <xdr:row>27</xdr:row>
      <xdr:rowOff>153458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B062C71-AFAE-4430-94B9-0771885AE96E}"/>
            </a:ext>
          </a:extLst>
        </xdr:cNvPr>
        <xdr:cNvSpPr/>
      </xdr:nvSpPr>
      <xdr:spPr>
        <a:xfrm>
          <a:off x="31540" y="41618"/>
          <a:ext cx="10730441" cy="4843860"/>
        </a:xfrm>
        <a:prstGeom prst="roundRect">
          <a:avLst>
            <a:gd name="adj" fmla="val 3007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195792</xdr:colOff>
      <xdr:row>0</xdr:row>
      <xdr:rowOff>66040</xdr:rowOff>
    </xdr:from>
    <xdr:to>
      <xdr:col>10</xdr:col>
      <xdr:colOff>480060</xdr:colOff>
      <xdr:row>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44766428-E2A0-45CB-9FDA-36FC34C17FA0}"/>
            </a:ext>
          </a:extLst>
        </xdr:cNvPr>
        <xdr:cNvSpPr/>
      </xdr:nvSpPr>
      <xdr:spPr>
        <a:xfrm>
          <a:off x="1308312" y="66040"/>
          <a:ext cx="7477548" cy="985520"/>
        </a:xfrm>
        <a:prstGeom prst="rect">
          <a:avLst/>
        </a:prstGeom>
        <a:solidFill>
          <a:srgbClr val="2E2F3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169545</xdr:colOff>
      <xdr:row>6</xdr:row>
      <xdr:rowOff>46142</xdr:rowOff>
    </xdr:from>
    <xdr:to>
      <xdr:col>7</xdr:col>
      <xdr:colOff>734086</xdr:colOff>
      <xdr:row>18</xdr:row>
      <xdr:rowOff>41062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A3F4D01B-31E3-4CF1-B74F-32C144691072}"/>
            </a:ext>
          </a:extLst>
        </xdr:cNvPr>
        <xdr:cNvSpPr/>
      </xdr:nvSpPr>
      <xdr:spPr>
        <a:xfrm>
          <a:off x="1282065" y="1097702"/>
          <a:ext cx="5060341" cy="2098040"/>
        </a:xfrm>
        <a:prstGeom prst="roundRect">
          <a:avLst>
            <a:gd name="adj" fmla="val 4463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792480</xdr:colOff>
      <xdr:row>0</xdr:row>
      <xdr:rowOff>177800</xdr:rowOff>
    </xdr:from>
    <xdr:to>
      <xdr:col>3</xdr:col>
      <xdr:colOff>344760</xdr:colOff>
      <xdr:row>2</xdr:row>
      <xdr:rowOff>172040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7D67616E-9E82-4D6A-BE94-6A3A4E138CAA}"/>
            </a:ext>
          </a:extLst>
        </xdr:cNvPr>
        <xdr:cNvSpPr/>
      </xdr:nvSpPr>
      <xdr:spPr>
        <a:xfrm>
          <a:off x="1905000" y="177800"/>
          <a:ext cx="451440" cy="344760"/>
        </a:xfrm>
        <a:prstGeom prst="ellipse">
          <a:avLst/>
        </a:prstGeom>
        <a:solidFill>
          <a:sysClr val="window" lastClr="FFFFFF"/>
        </a:solidFill>
        <a:effectLst>
          <a:outerShdw blurRad="63500" dist="635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2</xdr:col>
      <xdr:colOff>792480</xdr:colOff>
      <xdr:row>0</xdr:row>
      <xdr:rowOff>167640</xdr:rowOff>
    </xdr:from>
    <xdr:to>
      <xdr:col>3</xdr:col>
      <xdr:colOff>344760</xdr:colOff>
      <xdr:row>2</xdr:row>
      <xdr:rowOff>161880</xdr:rowOff>
    </xdr:to>
    <xdr:pic>
      <xdr:nvPicPr>
        <xdr:cNvPr id="6" name="Gráfico 5" descr="Diagrama de flujo circular contorno">
          <a:extLst>
            <a:ext uri="{FF2B5EF4-FFF2-40B4-BE49-F238E27FC236}">
              <a16:creationId xmlns:a16="http://schemas.microsoft.com/office/drawing/2014/main" id="{FE0110DE-6FF5-4ACD-9B2B-55A580C1B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0" y="167640"/>
          <a:ext cx="451440" cy="344760"/>
        </a:xfrm>
        <a:prstGeom prst="rect">
          <a:avLst/>
        </a:prstGeom>
      </xdr:spPr>
    </xdr:pic>
    <xdr:clientData/>
  </xdr:twoCellAnchor>
  <xdr:twoCellAnchor>
    <xdr:from>
      <xdr:col>3</xdr:col>
      <xdr:colOff>284480</xdr:colOff>
      <xdr:row>0</xdr:row>
      <xdr:rowOff>137160</xdr:rowOff>
    </xdr:from>
    <xdr:to>
      <xdr:col>6</xdr:col>
      <xdr:colOff>726440</xdr:colOff>
      <xdr:row>2</xdr:row>
      <xdr:rowOff>30480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32BACE54-FA35-40B7-9BC1-4C752C72922B}"/>
            </a:ext>
          </a:extLst>
        </xdr:cNvPr>
        <xdr:cNvSpPr txBox="1"/>
      </xdr:nvSpPr>
      <xdr:spPr>
        <a:xfrm>
          <a:off x="2296160" y="137160"/>
          <a:ext cx="313944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 ExtraBold" panose="020B0903050000020004" pitchFamily="34" charset="0"/>
            </a:rPr>
            <a:t>Dashboard - Estadística</a:t>
          </a:r>
          <a:r>
            <a:rPr lang="es-ES" sz="12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 ExtraBold" panose="020B0903050000020004" pitchFamily="34" charset="0"/>
            </a:rPr>
            <a:t> Infantil A FCB</a:t>
          </a:r>
          <a:endParaRPr lang="es-ES" sz="12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 ExtraBold" panose="020B0903050000020004" pitchFamily="34" charset="0"/>
          </a:endParaRPr>
        </a:p>
      </xdr:txBody>
    </xdr:sp>
    <xdr:clientData/>
  </xdr:twoCellAnchor>
  <xdr:twoCellAnchor>
    <xdr:from>
      <xdr:col>3</xdr:col>
      <xdr:colOff>284480</xdr:colOff>
      <xdr:row>1</xdr:row>
      <xdr:rowOff>111760</xdr:rowOff>
    </xdr:from>
    <xdr:to>
      <xdr:col>6</xdr:col>
      <xdr:colOff>726440</xdr:colOff>
      <xdr:row>3</xdr:row>
      <xdr:rowOff>5080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FE1A300-85BE-4306-AE3B-0D7011B85F6A}"/>
            </a:ext>
          </a:extLst>
        </xdr:cNvPr>
        <xdr:cNvSpPr txBox="1"/>
      </xdr:nvSpPr>
      <xdr:spPr>
        <a:xfrm>
          <a:off x="2296160" y="287020"/>
          <a:ext cx="313944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Analísis estadístico individual</a:t>
          </a:r>
          <a:r>
            <a:rPr lang="es-ES" sz="8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temporada 2024/25</a:t>
          </a:r>
          <a:endParaRPr lang="es-ES" sz="8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 editAs="oneCell">
    <xdr:from>
      <xdr:col>7</xdr:col>
      <xdr:colOff>594360</xdr:colOff>
      <xdr:row>0</xdr:row>
      <xdr:rowOff>66040</xdr:rowOff>
    </xdr:from>
    <xdr:to>
      <xdr:col>11</xdr:col>
      <xdr:colOff>169230</xdr:colOff>
      <xdr:row>6</xdr:row>
      <xdr:rowOff>1972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Jugador 3">
              <a:extLst>
                <a:ext uri="{FF2B5EF4-FFF2-40B4-BE49-F238E27FC236}">
                  <a16:creationId xmlns:a16="http://schemas.microsoft.com/office/drawing/2014/main" id="{1016F520-8462-4368-8614-89F3E3FDBD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ugador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86268" y="66040"/>
              <a:ext cx="3162131" cy="9910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571500</xdr:colOff>
      <xdr:row>0</xdr:row>
      <xdr:rowOff>66040</xdr:rowOff>
    </xdr:from>
    <xdr:to>
      <xdr:col>9</xdr:col>
      <xdr:colOff>55880</xdr:colOff>
      <xdr:row>1</xdr:row>
      <xdr:rowOff>142240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368D478C-BF97-42DE-996D-699122322096}"/>
            </a:ext>
          </a:extLst>
        </xdr:cNvPr>
        <xdr:cNvSpPr txBox="1"/>
      </xdr:nvSpPr>
      <xdr:spPr>
        <a:xfrm>
          <a:off x="6179820" y="66040"/>
          <a:ext cx="128270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800">
              <a:solidFill>
                <a:srgbClr val="EE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● </a:t>
          </a:r>
          <a:r>
            <a:rPr lang="es-ES" sz="700" b="1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Filtro por jugador</a:t>
          </a:r>
          <a:endParaRPr lang="es-ES" sz="800" b="1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 editAs="oneCell">
    <xdr:from>
      <xdr:col>11</xdr:col>
      <xdr:colOff>269240</xdr:colOff>
      <xdr:row>0</xdr:row>
      <xdr:rowOff>121921</xdr:rowOff>
    </xdr:from>
    <xdr:to>
      <xdr:col>13</xdr:col>
      <xdr:colOff>243417</xdr:colOff>
      <xdr:row>5</xdr:row>
      <xdr:rowOff>171901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OSICION 4">
              <a:extLst>
                <a:ext uri="{FF2B5EF4-FFF2-40B4-BE49-F238E27FC236}">
                  <a16:creationId xmlns:a16="http://schemas.microsoft.com/office/drawing/2014/main" id="{B297D575-4036-412F-834E-63C49BD183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SICION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48409" y="121921"/>
              <a:ext cx="1082008" cy="9292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313479</xdr:colOff>
      <xdr:row>5</xdr:row>
      <xdr:rowOff>20320</xdr:rowOff>
    </xdr:from>
    <xdr:to>
      <xdr:col>13</xdr:col>
      <xdr:colOff>412539</xdr:colOff>
      <xdr:row>6</xdr:row>
      <xdr:rowOff>96520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ABD8ADDE-4E27-4503-BC75-CC435D20DD21}"/>
            </a:ext>
          </a:extLst>
        </xdr:cNvPr>
        <xdr:cNvSpPr txBox="1"/>
      </xdr:nvSpPr>
      <xdr:spPr>
        <a:xfrm>
          <a:off x="9518439" y="896620"/>
          <a:ext cx="12115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800">
              <a:solidFill>
                <a:srgbClr val="EE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● </a:t>
          </a:r>
          <a:r>
            <a:rPr lang="es-ES" sz="600" b="1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Filtro por posición</a:t>
          </a:r>
          <a:endParaRPr lang="es-ES" sz="800" b="1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2</xdr:col>
      <xdr:colOff>200457</xdr:colOff>
      <xdr:row>5</xdr:row>
      <xdr:rowOff>159542</xdr:rowOff>
    </xdr:from>
    <xdr:to>
      <xdr:col>7</xdr:col>
      <xdr:colOff>670325</xdr:colOff>
      <xdr:row>18</xdr:row>
      <xdr:rowOff>74896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7874C9E1-2EEA-4AE1-974C-49ACD61EB302}"/>
            </a:ext>
          </a:extLst>
        </xdr:cNvPr>
        <xdr:cNvGrpSpPr/>
      </xdr:nvGrpSpPr>
      <xdr:grpSpPr>
        <a:xfrm>
          <a:off x="1308288" y="1038773"/>
          <a:ext cx="4953945" cy="2201354"/>
          <a:chOff x="2500907" y="1313308"/>
          <a:chExt cx="3098800" cy="2280693"/>
        </a:xfrm>
      </xdr:grpSpPr>
      <xdr:graphicFrame macro="">
        <xdr:nvGraphicFramePr>
          <xdr:cNvPr id="14" name="Gráfico 13">
            <a:extLst>
              <a:ext uri="{FF2B5EF4-FFF2-40B4-BE49-F238E27FC236}">
                <a16:creationId xmlns:a16="http://schemas.microsoft.com/office/drawing/2014/main" id="{80C703FC-51EA-4E12-B326-32D32603197E}"/>
              </a:ext>
            </a:extLst>
          </xdr:cNvPr>
          <xdr:cNvGraphicFramePr>
            <a:graphicFrameLocks/>
          </xdr:cNvGraphicFramePr>
        </xdr:nvGraphicFramePr>
        <xdr:xfrm>
          <a:off x="2500907" y="1562706"/>
          <a:ext cx="3098800" cy="19710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BD29EC18-0876-4863-97C2-D6001803F588}"/>
              </a:ext>
            </a:extLst>
          </xdr:cNvPr>
          <xdr:cNvSpPr txBox="1"/>
        </xdr:nvSpPr>
        <xdr:spPr>
          <a:xfrm>
            <a:off x="2995707" y="1313308"/>
            <a:ext cx="2443480" cy="3789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ES" sz="1800" b="1">
                <a:solidFill>
                  <a:srgbClr val="C04F15"/>
                </a:solidFill>
                <a:effectLst/>
                <a:latin typeface="+mn-lt"/>
                <a:ea typeface="+mn-ea"/>
                <a:cs typeface="+mn-cs"/>
              </a:rPr>
              <a:t>▪</a:t>
            </a:r>
            <a:r>
              <a:rPr lang="es-ES" sz="18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ES" sz="1200" b="1">
                <a:solidFill>
                  <a:schemeClr val="bg1"/>
                </a:solidFill>
                <a:latin typeface="Fira Sans" panose="020B0503050000020004" pitchFamily="34" charset="0"/>
                <a:cs typeface="Arial" panose="020B0604020202020204" pitchFamily="34" charset="0"/>
              </a:rPr>
              <a:t>Lanzamientos</a:t>
            </a:r>
            <a:r>
              <a:rPr lang="es-ES" sz="800" b="1">
                <a:solidFill>
                  <a:schemeClr val="bg1"/>
                </a:solidFill>
                <a:latin typeface="Fira Sans" panose="020B0503050000020004" pitchFamily="34" charset="0"/>
                <a:cs typeface="Arial" panose="020B0604020202020204" pitchFamily="34" charset="0"/>
              </a:rPr>
              <a:t>            </a:t>
            </a:r>
            <a:r>
              <a:rPr lang="es-ES" sz="1800" b="1">
                <a:solidFill>
                  <a:schemeClr val="tx2">
                    <a:lumMod val="50000"/>
                    <a:lumOff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▪</a:t>
            </a:r>
            <a:r>
              <a:rPr lang="es-E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ES" sz="1200" b="1">
                <a:solidFill>
                  <a:schemeClr val="bg1"/>
                </a:solidFill>
                <a:latin typeface="Fira Sans" panose="020B0503050000020004" pitchFamily="34" charset="0"/>
                <a:ea typeface="+mn-ea"/>
                <a:cs typeface="Arial" panose="020B0604020202020204" pitchFamily="34" charset="0"/>
              </a:rPr>
              <a:t>Goles(J) / Paradas(P)</a:t>
            </a:r>
          </a:p>
          <a:p>
            <a:endPara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endParaRPr>
          </a:p>
          <a:p>
            <a:endParaRPr lang="es-ES" sz="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es-ES" sz="600"/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B6AE213B-61B1-4B10-8E6F-D68ECC843B8C}"/>
              </a:ext>
            </a:extLst>
          </xdr:cNvPr>
          <xdr:cNvSpPr txBox="1"/>
        </xdr:nvSpPr>
        <xdr:spPr>
          <a:xfrm>
            <a:off x="4012065" y="3334921"/>
            <a:ext cx="83820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s-ES" sz="800">
                <a:solidFill>
                  <a:schemeClr val="bg1"/>
                </a:solidFill>
                <a:effectLst>
                  <a:outerShdw blurRad="63500" dist="63500" dir="2700000" algn="tl" rotWithShape="0">
                    <a:prstClr val="black">
                      <a:alpha val="50000"/>
                    </a:prstClr>
                  </a:outerShdw>
                </a:effectLst>
                <a:latin typeface="Fira Sans" panose="020B0503050000020004" pitchFamily="34" charset="0"/>
                <a:cs typeface="Arial" panose="020B0604020202020204" pitchFamily="34" charset="0"/>
              </a:rPr>
              <a:t> </a:t>
            </a:r>
            <a:r>
              <a:rPr lang="es-ES" sz="900" b="1">
                <a:solidFill>
                  <a:schemeClr val="bg1"/>
                </a:solidFill>
                <a:effectLst>
                  <a:outerShdw blurRad="63500" dist="63500" dir="2700000" algn="tl" rotWithShape="0">
                    <a:prstClr val="black">
                      <a:alpha val="50000"/>
                    </a:prstClr>
                  </a:outerShdw>
                </a:effectLst>
                <a:latin typeface="Fira Sans" panose="020B0503050000020004" pitchFamily="34" charset="0"/>
              </a:rPr>
              <a:t>Jornadas</a:t>
            </a:r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37D09412-AF3E-445D-8CC0-6AB68449CEAF}"/>
              </a:ext>
            </a:extLst>
          </xdr:cNvPr>
          <xdr:cNvSpPr txBox="1"/>
        </xdr:nvSpPr>
        <xdr:spPr>
          <a:xfrm rot="16200000">
            <a:off x="2184814" y="2166707"/>
            <a:ext cx="93345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s-ES" sz="800">
                <a:solidFill>
                  <a:schemeClr val="bg1"/>
                </a:solidFill>
                <a:effectLst>
                  <a:outerShdw blurRad="63500" dist="63500" dir="2700000" algn="tl" rotWithShape="0">
                    <a:prstClr val="black">
                      <a:alpha val="50000"/>
                    </a:prstClr>
                  </a:outerShdw>
                </a:effectLst>
                <a:latin typeface="Fira Sans" panose="020B0503050000020004" pitchFamily="34" charset="0"/>
                <a:cs typeface="Arial" panose="020B0604020202020204" pitchFamily="34" charset="0"/>
              </a:rPr>
              <a:t> </a:t>
            </a:r>
            <a:r>
              <a:rPr lang="es-ES" sz="900" b="1">
                <a:solidFill>
                  <a:schemeClr val="bg1"/>
                </a:solidFill>
                <a:effectLst>
                  <a:outerShdw blurRad="63500" dist="63500" dir="2700000" algn="tl" rotWithShape="0">
                    <a:prstClr val="black">
                      <a:alpha val="50000"/>
                    </a:prstClr>
                  </a:outerShdw>
                </a:effectLst>
                <a:latin typeface="Fira Sans" panose="020B0503050000020004" pitchFamily="34" charset="0"/>
                <a:cs typeface="+mn-cs"/>
              </a:rPr>
              <a:t>Unidades</a:t>
            </a:r>
            <a:endParaRPr lang="es-ES" sz="900" b="1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endParaRPr>
          </a:p>
        </xdr:txBody>
      </xdr:sp>
    </xdr:grpSp>
    <xdr:clientData/>
  </xdr:twoCellAnchor>
  <xdr:twoCellAnchor>
    <xdr:from>
      <xdr:col>2</xdr:col>
      <xdr:colOff>216958</xdr:colOff>
      <xdr:row>18</xdr:row>
      <xdr:rowOff>62259</xdr:rowOff>
    </xdr:from>
    <xdr:to>
      <xdr:col>7</xdr:col>
      <xdr:colOff>746125</xdr:colOff>
      <xdr:row>27</xdr:row>
      <xdr:rowOff>89958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235B812F-F63F-477C-AED1-5FAC382B150B}"/>
            </a:ext>
          </a:extLst>
        </xdr:cNvPr>
        <xdr:cNvSpPr/>
      </xdr:nvSpPr>
      <xdr:spPr>
        <a:xfrm>
          <a:off x="1329478" y="3216939"/>
          <a:ext cx="5024967" cy="1605039"/>
        </a:xfrm>
        <a:prstGeom prst="roundRect">
          <a:avLst>
            <a:gd name="adj" fmla="val 4463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719667</xdr:colOff>
      <xdr:row>18</xdr:row>
      <xdr:rowOff>145203</xdr:rowOff>
    </xdr:from>
    <xdr:to>
      <xdr:col>7</xdr:col>
      <xdr:colOff>735541</xdr:colOff>
      <xdr:row>26</xdr:row>
      <xdr:rowOff>165523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151B773B-A12D-41ED-96EE-C3081A7A7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39370</xdr:colOff>
      <xdr:row>0</xdr:row>
      <xdr:rowOff>148167</xdr:rowOff>
    </xdr:from>
    <xdr:to>
      <xdr:col>2</xdr:col>
      <xdr:colOff>191245</xdr:colOff>
      <xdr:row>19</xdr:row>
      <xdr:rowOff>38993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rival 5">
              <a:extLst>
                <a:ext uri="{FF2B5EF4-FFF2-40B4-BE49-F238E27FC236}">
                  <a16:creationId xmlns:a16="http://schemas.microsoft.com/office/drawing/2014/main" id="{A4C56D7A-92FC-47BF-8172-5A9A7AB94A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ival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70" y="148167"/>
              <a:ext cx="1259706" cy="32319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107103</xdr:colOff>
      <xdr:row>0</xdr:row>
      <xdr:rowOff>0</xdr:rowOff>
    </xdr:from>
    <xdr:to>
      <xdr:col>2</xdr:col>
      <xdr:colOff>208703</xdr:colOff>
      <xdr:row>1</xdr:row>
      <xdr:rowOff>76200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5438C195-2E09-4D62-B65D-58E068C0DFC8}"/>
            </a:ext>
          </a:extLst>
        </xdr:cNvPr>
        <xdr:cNvSpPr txBox="1"/>
      </xdr:nvSpPr>
      <xdr:spPr>
        <a:xfrm>
          <a:off x="107103" y="0"/>
          <a:ext cx="121412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ES" sz="800">
              <a:solidFill>
                <a:srgbClr val="EE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● </a:t>
          </a:r>
          <a:r>
            <a:rPr lang="es-ES" sz="600" b="1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Filtro por rival</a:t>
          </a:r>
          <a:endParaRPr lang="es-ES" sz="800" b="1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1</xdr:col>
      <xdr:colOff>327224</xdr:colOff>
      <xdr:row>14</xdr:row>
      <xdr:rowOff>169654</xdr:rowOff>
    </xdr:from>
    <xdr:to>
      <xdr:col>2</xdr:col>
      <xdr:colOff>703144</xdr:colOff>
      <xdr:row>18</xdr:row>
      <xdr:rowOff>11807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9952E6C7-E329-4CAE-8F8D-50D149133943}"/>
            </a:ext>
          </a:extLst>
        </xdr:cNvPr>
        <xdr:cNvSpPr/>
      </xdr:nvSpPr>
      <xdr:spPr>
        <a:xfrm>
          <a:off x="540584" y="2623294"/>
          <a:ext cx="1275080" cy="543193"/>
        </a:xfrm>
        <a:prstGeom prst="roundRect">
          <a:avLst>
            <a:gd name="adj" fmla="val 9755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312189</xdr:colOff>
      <xdr:row>14</xdr:row>
      <xdr:rowOff>37316</xdr:rowOff>
    </xdr:from>
    <xdr:to>
      <xdr:col>2</xdr:col>
      <xdr:colOff>647469</xdr:colOff>
      <xdr:row>20</xdr:row>
      <xdr:rowOff>14892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4F6AF01E-AAC4-42D8-802E-868A4A93A882}"/>
            </a:ext>
          </a:extLst>
        </xdr:cNvPr>
        <xdr:cNvSpPr txBox="1"/>
      </xdr:nvSpPr>
      <xdr:spPr>
        <a:xfrm>
          <a:off x="525549" y="2490956"/>
          <a:ext cx="1234440" cy="10291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800" b="1" baseline="0">
              <a:solidFill>
                <a:srgbClr val="C04F15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Totales: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   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800" b="1">
            <a:solidFill>
              <a:schemeClr val="bg1"/>
            </a:solidFill>
            <a:latin typeface="Fira Sans" panose="020B0503050000020004" pitchFamily="34" charset="0"/>
            <a:ea typeface="+mn-ea"/>
            <a:cs typeface="Arial" panose="020B0604020202020204" pitchFamily="34" charset="0"/>
          </a:endParaRPr>
        </a:p>
        <a:p>
          <a:endParaRPr lang="es-ES" sz="800" b="1">
            <a:solidFill>
              <a:schemeClr val="bg1"/>
            </a:solidFill>
            <a:latin typeface="Fira Sans" panose="020B0503050000020004" pitchFamily="34" charset="0"/>
            <a:cs typeface="Arial" panose="020B0604020202020204" pitchFamily="34" charset="0"/>
          </a:endParaRPr>
        </a:p>
        <a:p>
          <a:endParaRPr lang="es-ES" sz="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ES" sz="600"/>
        </a:p>
      </xdr:txBody>
    </xdr:sp>
    <xdr:clientData/>
  </xdr:twoCellAnchor>
  <xdr:twoCellAnchor>
    <xdr:from>
      <xdr:col>1</xdr:col>
      <xdr:colOff>327224</xdr:colOff>
      <xdr:row>24</xdr:row>
      <xdr:rowOff>26568</xdr:rowOff>
    </xdr:from>
    <xdr:to>
      <xdr:col>2</xdr:col>
      <xdr:colOff>704743</xdr:colOff>
      <xdr:row>27</xdr:row>
      <xdr:rowOff>55029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DDACC84B-826E-4D60-8CBA-F220067BD648}"/>
            </a:ext>
          </a:extLst>
        </xdr:cNvPr>
        <xdr:cNvSpPr/>
      </xdr:nvSpPr>
      <xdr:spPr>
        <a:xfrm>
          <a:off x="540584" y="4232808"/>
          <a:ext cx="1276679" cy="554241"/>
        </a:xfrm>
        <a:prstGeom prst="roundRect">
          <a:avLst>
            <a:gd name="adj" fmla="val 9755"/>
          </a:avLst>
        </a:prstGeom>
        <a:solidFill>
          <a:srgbClr val="2E2F3C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236967</xdr:colOff>
      <xdr:row>23</xdr:row>
      <xdr:rowOff>99179</xdr:rowOff>
    </xdr:from>
    <xdr:to>
      <xdr:col>2</xdr:col>
      <xdr:colOff>572247</xdr:colOff>
      <xdr:row>29</xdr:row>
      <xdr:rowOff>77984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52BC3B6E-4911-4381-BC13-D66A822D2742}"/>
            </a:ext>
          </a:extLst>
        </xdr:cNvPr>
        <xdr:cNvSpPr txBox="1"/>
      </xdr:nvSpPr>
      <xdr:spPr>
        <a:xfrm>
          <a:off x="450327" y="4130159"/>
          <a:ext cx="1234440" cy="103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800" b="1" baseline="0">
              <a:solidFill>
                <a:srgbClr val="C04F15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ES" sz="800" b="1" baseline="0">
              <a:solidFill>
                <a:schemeClr val="bg1"/>
              </a:solidFill>
              <a:effectLst/>
              <a:latin typeface="Fira Sans" panose="020B0503050000020004" pitchFamily="34" charset="0"/>
              <a:ea typeface="+mn-ea"/>
              <a:cs typeface="Arial" panose="020B0604020202020204" pitchFamily="34" charset="0"/>
            </a:rPr>
            <a:t>Promedio</a:t>
          </a: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800" b="1">
              <a:solidFill>
                <a:schemeClr val="bg1"/>
              </a:solidFill>
              <a:latin typeface="Fira Sans" panose="020B0503050000020004" pitchFamily="34" charset="0"/>
              <a:cs typeface="Arial" panose="020B0604020202020204" pitchFamily="34" charset="0"/>
            </a:rPr>
            <a:t>          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800" b="1">
            <a:solidFill>
              <a:schemeClr val="bg1"/>
            </a:solidFill>
            <a:latin typeface="Fira Sans" panose="020B0503050000020004" pitchFamily="34" charset="0"/>
            <a:ea typeface="+mn-ea"/>
            <a:cs typeface="Arial" panose="020B0604020202020204" pitchFamily="34" charset="0"/>
          </a:endParaRPr>
        </a:p>
        <a:p>
          <a:endParaRPr lang="es-ES" sz="800" b="1">
            <a:solidFill>
              <a:schemeClr val="bg1"/>
            </a:solidFill>
            <a:latin typeface="Fira Sans" panose="020B0503050000020004" pitchFamily="34" charset="0"/>
            <a:cs typeface="Arial" panose="020B0604020202020204" pitchFamily="34" charset="0"/>
          </a:endParaRPr>
        </a:p>
        <a:p>
          <a:endParaRPr lang="es-ES" sz="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ES" sz="600"/>
        </a:p>
      </xdr:txBody>
    </xdr:sp>
    <xdr:clientData/>
  </xdr:twoCellAnchor>
  <xdr:twoCellAnchor>
    <xdr:from>
      <xdr:col>1</xdr:col>
      <xdr:colOff>403087</xdr:colOff>
      <xdr:row>15</xdr:row>
      <xdr:rowOff>152310</xdr:rowOff>
    </xdr:from>
    <xdr:to>
      <xdr:col>2</xdr:col>
      <xdr:colOff>661458</xdr:colOff>
      <xdr:row>17</xdr:row>
      <xdr:rowOff>176833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93B56326-5FE0-4BF3-AA14-DE55C9C423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24</xdr:row>
      <xdr:rowOff>185034</xdr:rowOff>
    </xdr:from>
    <xdr:to>
      <xdr:col>3</xdr:col>
      <xdr:colOff>70495</xdr:colOff>
      <xdr:row>26</xdr:row>
      <xdr:rowOff>142283</xdr:rowOff>
    </xdr:to>
    <xdr:sp macro="" textlink="Analisis!$AC$4">
      <xdr:nvSpPr>
        <xdr:cNvPr id="27" name="CuadroTexto 26">
          <a:extLst>
            <a:ext uri="{FF2B5EF4-FFF2-40B4-BE49-F238E27FC236}">
              <a16:creationId xmlns:a16="http://schemas.microsoft.com/office/drawing/2014/main" id="{161492D6-B610-4BC7-932A-8EEECC11D606}"/>
            </a:ext>
          </a:extLst>
        </xdr:cNvPr>
        <xdr:cNvSpPr txBox="1"/>
      </xdr:nvSpPr>
      <xdr:spPr>
        <a:xfrm>
          <a:off x="1112520" y="4383654"/>
          <a:ext cx="969655" cy="3153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93DAE787-6943-4BF8-BB88-53A18E2F6EE7}" type="TxLink">
            <a:rPr lang="en-US" sz="2000" b="1" i="0" u="none" strike="noStrike">
              <a:solidFill>
                <a:schemeClr val="accent6">
                  <a:lumMod val="75000"/>
                </a:schemeClr>
              </a:solidFill>
              <a:latin typeface="Aptos Narrow"/>
              <a:cs typeface="Arial" panose="020B0604020202020204" pitchFamily="34" charset="0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100%</a:t>
          </a:fld>
          <a:endParaRPr lang="es-ES" sz="2000" b="1">
            <a:solidFill>
              <a:schemeClr val="accent6">
                <a:lumMod val="75000"/>
              </a:schemeClr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7</xdr:col>
      <xdr:colOff>777663</xdr:colOff>
      <xdr:row>6</xdr:row>
      <xdr:rowOff>58209</xdr:rowOff>
    </xdr:from>
    <xdr:to>
      <xdr:col>13</xdr:col>
      <xdr:colOff>365125</xdr:colOff>
      <xdr:row>16</xdr:row>
      <xdr:rowOff>174625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8EC6E5B3-272B-45C3-A4F4-2DF3DE19EA2A}"/>
            </a:ext>
          </a:extLst>
        </xdr:cNvPr>
        <xdr:cNvSpPr/>
      </xdr:nvSpPr>
      <xdr:spPr>
        <a:xfrm>
          <a:off x="6385983" y="1109769"/>
          <a:ext cx="4296622" cy="1869016"/>
        </a:xfrm>
        <a:prstGeom prst="roundRect">
          <a:avLst>
            <a:gd name="adj" fmla="val 4463"/>
          </a:avLst>
        </a:prstGeom>
        <a:solidFill>
          <a:srgbClr val="2E2F3C"/>
        </a:solidFill>
        <a:ln>
          <a:solidFill>
            <a:srgbClr val="00B050"/>
          </a:solidFill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5292</xdr:colOff>
      <xdr:row>6</xdr:row>
      <xdr:rowOff>105834</xdr:rowOff>
    </xdr:from>
    <xdr:to>
      <xdr:col>13</xdr:col>
      <xdr:colOff>328083</xdr:colOff>
      <xdr:row>16</xdr:row>
      <xdr:rowOff>132293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B7438C73-2A16-4FFB-9247-79C630D99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465457</xdr:colOff>
      <xdr:row>6</xdr:row>
      <xdr:rowOff>46910</xdr:rowOff>
    </xdr:from>
    <xdr:to>
      <xdr:col>12</xdr:col>
      <xdr:colOff>97792</xdr:colOff>
      <xdr:row>7</xdr:row>
      <xdr:rowOff>125439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F8114681-6D75-4F62-81FA-683A3AE28211}"/>
            </a:ext>
          </a:extLst>
        </xdr:cNvPr>
        <xdr:cNvSpPr txBox="1"/>
      </xdr:nvSpPr>
      <xdr:spPr>
        <a:xfrm>
          <a:off x="6972937" y="1098470"/>
          <a:ext cx="3228975" cy="253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s-ES" sz="12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 ExtraBold" panose="020B0903050000020004" pitchFamily="34" charset="0"/>
          </a:endParaRPr>
        </a:p>
      </xdr:txBody>
    </xdr:sp>
    <xdr:clientData/>
  </xdr:twoCellAnchor>
  <xdr:twoCellAnchor>
    <xdr:from>
      <xdr:col>7</xdr:col>
      <xdr:colOff>777663</xdr:colOff>
      <xdr:row>17</xdr:row>
      <xdr:rowOff>4576</xdr:rowOff>
    </xdr:from>
    <xdr:to>
      <xdr:col>13</xdr:col>
      <xdr:colOff>365125</xdr:colOff>
      <xdr:row>27</xdr:row>
      <xdr:rowOff>120992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C524B86E-7C6A-4E1B-80CC-C3465E1E98D6}"/>
            </a:ext>
          </a:extLst>
        </xdr:cNvPr>
        <xdr:cNvSpPr/>
      </xdr:nvSpPr>
      <xdr:spPr>
        <a:xfrm>
          <a:off x="6385983" y="2983996"/>
          <a:ext cx="4296622" cy="1869016"/>
        </a:xfrm>
        <a:prstGeom prst="roundRect">
          <a:avLst>
            <a:gd name="adj" fmla="val 4463"/>
          </a:avLst>
        </a:prstGeom>
        <a:solidFill>
          <a:srgbClr val="2E2F3C"/>
        </a:solidFill>
        <a:ln>
          <a:solidFill>
            <a:srgbClr val="FF0000"/>
          </a:solidFill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42122</xdr:colOff>
      <xdr:row>17</xdr:row>
      <xdr:rowOff>52201</xdr:rowOff>
    </xdr:from>
    <xdr:to>
      <xdr:col>13</xdr:col>
      <xdr:colOff>317499</xdr:colOff>
      <xdr:row>27</xdr:row>
      <xdr:rowOff>63499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79451696-88A4-4DE5-B62F-7A051F2C8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7</xdr:col>
      <xdr:colOff>492124</xdr:colOff>
      <xdr:row>5</xdr:row>
      <xdr:rowOff>31749</xdr:rowOff>
    </xdr:from>
    <xdr:ext cx="1026585" cy="799041"/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E1A0E178-5831-417D-B3F0-5C9E92EE66EE}"/>
            </a:ext>
          </a:extLst>
        </xdr:cNvPr>
        <xdr:cNvSpPr/>
      </xdr:nvSpPr>
      <xdr:spPr>
        <a:xfrm>
          <a:off x="6100444" y="908049"/>
          <a:ext cx="1026585" cy="79904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600" b="1" cap="none" spc="0">
              <a:ln w="0"/>
              <a:solidFill>
                <a:schemeClr val="accent3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MS Mincho" panose="02020609040205080304" pitchFamily="49" charset="-128"/>
              <a:ea typeface="MS Mincho" panose="02020609040205080304" pitchFamily="49" charset="-128"/>
            </a:rPr>
            <a:t>✓</a:t>
          </a:r>
          <a:endParaRPr lang="es-ES" sz="3600" b="1" cap="none" spc="0">
            <a:ln w="0"/>
            <a:solidFill>
              <a:schemeClr val="accent3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740834</xdr:colOff>
      <xdr:row>16</xdr:row>
      <xdr:rowOff>10583</xdr:rowOff>
    </xdr:from>
    <xdr:ext cx="476250" cy="592668"/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9A56CFC6-0984-49B9-A3A3-06CBD633BFD6}"/>
            </a:ext>
          </a:extLst>
        </xdr:cNvPr>
        <xdr:cNvSpPr/>
      </xdr:nvSpPr>
      <xdr:spPr>
        <a:xfrm>
          <a:off x="6349154" y="2814743"/>
          <a:ext cx="476250" cy="59266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6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MS Mincho" panose="02020609040205080304" pitchFamily="49" charset="-128"/>
              <a:ea typeface="MS Mincho" panose="02020609040205080304" pitchFamily="49" charset="-128"/>
            </a:rPr>
            <a:t>✗</a:t>
          </a:r>
          <a:endParaRPr lang="es-ES" sz="3600" b="1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13</xdr:col>
      <xdr:colOff>153248</xdr:colOff>
      <xdr:row>8</xdr:row>
      <xdr:rowOff>41619</xdr:rowOff>
    </xdr:from>
    <xdr:to>
      <xdr:col>13</xdr:col>
      <xdr:colOff>523875</xdr:colOff>
      <xdr:row>9</xdr:row>
      <xdr:rowOff>31751</xdr:rowOff>
    </xdr:to>
    <xdr:sp macro="" textlink="Analisis!AH5">
      <xdr:nvSpPr>
        <xdr:cNvPr id="35" name="CuadroTexto 34">
          <a:extLst>
            <a:ext uri="{FF2B5EF4-FFF2-40B4-BE49-F238E27FC236}">
              <a16:creationId xmlns:a16="http://schemas.microsoft.com/office/drawing/2014/main" id="{6A80FF7E-6378-4EC8-9E89-B81BB7A62D1C}"/>
            </a:ext>
          </a:extLst>
        </xdr:cNvPr>
        <xdr:cNvSpPr txBox="1"/>
      </xdr:nvSpPr>
      <xdr:spPr>
        <a:xfrm>
          <a:off x="10470728" y="1443699"/>
          <a:ext cx="370627" cy="165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ACE0172A-742F-418A-AA7F-12507E8F9204}" type="TxLink">
            <a:rPr lang="en-US" sz="700" b="0" i="0" u="none" strike="noStrike" baseline="0">
              <a:solidFill>
                <a:srgbClr val="00B0F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</a:t>
          </a:fld>
          <a:endParaRPr lang="es-ES" sz="700" b="1">
            <a:solidFill>
              <a:srgbClr val="00B0F0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13</xdr:col>
      <xdr:colOff>132292</xdr:colOff>
      <xdr:row>8</xdr:row>
      <xdr:rowOff>153458</xdr:rowOff>
    </xdr:from>
    <xdr:to>
      <xdr:col>13</xdr:col>
      <xdr:colOff>502919</xdr:colOff>
      <xdr:row>9</xdr:row>
      <xdr:rowOff>143590</xdr:rowOff>
    </xdr:to>
    <xdr:sp macro="" textlink="Analisis!AR4">
      <xdr:nvSpPr>
        <xdr:cNvPr id="36" name="CuadroTexto 35">
          <a:extLst>
            <a:ext uri="{FF2B5EF4-FFF2-40B4-BE49-F238E27FC236}">
              <a16:creationId xmlns:a16="http://schemas.microsoft.com/office/drawing/2014/main" id="{8DAC34A6-B924-4977-9B87-EDD700BE9D6D}"/>
            </a:ext>
          </a:extLst>
        </xdr:cNvPr>
        <xdr:cNvSpPr txBox="1"/>
      </xdr:nvSpPr>
      <xdr:spPr>
        <a:xfrm>
          <a:off x="10449772" y="1555538"/>
          <a:ext cx="370627" cy="165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C1151D47-C9C2-4EC1-92D6-52392AE32923}" type="TxLink">
            <a:rPr lang="en-US" sz="700" b="0" i="0" u="none" strike="noStrike" baseline="0">
              <a:solidFill>
                <a:srgbClr val="00B0F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0,285714286</a:t>
          </a:fld>
          <a:endParaRPr lang="es-ES" sz="700" b="1">
            <a:solidFill>
              <a:srgbClr val="00B0F0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13</xdr:col>
      <xdr:colOff>34925</xdr:colOff>
      <xdr:row>8</xdr:row>
      <xdr:rowOff>37569</xdr:rowOff>
    </xdr:from>
    <xdr:to>
      <xdr:col>13</xdr:col>
      <xdr:colOff>243417</xdr:colOff>
      <xdr:row>10</xdr:row>
      <xdr:rowOff>21166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8A20DD87-AE09-4468-943E-E6B2154FF851}"/>
            </a:ext>
          </a:extLst>
        </xdr:cNvPr>
        <xdr:cNvSpPr txBox="1"/>
      </xdr:nvSpPr>
      <xdr:spPr>
        <a:xfrm>
          <a:off x="10352405" y="1439649"/>
          <a:ext cx="208492" cy="3341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Bef>
              <a:spcPts val="0"/>
            </a:spcBef>
          </a:pPr>
          <a:r>
            <a:rPr lang="es-ES" sz="700">
              <a:solidFill>
                <a:srgbClr val="00B0F0"/>
              </a:solidFill>
              <a:latin typeface="Lobster Two" panose="020F0502020204030204" pitchFamily="2" charset="0"/>
            </a:rPr>
            <a:t>∑</a:t>
          </a:r>
        </a:p>
        <a:p>
          <a:pPr>
            <a:spcBef>
              <a:spcPts val="0"/>
            </a:spcBef>
          </a:pPr>
          <a:r>
            <a:rPr lang="es-ES" sz="700">
              <a:solidFill>
                <a:srgbClr val="00B0F0"/>
              </a:solidFill>
              <a:latin typeface="MS Reference Sans Serif" panose="020B0604030504040204" pitchFamily="34" charset="0"/>
            </a:rPr>
            <a:t></a:t>
          </a:r>
          <a:endParaRPr lang="es-ES" sz="700">
            <a:solidFill>
              <a:srgbClr val="00B0F0"/>
            </a:solidFill>
          </a:endParaRPr>
        </a:p>
      </xdr:txBody>
    </xdr:sp>
    <xdr:clientData/>
  </xdr:twoCellAnchor>
  <xdr:twoCellAnchor>
    <xdr:from>
      <xdr:col>13</xdr:col>
      <xdr:colOff>158540</xdr:colOff>
      <xdr:row>10</xdr:row>
      <xdr:rowOff>37041</xdr:rowOff>
    </xdr:from>
    <xdr:to>
      <xdr:col>13</xdr:col>
      <xdr:colOff>529167</xdr:colOff>
      <xdr:row>11</xdr:row>
      <xdr:rowOff>27172</xdr:rowOff>
    </xdr:to>
    <xdr:sp macro="" textlink="Analisis!AG5">
      <xdr:nvSpPr>
        <xdr:cNvPr id="38" name="CuadroTexto 37">
          <a:extLst>
            <a:ext uri="{FF2B5EF4-FFF2-40B4-BE49-F238E27FC236}">
              <a16:creationId xmlns:a16="http://schemas.microsoft.com/office/drawing/2014/main" id="{5D334774-B72F-49BF-B71B-71FE9D303931}"/>
            </a:ext>
          </a:extLst>
        </xdr:cNvPr>
        <xdr:cNvSpPr txBox="1"/>
      </xdr:nvSpPr>
      <xdr:spPr>
        <a:xfrm>
          <a:off x="10476020" y="1789641"/>
          <a:ext cx="370627" cy="1653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1A6FBC2E-A2F1-421E-84DB-42970851452F}" type="TxLink">
            <a:rPr lang="en-US" sz="700" b="0" i="0" u="none" strike="noStrike" baseline="0">
              <a:solidFill>
                <a:srgbClr val="00800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</a:t>
          </a:fld>
          <a:endParaRPr lang="es-ES" sz="700" b="0" i="0" u="none" strike="noStrike" baseline="0">
            <a:solidFill>
              <a:srgbClr val="008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179917</xdr:colOff>
      <xdr:row>10</xdr:row>
      <xdr:rowOff>159464</xdr:rowOff>
    </xdr:from>
    <xdr:to>
      <xdr:col>13</xdr:col>
      <xdr:colOff>550544</xdr:colOff>
      <xdr:row>11</xdr:row>
      <xdr:rowOff>149595</xdr:rowOff>
    </xdr:to>
    <xdr:sp macro="" textlink="Analisis!AR5">
      <xdr:nvSpPr>
        <xdr:cNvPr id="39" name="CuadroTexto 38">
          <a:extLst>
            <a:ext uri="{FF2B5EF4-FFF2-40B4-BE49-F238E27FC236}">
              <a16:creationId xmlns:a16="http://schemas.microsoft.com/office/drawing/2014/main" id="{DC4A3383-55F7-4A58-8138-7E60616B97C3}"/>
            </a:ext>
          </a:extLst>
        </xdr:cNvPr>
        <xdr:cNvSpPr txBox="1"/>
      </xdr:nvSpPr>
      <xdr:spPr>
        <a:xfrm>
          <a:off x="10497397" y="1912064"/>
          <a:ext cx="370627" cy="1653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3CE8B70-73AE-403D-B88C-AF8A5E275EEC}" type="TxLink">
            <a:rPr lang="en-US" sz="700" b="0" i="0" u="none" strike="noStrike" baseline="0">
              <a:solidFill>
                <a:srgbClr val="00800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0,142857143</a:t>
          </a:fld>
          <a:endParaRPr lang="es-ES" sz="700" b="1">
            <a:solidFill>
              <a:srgbClr val="008000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13</xdr:col>
      <xdr:colOff>63500</xdr:colOff>
      <xdr:row>10</xdr:row>
      <xdr:rowOff>42334</xdr:rowOff>
    </xdr:from>
    <xdr:to>
      <xdr:col>13</xdr:col>
      <xdr:colOff>271992</xdr:colOff>
      <xdr:row>12</xdr:row>
      <xdr:rowOff>25930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4AF421E5-358B-43D9-BB29-339B7811B140}"/>
            </a:ext>
          </a:extLst>
        </xdr:cNvPr>
        <xdr:cNvSpPr txBox="1"/>
      </xdr:nvSpPr>
      <xdr:spPr>
        <a:xfrm>
          <a:off x="10380980" y="1794934"/>
          <a:ext cx="208492" cy="334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Bef>
              <a:spcPts val="0"/>
            </a:spcBef>
          </a:pPr>
          <a:r>
            <a:rPr lang="es-ES" sz="700">
              <a:solidFill>
                <a:srgbClr val="008000"/>
              </a:solidFill>
              <a:latin typeface="Lobster Two" panose="020F0502020204030204" pitchFamily="2" charset="0"/>
            </a:rPr>
            <a:t>∑</a:t>
          </a:r>
        </a:p>
        <a:p>
          <a:pPr>
            <a:spcBef>
              <a:spcPts val="0"/>
            </a:spcBef>
          </a:pPr>
          <a:r>
            <a:rPr lang="es-ES" sz="700">
              <a:solidFill>
                <a:srgbClr val="008000"/>
              </a:solidFill>
              <a:latin typeface="MS Reference Sans Serif" panose="020B0604030504040204" pitchFamily="34" charset="0"/>
            </a:rPr>
            <a:t></a:t>
          </a:r>
          <a:endParaRPr lang="es-ES" sz="700">
            <a:solidFill>
              <a:srgbClr val="008000"/>
            </a:solidFill>
          </a:endParaRPr>
        </a:p>
      </xdr:txBody>
    </xdr:sp>
    <xdr:clientData/>
  </xdr:twoCellAnchor>
  <xdr:twoCellAnchor>
    <xdr:from>
      <xdr:col>13</xdr:col>
      <xdr:colOff>153458</xdr:colOff>
      <xdr:row>11</xdr:row>
      <xdr:rowOff>169333</xdr:rowOff>
    </xdr:from>
    <xdr:to>
      <xdr:col>13</xdr:col>
      <xdr:colOff>524085</xdr:colOff>
      <xdr:row>12</xdr:row>
      <xdr:rowOff>159465</xdr:rowOff>
    </xdr:to>
    <xdr:sp macro="" textlink="Analisis!AF5">
      <xdr:nvSpPr>
        <xdr:cNvPr id="41" name="CuadroTexto 40">
          <a:extLst>
            <a:ext uri="{FF2B5EF4-FFF2-40B4-BE49-F238E27FC236}">
              <a16:creationId xmlns:a16="http://schemas.microsoft.com/office/drawing/2014/main" id="{96FB23FF-24C1-4D6C-BFED-5CF43EB8B487}"/>
            </a:ext>
          </a:extLst>
        </xdr:cNvPr>
        <xdr:cNvSpPr txBox="1"/>
      </xdr:nvSpPr>
      <xdr:spPr>
        <a:xfrm>
          <a:off x="10470938" y="2097193"/>
          <a:ext cx="370627" cy="165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D0BF0F7-8BE6-4B0F-BDCE-953D3A0C169E}" type="TxLink">
            <a:rPr lang="en-US" sz="700" b="0" i="0" u="none" strike="noStrike" baseline="0">
              <a:solidFill>
                <a:srgbClr val="FFC00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</a:t>
          </a:fld>
          <a:endParaRPr lang="es-ES" sz="700" b="0" i="0" u="none" strike="noStrike" baseline="0">
            <a:solidFill>
              <a:srgbClr val="FFC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100542</xdr:colOff>
      <xdr:row>12</xdr:row>
      <xdr:rowOff>105833</xdr:rowOff>
    </xdr:from>
    <xdr:to>
      <xdr:col>13</xdr:col>
      <xdr:colOff>471169</xdr:colOff>
      <xdr:row>13</xdr:row>
      <xdr:rowOff>95965</xdr:rowOff>
    </xdr:to>
    <xdr:sp macro="" textlink="Analisis!AR6">
      <xdr:nvSpPr>
        <xdr:cNvPr id="42" name="CuadroTexto 41">
          <a:extLst>
            <a:ext uri="{FF2B5EF4-FFF2-40B4-BE49-F238E27FC236}">
              <a16:creationId xmlns:a16="http://schemas.microsoft.com/office/drawing/2014/main" id="{407BC704-11AC-4F53-8A00-E3AB84EDD1EB}"/>
            </a:ext>
          </a:extLst>
        </xdr:cNvPr>
        <xdr:cNvSpPr txBox="1"/>
      </xdr:nvSpPr>
      <xdr:spPr>
        <a:xfrm>
          <a:off x="10418022" y="2208953"/>
          <a:ext cx="370627" cy="165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BA4A88A3-3982-471C-AEB6-EA3C5B771889}" type="TxLink">
            <a:rPr lang="en-US" sz="700" b="0" i="0" u="none" strike="noStrike" baseline="0">
              <a:solidFill>
                <a:srgbClr val="FFC00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0,285714286</a:t>
          </a:fld>
          <a:endParaRPr lang="es-ES" sz="700" b="0" i="0" u="none" strike="noStrike" baseline="0">
            <a:solidFill>
              <a:srgbClr val="FFC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158750</xdr:colOff>
      <xdr:row>13</xdr:row>
      <xdr:rowOff>174625</xdr:rowOff>
    </xdr:from>
    <xdr:to>
      <xdr:col>13</xdr:col>
      <xdr:colOff>529377</xdr:colOff>
      <xdr:row>14</xdr:row>
      <xdr:rowOff>164756</xdr:rowOff>
    </xdr:to>
    <xdr:sp macro="" textlink="Analisis!AE5">
      <xdr:nvSpPr>
        <xdr:cNvPr id="43" name="CuadroTexto 42">
          <a:extLst>
            <a:ext uri="{FF2B5EF4-FFF2-40B4-BE49-F238E27FC236}">
              <a16:creationId xmlns:a16="http://schemas.microsoft.com/office/drawing/2014/main" id="{A1028942-FAD8-454F-A65E-9FBBFFC9F115}"/>
            </a:ext>
          </a:extLst>
        </xdr:cNvPr>
        <xdr:cNvSpPr txBox="1"/>
      </xdr:nvSpPr>
      <xdr:spPr>
        <a:xfrm>
          <a:off x="10476230" y="2453005"/>
          <a:ext cx="370627" cy="1653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38060710-4A73-4415-95BB-B2B5AD0CDE4E}" type="TxLink">
            <a:rPr lang="en-US" sz="700" b="0" i="0" u="none" strike="noStrike" baseline="0">
              <a:solidFill>
                <a:srgbClr val="FFFF0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40</a:t>
          </a:fld>
          <a:endParaRPr lang="es-ES" sz="700" b="0" i="0" u="none" strike="noStrike" baseline="0">
            <a:solidFill>
              <a:srgbClr val="FFFF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105833</xdr:colOff>
      <xdr:row>14</xdr:row>
      <xdr:rowOff>105833</xdr:rowOff>
    </xdr:from>
    <xdr:to>
      <xdr:col>13</xdr:col>
      <xdr:colOff>476460</xdr:colOff>
      <xdr:row>15</xdr:row>
      <xdr:rowOff>95965</xdr:rowOff>
    </xdr:to>
    <xdr:sp macro="" textlink="Analisis!AR7">
      <xdr:nvSpPr>
        <xdr:cNvPr id="44" name="CuadroTexto 43">
          <a:extLst>
            <a:ext uri="{FF2B5EF4-FFF2-40B4-BE49-F238E27FC236}">
              <a16:creationId xmlns:a16="http://schemas.microsoft.com/office/drawing/2014/main" id="{E2342705-EE86-4C6D-88B0-0BADBC815F8A}"/>
            </a:ext>
          </a:extLst>
        </xdr:cNvPr>
        <xdr:cNvSpPr txBox="1"/>
      </xdr:nvSpPr>
      <xdr:spPr>
        <a:xfrm>
          <a:off x="10423313" y="2559473"/>
          <a:ext cx="370627" cy="165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8465CFA4-6F6B-448E-BA37-B88E9D1DF9E8}" type="TxLink">
            <a:rPr lang="en-US" sz="700" b="0" i="0" u="none" strike="noStrike" baseline="0">
              <a:solidFill>
                <a:srgbClr val="FFFF00"/>
              </a:solidFill>
              <a:effectLst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5,714285714</a:t>
          </a:fld>
          <a:endParaRPr lang="es-ES" sz="700" b="0" i="0" u="none" strike="noStrike" baseline="0">
            <a:solidFill>
              <a:srgbClr val="FFFF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185209</xdr:colOff>
      <xdr:row>13</xdr:row>
      <xdr:rowOff>174626</xdr:rowOff>
    </xdr:from>
    <xdr:to>
      <xdr:col>13</xdr:col>
      <xdr:colOff>203201</xdr:colOff>
      <xdr:row>15</xdr:row>
      <xdr:rowOff>158222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C0F879B7-5A87-4C94-B19B-0B62D28D7D3E}"/>
            </a:ext>
          </a:extLst>
        </xdr:cNvPr>
        <xdr:cNvSpPr txBox="1"/>
      </xdr:nvSpPr>
      <xdr:spPr>
        <a:xfrm>
          <a:off x="10289329" y="2453006"/>
          <a:ext cx="231352" cy="334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Bef>
              <a:spcPts val="0"/>
            </a:spcBef>
          </a:pPr>
          <a:r>
            <a:rPr lang="es-ES" sz="700">
              <a:solidFill>
                <a:srgbClr val="FFFF00"/>
              </a:solidFill>
              <a:latin typeface="Lobster Two" panose="020F0502020204030204" pitchFamily="2" charset="0"/>
            </a:rPr>
            <a:t>∑</a:t>
          </a:r>
        </a:p>
        <a:p>
          <a:pPr>
            <a:spcBef>
              <a:spcPts val="0"/>
            </a:spcBef>
          </a:pPr>
          <a:r>
            <a:rPr lang="es-ES" sz="700">
              <a:solidFill>
                <a:srgbClr val="FFFF00"/>
              </a:solidFill>
              <a:latin typeface="MS Reference Sans Serif" panose="020B0604030504040204" pitchFamily="34" charset="0"/>
            </a:rPr>
            <a:t></a:t>
          </a:r>
          <a:endParaRPr lang="es-ES" sz="700">
            <a:solidFill>
              <a:srgbClr val="FFFF00"/>
            </a:solidFill>
          </a:endParaRPr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0.91904</cdr:x>
      <cdr:y>0.52845</cdr:y>
    </cdr:from>
    <cdr:to>
      <cdr:x>0.97461</cdr:x>
      <cdr:y>0.7169</cdr:y>
    </cdr:to>
    <cdr:sp macro="" textlink="">
      <cdr:nvSpPr>
        <cdr:cNvPr id="2" name="CuadroTexto 39">
          <a:extLst xmlns:a="http://schemas.openxmlformats.org/drawingml/2006/main">
            <a:ext uri="{FF2B5EF4-FFF2-40B4-BE49-F238E27FC236}">
              <a16:creationId xmlns:a16="http://schemas.microsoft.com/office/drawing/2014/main" id="{53066414-08AB-C860-749E-D956434D72CB}"/>
            </a:ext>
          </a:extLst>
        </cdr:cNvPr>
        <cdr:cNvSpPr txBox="1"/>
      </cdr:nvSpPr>
      <cdr:spPr>
        <a:xfrm xmlns:a="http://schemas.openxmlformats.org/drawingml/2006/main">
          <a:off x="3448049" y="992717"/>
          <a:ext cx="208492" cy="3540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spcBef>
              <a:spcPts val="0"/>
            </a:spcBef>
          </a:pPr>
          <a:r>
            <a:rPr lang="es-ES" sz="700">
              <a:solidFill>
                <a:srgbClr val="FFC000"/>
              </a:solidFill>
              <a:latin typeface="Lobster Two" panose="020F0502020204030204" pitchFamily="2" charset="0"/>
            </a:rPr>
            <a:t>∑</a:t>
          </a:r>
        </a:p>
        <a:p xmlns:a="http://schemas.openxmlformats.org/drawingml/2006/main">
          <a:pPr>
            <a:spcBef>
              <a:spcPts val="0"/>
            </a:spcBef>
          </a:pPr>
          <a:r>
            <a:rPr lang="es-ES" sz="700">
              <a:solidFill>
                <a:srgbClr val="FFC000"/>
              </a:solidFill>
              <a:latin typeface="MS Reference Sans Serif" panose="020B0604030504040204" pitchFamily="34" charset="0"/>
            </a:rPr>
            <a:t></a:t>
          </a:r>
          <a:endParaRPr lang="es-ES" sz="700">
            <a:solidFill>
              <a:srgbClr val="FFC000"/>
            </a:solidFill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ucas Espejo Sanchez" refreshedDate="46077.622280439813" createdVersion="8" refreshedVersion="6" minRefreshableVersion="3" recordCount="114" xr:uid="{1D5A0481-97D5-4A5B-AEA2-7E4FD00ADECA}">
  <cacheSource type="worksheet">
    <worksheetSource name="BD_ESTADISTICA_INF_B"/>
  </cacheSource>
  <cacheFields count="39">
    <cacheField name="Jugador" numFmtId="0">
      <sharedItems containsBlank="1" count="21">
        <s v="Adai"/>
        <s v="Albert"/>
        <s v="A. Espeso"/>
        <s v="Manel"/>
        <s v="Jordi"/>
        <s v="Roger"/>
        <s v="Martí"/>
        <s v="Biel"/>
        <s v="Joan Pau"/>
        <s v="Gerard"/>
        <s v="Marçal"/>
        <s v="Unai"/>
        <s v="Leo"/>
        <s v="A. Estapé"/>
        <s v="Jan"/>
        <s v="Jules"/>
        <s v="Eudald"/>
        <s v="David"/>
        <s v="Maxim"/>
        <m u="1"/>
        <s v="Pau" u="1"/>
      </sharedItems>
    </cacheField>
    <cacheField name="Goles" numFmtId="0">
      <sharedItems containsString="0" containsBlank="1" containsNumber="1" containsInteger="1" minValue="0" maxValue="14"/>
    </cacheField>
    <cacheField name="Paradas" numFmtId="0">
      <sharedItems containsString="0" containsBlank="1" containsNumber="1" containsInteger="1" minValue="0" maxValue="9"/>
    </cacheField>
    <cacheField name="Lanzam." numFmtId="0">
      <sharedItems containsString="0" containsBlank="1" containsNumber="1" containsInteger="1" minValue="1" maxValue="23"/>
    </cacheField>
    <cacheField name="% lanz" numFmtId="9">
      <sharedItems containsMixedTypes="1" containsNumber="1" minValue="0" maxValue="1"/>
    </cacheField>
    <cacheField name="Asistencia" numFmtId="0">
      <sharedItems containsString="0" containsBlank="1" containsNumber="1" containsInteger="1" minValue="1" maxValue="8"/>
    </cacheField>
    <cacheField name="Exclusión" numFmtId="0">
      <sharedItems containsString="0" containsBlank="1" containsNumber="1" containsInteger="1" minValue="1" maxValue="1"/>
    </cacheField>
    <cacheField name="Pase" numFmtId="0">
      <sharedItems containsString="0" containsBlank="1" containsNumber="1" containsInteger="1" minValue="1" maxValue="3"/>
    </cacheField>
    <cacheField name="Área" numFmtId="0">
      <sharedItems containsString="0" containsBlank="1" containsNumber="1" containsInteger="1" minValue="1" maxValue="1"/>
    </cacheField>
    <cacheField name="Pasos" numFmtId="0">
      <sharedItems containsString="0" containsBlank="1" containsNumber="1" containsInteger="1" minValue="1" maxValue="1"/>
    </cacheField>
    <cacheField name="Otro" numFmtId="0">
      <sharedItems containsString="0" containsBlank="1" containsNumber="1" containsInteger="1" minValue="1" maxValue="1"/>
    </cacheField>
    <cacheField name="Recup." numFmtId="0">
      <sharedItems containsString="0" containsBlank="1" containsNumber="1" containsInteger="1" minValue="1" maxValue="9"/>
    </cacheField>
    <cacheField name="Exclusión +" numFmtId="0">
      <sharedItems containsString="0" containsBlank="1" containsNumber="1" containsInteger="1" minValue="1" maxValue="1"/>
    </cacheField>
    <cacheField name="PenaltiProvocado" numFmtId="0">
      <sharedItems containsString="0" containsBlank="1" containsNumber="1" containsInteger="1" minValue="1" maxValue="1"/>
    </cacheField>
    <cacheField name="JORNADA" numFmtId="0">
      <sharedItems containsSemiMixedTypes="0" containsString="0" containsNumber="1" containsInteger="1" minValue="1" maxValue="12" count="12">
        <n v="3"/>
        <n v="4"/>
        <n v="1"/>
        <n v="6"/>
        <n v="5"/>
        <n v="7"/>
        <n v="11" u="1"/>
        <n v="12" u="1"/>
        <n v="8" u="1"/>
        <n v="2" u="1"/>
        <n v="9" u="1"/>
        <n v="10" u="1"/>
      </sharedItems>
    </cacheField>
    <cacheField name="FASE" numFmtId="0">
      <sharedItems containsSemiMixedTypes="0" containsString="0" containsNumber="1" containsInteger="1" minValue="3" maxValue="3"/>
    </cacheField>
    <cacheField name="L/V" numFmtId="0">
      <sharedItems/>
    </cacheField>
    <cacheField name="rival" numFmtId="0">
      <sharedItems containsBlank="1" count="42">
        <s v="H.SANT QUIRZE(L)"/>
        <s v="VIROLAI (V)"/>
        <s v="CH PALAUTORDERA (L)"/>
        <s v="CH ESPLUGUES (V)"/>
        <s v="CREU ALTA SABADELL (L)"/>
        <s v="UES SARRIA (L)"/>
        <m u="1"/>
        <s v="CREU ALTA (V)" u="1"/>
        <s v="CREU ALTA" u="1"/>
        <s v="prueba 5" u="1"/>
        <s v="CREU ALTA SABADELL" u="1"/>
        <s v="LA ROCA" u="1"/>
        <s v="UE SARRIA" u="1"/>
        <s v="CAMBRILS" u="1"/>
        <s v="VIROLAI VORAMAR (L)" u="1"/>
        <s v="VIROLAI VORAMAR" u="1"/>
        <s v="prueba 4" u="1"/>
        <s v="HC SANT BOI" u="1"/>
        <s v="prueba 9" u="1"/>
        <s v="LA ROCA (V)" u="1"/>
        <s v="VIROLAI VORAMAR (V)" u="1"/>
        <s v="ST. ESTEVE PALAUTORDERA" u="1"/>
        <s v="prueba 3" u="1"/>
        <s v="prueba 8" u="1"/>
        <s v="LA ROCA (L)" u="1"/>
        <s v="CA SABADELL" u="1"/>
        <s v="BM GRANOLLERS (L)" u="1"/>
        <s v="prueba 2" u="1"/>
        <s v="prueba 7" u="1"/>
        <s v="CH RIBES" u="1"/>
        <s v="DOMINICOS C" u="1"/>
        <s v="GRANOLLERS (V)" u="1"/>
        <s v="BM GRANOLLERS (V)" u="1"/>
        <s v="BM GRANOLLERS" u="1"/>
        <s v="BCN SANTS (L)" u="1"/>
        <s v="prueba 1" u="1"/>
        <s v="prueba 6" u="1"/>
        <s v="BCN SANTS (V)" u="1"/>
        <s v="H MOLINS" u="1"/>
        <s v="BCN SANTS" u="1"/>
        <s v="CREU ALTA (L)" u="1"/>
        <s v="GRANOLLERS (L)" u="1"/>
      </sharedItems>
    </cacheField>
    <cacheField name="POSICION" numFmtId="0">
      <sharedItems containsBlank="1" count="5">
        <s v="JUGADOR"/>
        <s v="PORTERO"/>
        <m u="1"/>
        <s v="J" u="1"/>
        <s v="P" u="1"/>
      </sharedItems>
    </cacheField>
    <cacheField name="goles favor" numFmtId="0">
      <sharedItems containsSemiMixedTypes="0" containsString="0" containsNumber="1" containsInteger="1" minValue="0" maxValue="14"/>
    </cacheField>
    <cacheField name="goles contra" numFmtId="0">
      <sharedItems containsSemiMixedTypes="0" containsString="0" containsNumber="1" containsInteger="1" minValue="0" maxValue="15"/>
    </cacheField>
    <cacheField name="lanzamientos realizados" numFmtId="0">
      <sharedItems containsSemiMixedTypes="0" containsString="0" containsNumber="1" containsInteger="1" minValue="0" maxValue="17"/>
    </cacheField>
    <cacheField name="lanzamientos recibidos" numFmtId="0">
      <sharedItems containsSemiMixedTypes="0" containsString="0" containsNumber="1" containsInteger="1" minValue="0" maxValue="23"/>
    </cacheField>
    <cacheField name="porcentaje lanzamiento" numFmtId="0" formula="'goles favor'/'lanzamientos realizados'" databaseField="0"/>
    <cacheField name="Campo1" numFmtId="0" formula="Goles/Lanzam." databaseField="0"/>
    <cacheField name="objetivo" numFmtId="0" formula=" 70" databaseField="0"/>
    <cacheField name="Campo2" numFmtId="0" formula="70" databaseField="0"/>
    <cacheField name="Campo3" numFmtId="0" formula="0.7" databaseField="0"/>
    <cacheField name="Campo4" numFmtId="0" formula="0.7" databaseField="0"/>
    <cacheField name="Campo5" numFmtId="0" formula="IF(Campo3&lt;Campo4,Campo3,Campo4)" databaseField="0"/>
    <cacheField name="Campo6" numFmtId="0" formula="IF(Campo3&lt;Campo5,Campo3,Campo5)" databaseField="0"/>
    <cacheField name="Campo7" numFmtId="0" formula="'goles favor'/'lanzamientos realizados'" databaseField="0"/>
    <cacheField name="Campo8" numFmtId="0" formula="'goles favor'/'lanzamientos realizados'" databaseField="0"/>
    <cacheField name="Campo9" numFmtId="0" formula="('goles favor'/'lanzamientos realizados')*100" databaseField="0"/>
    <cacheField name="Campo10" numFmtId="0" formula="'goles favor'/'lanzamientos realizados'" databaseField="0"/>
    <cacheField name="eficiencia" numFmtId="0" formula="('goles favor'/'lanzamientos realizados')*100" databaseField="0"/>
    <cacheField name="Campo11" numFmtId="0" formula="eficiencia" databaseField="0"/>
    <cacheField name="eficiencia porteria" numFmtId="0" formula=" (Paradas/'lanzamientos recibidos')*100" databaseField="0"/>
    <cacheField name="Campo12" numFmtId="0" formula=" (Paradas/'lanzamientos recibidos')*100" databaseField="0"/>
  </cacheFields>
  <extLst>
    <ext xmlns:x14="http://schemas.microsoft.com/office/spreadsheetml/2009/9/main" uri="{725AE2AE-9491-48be-B2B4-4EB974FC3084}">
      <x14:pivotCacheDefinition pivotCacheId="1208432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x v="0"/>
    <n v="6"/>
    <m/>
    <n v="7"/>
    <n v="0.8571428571428571"/>
    <n v="2"/>
    <m/>
    <n v="1"/>
    <m/>
    <m/>
    <m/>
    <n v="3"/>
    <m/>
    <m/>
    <x v="0"/>
    <n v="3"/>
    <s v="L"/>
    <x v="0"/>
    <x v="0"/>
    <n v="6"/>
    <n v="0"/>
    <n v="7"/>
    <n v="0"/>
  </r>
  <r>
    <x v="1"/>
    <n v="4"/>
    <m/>
    <n v="4"/>
    <n v="1"/>
    <n v="2"/>
    <m/>
    <m/>
    <m/>
    <m/>
    <m/>
    <n v="1"/>
    <m/>
    <m/>
    <x v="0"/>
    <n v="3"/>
    <s v="L"/>
    <x v="0"/>
    <x v="0"/>
    <n v="4"/>
    <n v="0"/>
    <n v="4"/>
    <n v="0"/>
  </r>
  <r>
    <x v="2"/>
    <n v="1"/>
    <m/>
    <n v="1"/>
    <n v="1"/>
    <n v="4"/>
    <m/>
    <m/>
    <m/>
    <m/>
    <m/>
    <m/>
    <m/>
    <m/>
    <x v="0"/>
    <n v="3"/>
    <s v="L"/>
    <x v="0"/>
    <x v="0"/>
    <n v="1"/>
    <n v="0"/>
    <n v="1"/>
    <n v="0"/>
  </r>
  <r>
    <x v="3"/>
    <n v="6"/>
    <m/>
    <n v="6"/>
    <n v="1"/>
    <n v="2"/>
    <m/>
    <m/>
    <m/>
    <m/>
    <m/>
    <n v="1"/>
    <m/>
    <m/>
    <x v="0"/>
    <n v="3"/>
    <s v="L"/>
    <x v="0"/>
    <x v="0"/>
    <n v="6"/>
    <n v="0"/>
    <n v="6"/>
    <n v="0"/>
  </r>
  <r>
    <x v="4"/>
    <m/>
    <m/>
    <m/>
    <s v=""/>
    <m/>
    <m/>
    <m/>
    <m/>
    <m/>
    <m/>
    <n v="1"/>
    <m/>
    <m/>
    <x v="0"/>
    <n v="3"/>
    <s v="L"/>
    <x v="0"/>
    <x v="0"/>
    <n v="0"/>
    <n v="0"/>
    <n v="0"/>
    <n v="0"/>
  </r>
  <r>
    <x v="5"/>
    <n v="7"/>
    <m/>
    <n v="8"/>
    <n v="0.875"/>
    <m/>
    <m/>
    <m/>
    <m/>
    <m/>
    <m/>
    <m/>
    <m/>
    <n v="1"/>
    <x v="0"/>
    <n v="3"/>
    <s v="L"/>
    <x v="0"/>
    <x v="0"/>
    <n v="7"/>
    <n v="0"/>
    <n v="8"/>
    <n v="0"/>
  </r>
  <r>
    <x v="6"/>
    <n v="2"/>
    <m/>
    <n v="2"/>
    <n v="1"/>
    <n v="6"/>
    <m/>
    <m/>
    <m/>
    <n v="1"/>
    <m/>
    <m/>
    <m/>
    <m/>
    <x v="0"/>
    <n v="3"/>
    <s v="L"/>
    <x v="0"/>
    <x v="0"/>
    <n v="2"/>
    <n v="0"/>
    <n v="2"/>
    <n v="0"/>
  </r>
  <r>
    <x v="7"/>
    <n v="2"/>
    <m/>
    <n v="3"/>
    <n v="0.66666666666666663"/>
    <m/>
    <m/>
    <m/>
    <m/>
    <m/>
    <m/>
    <n v="2"/>
    <m/>
    <m/>
    <x v="0"/>
    <n v="3"/>
    <s v="L"/>
    <x v="0"/>
    <x v="0"/>
    <n v="2"/>
    <n v="0"/>
    <n v="3"/>
    <n v="0"/>
  </r>
  <r>
    <x v="8"/>
    <n v="3"/>
    <m/>
    <n v="5"/>
    <n v="0.6"/>
    <n v="5"/>
    <m/>
    <m/>
    <m/>
    <m/>
    <m/>
    <n v="3"/>
    <m/>
    <m/>
    <x v="0"/>
    <n v="3"/>
    <s v="L"/>
    <x v="0"/>
    <x v="0"/>
    <n v="3"/>
    <n v="0"/>
    <n v="5"/>
    <n v="0"/>
  </r>
  <r>
    <x v="9"/>
    <n v="4"/>
    <m/>
    <n v="5"/>
    <n v="0.8"/>
    <n v="1"/>
    <m/>
    <n v="1"/>
    <m/>
    <m/>
    <m/>
    <n v="1"/>
    <m/>
    <m/>
    <x v="0"/>
    <n v="3"/>
    <s v="L"/>
    <x v="0"/>
    <x v="0"/>
    <n v="4"/>
    <n v="0"/>
    <n v="5"/>
    <n v="0"/>
  </r>
  <r>
    <x v="10"/>
    <m/>
    <m/>
    <m/>
    <s v=""/>
    <m/>
    <m/>
    <m/>
    <m/>
    <m/>
    <m/>
    <m/>
    <m/>
    <m/>
    <x v="0"/>
    <n v="3"/>
    <s v="L"/>
    <x v="0"/>
    <x v="0"/>
    <n v="0"/>
    <n v="0"/>
    <n v="0"/>
    <n v="0"/>
  </r>
  <r>
    <x v="11"/>
    <n v="5"/>
    <m/>
    <n v="5"/>
    <n v="1"/>
    <n v="2"/>
    <m/>
    <m/>
    <m/>
    <m/>
    <m/>
    <n v="6"/>
    <m/>
    <m/>
    <x v="0"/>
    <n v="3"/>
    <s v="L"/>
    <x v="0"/>
    <x v="0"/>
    <n v="5"/>
    <n v="0"/>
    <n v="5"/>
    <n v="0"/>
  </r>
  <r>
    <x v="12"/>
    <m/>
    <m/>
    <m/>
    <s v=""/>
    <m/>
    <m/>
    <m/>
    <m/>
    <m/>
    <m/>
    <m/>
    <m/>
    <m/>
    <x v="0"/>
    <n v="3"/>
    <s v="L"/>
    <x v="0"/>
    <x v="0"/>
    <n v="0"/>
    <n v="0"/>
    <n v="0"/>
    <n v="0"/>
  </r>
  <r>
    <x v="13"/>
    <n v="3"/>
    <m/>
    <n v="3"/>
    <n v="1"/>
    <n v="3"/>
    <m/>
    <m/>
    <m/>
    <m/>
    <m/>
    <n v="1"/>
    <m/>
    <m/>
    <x v="0"/>
    <n v="3"/>
    <s v="L"/>
    <x v="0"/>
    <x v="0"/>
    <n v="3"/>
    <n v="0"/>
    <n v="3"/>
    <n v="0"/>
  </r>
  <r>
    <x v="14"/>
    <n v="1"/>
    <n v="1"/>
    <n v="4"/>
    <n v="0.25"/>
    <m/>
    <m/>
    <m/>
    <m/>
    <m/>
    <m/>
    <m/>
    <m/>
    <m/>
    <x v="0"/>
    <n v="3"/>
    <s v="L"/>
    <x v="0"/>
    <x v="1"/>
    <n v="0"/>
    <n v="3"/>
    <n v="0"/>
    <n v="4"/>
  </r>
  <r>
    <x v="15"/>
    <m/>
    <m/>
    <m/>
    <s v=""/>
    <m/>
    <m/>
    <m/>
    <m/>
    <m/>
    <m/>
    <m/>
    <m/>
    <m/>
    <x v="0"/>
    <n v="3"/>
    <s v="L"/>
    <x v="0"/>
    <x v="1"/>
    <n v="0"/>
    <n v="0"/>
    <n v="0"/>
    <n v="0"/>
  </r>
  <r>
    <x v="16"/>
    <n v="5"/>
    <n v="5"/>
    <n v="10"/>
    <n v="0.5"/>
    <n v="1"/>
    <m/>
    <m/>
    <m/>
    <m/>
    <m/>
    <m/>
    <m/>
    <m/>
    <x v="0"/>
    <n v="3"/>
    <s v="L"/>
    <x v="0"/>
    <x v="1"/>
    <n v="0"/>
    <n v="5"/>
    <n v="0"/>
    <n v="10"/>
  </r>
  <r>
    <x v="17"/>
    <n v="5"/>
    <m/>
    <n v="5"/>
    <n v="1"/>
    <m/>
    <n v="1"/>
    <m/>
    <m/>
    <n v="1"/>
    <m/>
    <m/>
    <m/>
    <m/>
    <x v="0"/>
    <n v="3"/>
    <s v="L"/>
    <x v="0"/>
    <x v="0"/>
    <n v="5"/>
    <n v="0"/>
    <n v="5"/>
    <n v="0"/>
  </r>
  <r>
    <x v="18"/>
    <m/>
    <m/>
    <m/>
    <s v=""/>
    <m/>
    <m/>
    <m/>
    <m/>
    <m/>
    <m/>
    <m/>
    <m/>
    <m/>
    <x v="0"/>
    <n v="3"/>
    <s v="L"/>
    <x v="0"/>
    <x v="0"/>
    <n v="0"/>
    <n v="0"/>
    <n v="0"/>
    <n v="0"/>
  </r>
  <r>
    <x v="0"/>
    <n v="9"/>
    <m/>
    <n v="9"/>
    <n v="1"/>
    <n v="2"/>
    <n v="1"/>
    <m/>
    <m/>
    <m/>
    <m/>
    <n v="3"/>
    <n v="1"/>
    <m/>
    <x v="1"/>
    <n v="3"/>
    <s v="V"/>
    <x v="1"/>
    <x v="0"/>
    <n v="9"/>
    <n v="0"/>
    <n v="9"/>
    <n v="0"/>
  </r>
  <r>
    <x v="1"/>
    <n v="5"/>
    <m/>
    <n v="5"/>
    <n v="1"/>
    <m/>
    <n v="1"/>
    <m/>
    <m/>
    <m/>
    <m/>
    <n v="1"/>
    <m/>
    <m/>
    <x v="1"/>
    <n v="3"/>
    <s v="V"/>
    <x v="1"/>
    <x v="0"/>
    <n v="5"/>
    <n v="0"/>
    <n v="5"/>
    <n v="0"/>
  </r>
  <r>
    <x v="2"/>
    <m/>
    <m/>
    <m/>
    <s v=""/>
    <n v="6"/>
    <m/>
    <n v="1"/>
    <m/>
    <m/>
    <m/>
    <m/>
    <m/>
    <n v="1"/>
    <x v="1"/>
    <n v="3"/>
    <s v="V"/>
    <x v="1"/>
    <x v="0"/>
    <n v="0"/>
    <n v="0"/>
    <n v="0"/>
    <n v="0"/>
  </r>
  <r>
    <x v="3"/>
    <m/>
    <m/>
    <m/>
    <s v=""/>
    <m/>
    <m/>
    <m/>
    <m/>
    <m/>
    <m/>
    <m/>
    <m/>
    <m/>
    <x v="1"/>
    <n v="3"/>
    <s v="V"/>
    <x v="1"/>
    <x v="0"/>
    <n v="0"/>
    <n v="0"/>
    <n v="0"/>
    <n v="0"/>
  </r>
  <r>
    <x v="4"/>
    <n v="2"/>
    <m/>
    <n v="2"/>
    <n v="1"/>
    <n v="3"/>
    <n v="1"/>
    <n v="1"/>
    <m/>
    <m/>
    <m/>
    <m/>
    <m/>
    <m/>
    <x v="1"/>
    <n v="3"/>
    <s v="V"/>
    <x v="1"/>
    <x v="0"/>
    <n v="2"/>
    <n v="0"/>
    <n v="2"/>
    <n v="0"/>
  </r>
  <r>
    <x v="5"/>
    <n v="4"/>
    <m/>
    <n v="5"/>
    <n v="0.8"/>
    <n v="1"/>
    <m/>
    <m/>
    <m/>
    <m/>
    <m/>
    <n v="3"/>
    <m/>
    <m/>
    <x v="1"/>
    <n v="3"/>
    <s v="V"/>
    <x v="1"/>
    <x v="0"/>
    <n v="4"/>
    <n v="0"/>
    <n v="5"/>
    <n v="0"/>
  </r>
  <r>
    <x v="6"/>
    <n v="3"/>
    <m/>
    <n v="3"/>
    <n v="1"/>
    <n v="3"/>
    <n v="1"/>
    <m/>
    <m/>
    <m/>
    <m/>
    <m/>
    <m/>
    <m/>
    <x v="1"/>
    <n v="3"/>
    <s v="V"/>
    <x v="1"/>
    <x v="0"/>
    <n v="3"/>
    <n v="0"/>
    <n v="3"/>
    <n v="0"/>
  </r>
  <r>
    <x v="7"/>
    <n v="5"/>
    <m/>
    <n v="6"/>
    <n v="0.83333333333333337"/>
    <m/>
    <m/>
    <m/>
    <m/>
    <m/>
    <m/>
    <n v="3"/>
    <m/>
    <m/>
    <x v="1"/>
    <n v="3"/>
    <s v="V"/>
    <x v="1"/>
    <x v="0"/>
    <n v="5"/>
    <n v="0"/>
    <n v="6"/>
    <n v="0"/>
  </r>
  <r>
    <x v="8"/>
    <n v="5"/>
    <m/>
    <n v="5"/>
    <n v="1"/>
    <n v="1"/>
    <m/>
    <m/>
    <m/>
    <m/>
    <m/>
    <n v="1"/>
    <m/>
    <m/>
    <x v="1"/>
    <n v="3"/>
    <s v="V"/>
    <x v="1"/>
    <x v="0"/>
    <n v="5"/>
    <n v="0"/>
    <n v="5"/>
    <n v="0"/>
  </r>
  <r>
    <x v="9"/>
    <m/>
    <m/>
    <m/>
    <s v=""/>
    <m/>
    <n v="1"/>
    <m/>
    <m/>
    <m/>
    <m/>
    <m/>
    <m/>
    <m/>
    <x v="1"/>
    <n v="3"/>
    <s v="V"/>
    <x v="1"/>
    <x v="0"/>
    <n v="0"/>
    <n v="0"/>
    <n v="0"/>
    <n v="0"/>
  </r>
  <r>
    <x v="10"/>
    <n v="2"/>
    <m/>
    <n v="3"/>
    <n v="0.66666666666666663"/>
    <n v="4"/>
    <m/>
    <n v="3"/>
    <m/>
    <m/>
    <m/>
    <n v="2"/>
    <m/>
    <m/>
    <x v="1"/>
    <n v="3"/>
    <s v="V"/>
    <x v="1"/>
    <x v="0"/>
    <n v="2"/>
    <n v="0"/>
    <n v="3"/>
    <n v="0"/>
  </r>
  <r>
    <x v="11"/>
    <m/>
    <m/>
    <m/>
    <s v=""/>
    <m/>
    <m/>
    <m/>
    <m/>
    <m/>
    <m/>
    <m/>
    <m/>
    <m/>
    <x v="1"/>
    <n v="3"/>
    <s v="V"/>
    <x v="1"/>
    <x v="0"/>
    <n v="0"/>
    <n v="0"/>
    <n v="0"/>
    <n v="0"/>
  </r>
  <r>
    <x v="12"/>
    <n v="11"/>
    <m/>
    <n v="12"/>
    <n v="0.91666666666666663"/>
    <n v="1"/>
    <m/>
    <m/>
    <m/>
    <m/>
    <m/>
    <n v="6"/>
    <n v="1"/>
    <n v="1"/>
    <x v="1"/>
    <n v="3"/>
    <s v="V"/>
    <x v="1"/>
    <x v="0"/>
    <n v="11"/>
    <n v="0"/>
    <n v="12"/>
    <n v="0"/>
  </r>
  <r>
    <x v="13"/>
    <n v="1"/>
    <m/>
    <n v="2"/>
    <n v="0.5"/>
    <n v="4"/>
    <m/>
    <m/>
    <m/>
    <m/>
    <m/>
    <n v="2"/>
    <m/>
    <m/>
    <x v="1"/>
    <n v="3"/>
    <s v="V"/>
    <x v="1"/>
    <x v="0"/>
    <n v="1"/>
    <n v="0"/>
    <n v="2"/>
    <n v="0"/>
  </r>
  <r>
    <x v="14"/>
    <m/>
    <m/>
    <m/>
    <s v=""/>
    <m/>
    <m/>
    <m/>
    <m/>
    <m/>
    <m/>
    <m/>
    <m/>
    <m/>
    <x v="1"/>
    <n v="3"/>
    <s v="V"/>
    <x v="1"/>
    <x v="1"/>
    <n v="0"/>
    <n v="0"/>
    <n v="0"/>
    <n v="0"/>
  </r>
  <r>
    <x v="15"/>
    <n v="6"/>
    <n v="6"/>
    <n v="14"/>
    <n v="0.42857142857142855"/>
    <m/>
    <m/>
    <m/>
    <m/>
    <m/>
    <m/>
    <m/>
    <m/>
    <m/>
    <x v="1"/>
    <n v="3"/>
    <s v="V"/>
    <x v="1"/>
    <x v="1"/>
    <n v="0"/>
    <n v="8"/>
    <n v="0"/>
    <n v="14"/>
  </r>
  <r>
    <x v="16"/>
    <n v="5"/>
    <n v="5"/>
    <n v="11"/>
    <n v="0.45454545454545453"/>
    <m/>
    <m/>
    <m/>
    <m/>
    <m/>
    <m/>
    <m/>
    <m/>
    <m/>
    <x v="1"/>
    <n v="3"/>
    <s v="V"/>
    <x v="1"/>
    <x v="1"/>
    <n v="0"/>
    <n v="6"/>
    <n v="0"/>
    <n v="11"/>
  </r>
  <r>
    <x v="17"/>
    <n v="2"/>
    <m/>
    <n v="3"/>
    <n v="0.66666666666666663"/>
    <m/>
    <m/>
    <m/>
    <m/>
    <m/>
    <m/>
    <n v="2"/>
    <m/>
    <m/>
    <x v="1"/>
    <n v="3"/>
    <s v="V"/>
    <x v="1"/>
    <x v="0"/>
    <n v="2"/>
    <n v="0"/>
    <n v="3"/>
    <n v="0"/>
  </r>
  <r>
    <x v="18"/>
    <m/>
    <m/>
    <m/>
    <s v=""/>
    <m/>
    <m/>
    <m/>
    <m/>
    <m/>
    <m/>
    <m/>
    <m/>
    <m/>
    <x v="1"/>
    <n v="3"/>
    <s v="V"/>
    <x v="1"/>
    <x v="0"/>
    <n v="0"/>
    <n v="0"/>
    <n v="0"/>
    <n v="0"/>
  </r>
  <r>
    <x v="0"/>
    <n v="1"/>
    <m/>
    <n v="2"/>
    <n v="0.5"/>
    <n v="1"/>
    <m/>
    <n v="2"/>
    <m/>
    <m/>
    <m/>
    <m/>
    <m/>
    <n v="1"/>
    <x v="2"/>
    <n v="3"/>
    <s v="L"/>
    <x v="2"/>
    <x v="0"/>
    <n v="1"/>
    <n v="0"/>
    <n v="2"/>
    <n v="0"/>
  </r>
  <r>
    <x v="1"/>
    <n v="4"/>
    <m/>
    <n v="5"/>
    <n v="0.8"/>
    <n v="1"/>
    <n v="1"/>
    <n v="2"/>
    <m/>
    <m/>
    <m/>
    <m/>
    <m/>
    <m/>
    <x v="2"/>
    <n v="3"/>
    <s v="L"/>
    <x v="2"/>
    <x v="0"/>
    <n v="4"/>
    <n v="0"/>
    <n v="5"/>
    <n v="0"/>
  </r>
  <r>
    <x v="2"/>
    <n v="1"/>
    <m/>
    <n v="1"/>
    <n v="1"/>
    <n v="8"/>
    <m/>
    <n v="2"/>
    <m/>
    <m/>
    <m/>
    <n v="1"/>
    <m/>
    <m/>
    <x v="2"/>
    <n v="3"/>
    <s v="L"/>
    <x v="2"/>
    <x v="0"/>
    <n v="1"/>
    <n v="0"/>
    <n v="1"/>
    <n v="0"/>
  </r>
  <r>
    <x v="3"/>
    <n v="3"/>
    <m/>
    <n v="4"/>
    <n v="0.75"/>
    <n v="4"/>
    <m/>
    <m/>
    <m/>
    <m/>
    <m/>
    <m/>
    <m/>
    <m/>
    <x v="2"/>
    <n v="3"/>
    <s v="L"/>
    <x v="2"/>
    <x v="0"/>
    <n v="3"/>
    <n v="0"/>
    <n v="4"/>
    <n v="0"/>
  </r>
  <r>
    <x v="4"/>
    <m/>
    <m/>
    <m/>
    <s v=""/>
    <m/>
    <m/>
    <m/>
    <m/>
    <m/>
    <m/>
    <m/>
    <m/>
    <m/>
    <x v="2"/>
    <n v="3"/>
    <s v="L"/>
    <x v="2"/>
    <x v="0"/>
    <n v="0"/>
    <n v="0"/>
    <n v="0"/>
    <n v="0"/>
  </r>
  <r>
    <x v="5"/>
    <n v="3"/>
    <m/>
    <n v="4"/>
    <n v="0.75"/>
    <m/>
    <m/>
    <m/>
    <m/>
    <m/>
    <m/>
    <n v="1"/>
    <m/>
    <m/>
    <x v="2"/>
    <n v="3"/>
    <s v="L"/>
    <x v="2"/>
    <x v="0"/>
    <n v="3"/>
    <n v="0"/>
    <n v="4"/>
    <n v="0"/>
  </r>
  <r>
    <x v="6"/>
    <n v="0"/>
    <m/>
    <n v="1"/>
    <n v="0"/>
    <n v="3"/>
    <m/>
    <n v="1"/>
    <m/>
    <n v="1"/>
    <m/>
    <m/>
    <m/>
    <m/>
    <x v="2"/>
    <n v="3"/>
    <s v="L"/>
    <x v="2"/>
    <x v="0"/>
    <n v="0"/>
    <n v="0"/>
    <n v="1"/>
    <n v="0"/>
  </r>
  <r>
    <x v="7"/>
    <m/>
    <m/>
    <m/>
    <s v=""/>
    <m/>
    <m/>
    <m/>
    <m/>
    <m/>
    <m/>
    <n v="1"/>
    <m/>
    <n v="1"/>
    <x v="2"/>
    <n v="3"/>
    <s v="L"/>
    <x v="2"/>
    <x v="0"/>
    <n v="0"/>
    <n v="0"/>
    <n v="0"/>
    <n v="0"/>
  </r>
  <r>
    <x v="8"/>
    <n v="4"/>
    <m/>
    <n v="6"/>
    <n v="0.66666666666666663"/>
    <n v="1"/>
    <m/>
    <n v="1"/>
    <m/>
    <m/>
    <m/>
    <m/>
    <m/>
    <m/>
    <x v="2"/>
    <n v="3"/>
    <s v="L"/>
    <x v="2"/>
    <x v="0"/>
    <n v="4"/>
    <n v="0"/>
    <n v="6"/>
    <n v="0"/>
  </r>
  <r>
    <x v="9"/>
    <n v="6"/>
    <m/>
    <n v="7"/>
    <n v="0.8571428571428571"/>
    <m/>
    <n v="1"/>
    <m/>
    <m/>
    <m/>
    <m/>
    <m/>
    <m/>
    <m/>
    <x v="2"/>
    <n v="3"/>
    <s v="L"/>
    <x v="2"/>
    <x v="0"/>
    <n v="6"/>
    <n v="0"/>
    <n v="7"/>
    <n v="0"/>
  </r>
  <r>
    <x v="10"/>
    <n v="6"/>
    <m/>
    <n v="6"/>
    <n v="1"/>
    <n v="1"/>
    <m/>
    <m/>
    <n v="1"/>
    <m/>
    <m/>
    <n v="1"/>
    <m/>
    <n v="1"/>
    <x v="2"/>
    <n v="3"/>
    <s v="L"/>
    <x v="2"/>
    <x v="0"/>
    <n v="6"/>
    <n v="0"/>
    <n v="6"/>
    <n v="0"/>
  </r>
  <r>
    <x v="11"/>
    <n v="3"/>
    <m/>
    <n v="3"/>
    <n v="1"/>
    <n v="1"/>
    <m/>
    <m/>
    <m/>
    <m/>
    <m/>
    <n v="2"/>
    <m/>
    <m/>
    <x v="2"/>
    <n v="3"/>
    <s v="L"/>
    <x v="2"/>
    <x v="0"/>
    <n v="3"/>
    <n v="0"/>
    <n v="3"/>
    <n v="0"/>
  </r>
  <r>
    <x v="12"/>
    <n v="6"/>
    <m/>
    <n v="9"/>
    <n v="0.66666666666666663"/>
    <n v="1"/>
    <m/>
    <m/>
    <m/>
    <m/>
    <m/>
    <n v="4"/>
    <n v="1"/>
    <n v="1"/>
    <x v="2"/>
    <n v="3"/>
    <s v="L"/>
    <x v="2"/>
    <x v="0"/>
    <n v="6"/>
    <n v="0"/>
    <n v="9"/>
    <n v="0"/>
  </r>
  <r>
    <x v="13"/>
    <m/>
    <m/>
    <m/>
    <s v=""/>
    <n v="2"/>
    <m/>
    <n v="2"/>
    <m/>
    <m/>
    <m/>
    <m/>
    <n v="1"/>
    <m/>
    <x v="2"/>
    <n v="3"/>
    <s v="L"/>
    <x v="2"/>
    <x v="0"/>
    <n v="0"/>
    <n v="0"/>
    <n v="0"/>
    <n v="0"/>
  </r>
  <r>
    <x v="14"/>
    <n v="0"/>
    <n v="0"/>
    <n v="5"/>
    <n v="0"/>
    <n v="1"/>
    <m/>
    <m/>
    <m/>
    <m/>
    <m/>
    <m/>
    <m/>
    <m/>
    <x v="2"/>
    <n v="3"/>
    <s v="L"/>
    <x v="2"/>
    <x v="1"/>
    <n v="0"/>
    <n v="5"/>
    <n v="0"/>
    <n v="5"/>
  </r>
  <r>
    <x v="15"/>
    <n v="9"/>
    <n v="9"/>
    <n v="23"/>
    <n v="0.39130434782608697"/>
    <m/>
    <m/>
    <m/>
    <m/>
    <m/>
    <m/>
    <m/>
    <n v="1"/>
    <m/>
    <x v="2"/>
    <n v="3"/>
    <s v="L"/>
    <x v="2"/>
    <x v="1"/>
    <n v="0"/>
    <n v="14"/>
    <n v="0"/>
    <n v="23"/>
  </r>
  <r>
    <x v="16"/>
    <m/>
    <m/>
    <m/>
    <s v=""/>
    <m/>
    <m/>
    <m/>
    <m/>
    <m/>
    <m/>
    <m/>
    <m/>
    <m/>
    <x v="2"/>
    <n v="3"/>
    <s v="L"/>
    <x v="2"/>
    <x v="1"/>
    <n v="0"/>
    <n v="0"/>
    <n v="0"/>
    <n v="0"/>
  </r>
  <r>
    <x v="17"/>
    <n v="2"/>
    <m/>
    <n v="2"/>
    <n v="1"/>
    <m/>
    <m/>
    <m/>
    <m/>
    <m/>
    <m/>
    <n v="2"/>
    <m/>
    <m/>
    <x v="2"/>
    <n v="3"/>
    <s v="L"/>
    <x v="2"/>
    <x v="0"/>
    <n v="2"/>
    <n v="0"/>
    <n v="2"/>
    <n v="0"/>
  </r>
  <r>
    <x v="18"/>
    <m/>
    <m/>
    <m/>
    <s v=""/>
    <m/>
    <m/>
    <m/>
    <m/>
    <m/>
    <m/>
    <m/>
    <m/>
    <m/>
    <x v="2"/>
    <n v="3"/>
    <s v="L"/>
    <x v="2"/>
    <x v="0"/>
    <n v="0"/>
    <n v="0"/>
    <n v="0"/>
    <n v="0"/>
  </r>
  <r>
    <x v="0"/>
    <n v="5"/>
    <m/>
    <n v="5"/>
    <n v="1"/>
    <n v="3"/>
    <m/>
    <n v="1"/>
    <m/>
    <m/>
    <m/>
    <n v="4"/>
    <m/>
    <m/>
    <x v="3"/>
    <n v="3"/>
    <s v="V"/>
    <x v="3"/>
    <x v="0"/>
    <n v="5"/>
    <n v="0"/>
    <n v="5"/>
    <n v="0"/>
  </r>
  <r>
    <x v="1"/>
    <m/>
    <m/>
    <m/>
    <s v=""/>
    <m/>
    <m/>
    <m/>
    <m/>
    <m/>
    <m/>
    <m/>
    <m/>
    <m/>
    <x v="3"/>
    <n v="3"/>
    <s v="V"/>
    <x v="3"/>
    <x v="0"/>
    <n v="0"/>
    <n v="0"/>
    <n v="0"/>
    <n v="0"/>
  </r>
  <r>
    <x v="2"/>
    <m/>
    <m/>
    <m/>
    <s v=""/>
    <n v="8"/>
    <m/>
    <m/>
    <m/>
    <m/>
    <m/>
    <m/>
    <m/>
    <m/>
    <x v="3"/>
    <n v="3"/>
    <s v="V"/>
    <x v="3"/>
    <x v="0"/>
    <n v="0"/>
    <n v="0"/>
    <n v="0"/>
    <n v="0"/>
  </r>
  <r>
    <x v="3"/>
    <m/>
    <m/>
    <m/>
    <s v=""/>
    <m/>
    <m/>
    <m/>
    <m/>
    <m/>
    <m/>
    <m/>
    <m/>
    <m/>
    <x v="3"/>
    <n v="3"/>
    <s v="V"/>
    <x v="3"/>
    <x v="0"/>
    <n v="0"/>
    <n v="0"/>
    <n v="0"/>
    <n v="0"/>
  </r>
  <r>
    <x v="4"/>
    <n v="2"/>
    <m/>
    <n v="2"/>
    <n v="1"/>
    <m/>
    <m/>
    <m/>
    <n v="1"/>
    <m/>
    <m/>
    <m/>
    <m/>
    <m/>
    <x v="3"/>
    <n v="3"/>
    <s v="V"/>
    <x v="3"/>
    <x v="0"/>
    <n v="2"/>
    <n v="0"/>
    <n v="2"/>
    <n v="0"/>
  </r>
  <r>
    <x v="5"/>
    <n v="2"/>
    <m/>
    <n v="4"/>
    <n v="0.5"/>
    <m/>
    <m/>
    <m/>
    <m/>
    <m/>
    <m/>
    <m/>
    <m/>
    <m/>
    <x v="3"/>
    <n v="3"/>
    <s v="V"/>
    <x v="3"/>
    <x v="0"/>
    <n v="2"/>
    <n v="0"/>
    <n v="4"/>
    <n v="0"/>
  </r>
  <r>
    <x v="6"/>
    <n v="4"/>
    <m/>
    <n v="5"/>
    <n v="0.8"/>
    <n v="4"/>
    <m/>
    <n v="1"/>
    <m/>
    <m/>
    <m/>
    <n v="1"/>
    <m/>
    <m/>
    <x v="3"/>
    <n v="3"/>
    <s v="V"/>
    <x v="3"/>
    <x v="0"/>
    <n v="4"/>
    <n v="0"/>
    <n v="5"/>
    <n v="0"/>
  </r>
  <r>
    <x v="7"/>
    <n v="1"/>
    <m/>
    <n v="1"/>
    <n v="1"/>
    <m/>
    <m/>
    <m/>
    <m/>
    <m/>
    <m/>
    <m/>
    <m/>
    <m/>
    <x v="3"/>
    <n v="3"/>
    <s v="V"/>
    <x v="3"/>
    <x v="0"/>
    <n v="1"/>
    <n v="0"/>
    <n v="1"/>
    <n v="0"/>
  </r>
  <r>
    <x v="8"/>
    <m/>
    <m/>
    <m/>
    <s v=""/>
    <m/>
    <m/>
    <m/>
    <m/>
    <m/>
    <m/>
    <m/>
    <m/>
    <m/>
    <x v="3"/>
    <n v="3"/>
    <s v="V"/>
    <x v="3"/>
    <x v="0"/>
    <n v="0"/>
    <n v="0"/>
    <n v="0"/>
    <n v="0"/>
  </r>
  <r>
    <x v="9"/>
    <n v="6"/>
    <m/>
    <n v="7"/>
    <n v="0.8571428571428571"/>
    <m/>
    <n v="1"/>
    <m/>
    <m/>
    <m/>
    <m/>
    <n v="1"/>
    <m/>
    <m/>
    <x v="3"/>
    <n v="3"/>
    <s v="V"/>
    <x v="3"/>
    <x v="0"/>
    <n v="6"/>
    <n v="0"/>
    <n v="7"/>
    <n v="0"/>
  </r>
  <r>
    <x v="10"/>
    <n v="3"/>
    <m/>
    <n v="4"/>
    <n v="0.75"/>
    <n v="1"/>
    <m/>
    <n v="2"/>
    <m/>
    <m/>
    <m/>
    <m/>
    <m/>
    <m/>
    <x v="3"/>
    <n v="3"/>
    <s v="V"/>
    <x v="3"/>
    <x v="0"/>
    <n v="3"/>
    <n v="0"/>
    <n v="4"/>
    <n v="0"/>
  </r>
  <r>
    <x v="11"/>
    <n v="2"/>
    <m/>
    <n v="3"/>
    <n v="0.66666666666666663"/>
    <n v="1"/>
    <n v="1"/>
    <n v="1"/>
    <m/>
    <m/>
    <m/>
    <m/>
    <m/>
    <n v="1"/>
    <x v="3"/>
    <n v="3"/>
    <s v="V"/>
    <x v="3"/>
    <x v="0"/>
    <n v="2"/>
    <n v="0"/>
    <n v="3"/>
    <n v="0"/>
  </r>
  <r>
    <x v="12"/>
    <n v="5"/>
    <m/>
    <n v="5"/>
    <n v="1"/>
    <n v="3"/>
    <m/>
    <m/>
    <m/>
    <m/>
    <m/>
    <n v="4"/>
    <m/>
    <m/>
    <x v="3"/>
    <n v="3"/>
    <s v="V"/>
    <x v="3"/>
    <x v="0"/>
    <n v="5"/>
    <n v="0"/>
    <n v="5"/>
    <n v="0"/>
  </r>
  <r>
    <x v="13"/>
    <n v="1"/>
    <m/>
    <n v="1"/>
    <n v="1"/>
    <n v="5"/>
    <m/>
    <n v="1"/>
    <m/>
    <m/>
    <m/>
    <n v="1"/>
    <m/>
    <m/>
    <x v="3"/>
    <n v="3"/>
    <s v="V"/>
    <x v="3"/>
    <x v="0"/>
    <n v="1"/>
    <n v="0"/>
    <n v="1"/>
    <n v="0"/>
  </r>
  <r>
    <x v="14"/>
    <m/>
    <m/>
    <m/>
    <s v=""/>
    <m/>
    <m/>
    <m/>
    <m/>
    <m/>
    <m/>
    <m/>
    <m/>
    <m/>
    <x v="3"/>
    <n v="3"/>
    <s v="V"/>
    <x v="3"/>
    <x v="1"/>
    <n v="0"/>
    <n v="0"/>
    <n v="0"/>
    <n v="0"/>
  </r>
  <r>
    <x v="15"/>
    <n v="3"/>
    <n v="3"/>
    <n v="12"/>
    <n v="0.25"/>
    <n v="1"/>
    <m/>
    <m/>
    <m/>
    <m/>
    <m/>
    <m/>
    <m/>
    <m/>
    <x v="3"/>
    <n v="3"/>
    <s v="V"/>
    <x v="3"/>
    <x v="1"/>
    <n v="0"/>
    <n v="9"/>
    <n v="0"/>
    <n v="12"/>
  </r>
  <r>
    <x v="16"/>
    <n v="7"/>
    <n v="7"/>
    <n v="15"/>
    <n v="0.46666666666666667"/>
    <n v="1"/>
    <m/>
    <m/>
    <m/>
    <m/>
    <m/>
    <m/>
    <m/>
    <m/>
    <x v="3"/>
    <n v="3"/>
    <s v="V"/>
    <x v="3"/>
    <x v="1"/>
    <n v="0"/>
    <n v="8"/>
    <n v="0"/>
    <n v="15"/>
  </r>
  <r>
    <x v="17"/>
    <n v="6"/>
    <m/>
    <n v="6"/>
    <n v="1"/>
    <m/>
    <m/>
    <m/>
    <m/>
    <m/>
    <m/>
    <n v="1"/>
    <m/>
    <m/>
    <x v="3"/>
    <n v="3"/>
    <s v="V"/>
    <x v="3"/>
    <x v="0"/>
    <n v="6"/>
    <n v="0"/>
    <n v="6"/>
    <n v="0"/>
  </r>
  <r>
    <x v="18"/>
    <m/>
    <m/>
    <m/>
    <s v=""/>
    <m/>
    <m/>
    <m/>
    <m/>
    <m/>
    <m/>
    <m/>
    <m/>
    <m/>
    <x v="3"/>
    <n v="3"/>
    <s v="V"/>
    <x v="3"/>
    <x v="0"/>
    <n v="0"/>
    <n v="0"/>
    <n v="0"/>
    <n v="0"/>
  </r>
  <r>
    <x v="0"/>
    <n v="3"/>
    <m/>
    <n v="4"/>
    <n v="0.75"/>
    <m/>
    <n v="1"/>
    <m/>
    <m/>
    <m/>
    <m/>
    <m/>
    <m/>
    <m/>
    <x v="4"/>
    <n v="3"/>
    <s v="L"/>
    <x v="4"/>
    <x v="0"/>
    <n v="3"/>
    <n v="0"/>
    <n v="4"/>
    <n v="0"/>
  </r>
  <r>
    <x v="1"/>
    <n v="4"/>
    <m/>
    <n v="5"/>
    <n v="0.8"/>
    <n v="2"/>
    <n v="1"/>
    <m/>
    <m/>
    <m/>
    <m/>
    <n v="1"/>
    <m/>
    <m/>
    <x v="4"/>
    <n v="3"/>
    <s v="L"/>
    <x v="4"/>
    <x v="0"/>
    <n v="4"/>
    <n v="0"/>
    <n v="5"/>
    <n v="0"/>
  </r>
  <r>
    <x v="2"/>
    <n v="1"/>
    <m/>
    <n v="1"/>
    <n v="1"/>
    <n v="6"/>
    <m/>
    <m/>
    <m/>
    <m/>
    <m/>
    <m/>
    <n v="1"/>
    <n v="1"/>
    <x v="4"/>
    <n v="3"/>
    <s v="L"/>
    <x v="4"/>
    <x v="0"/>
    <n v="1"/>
    <n v="0"/>
    <n v="1"/>
    <n v="0"/>
  </r>
  <r>
    <x v="3"/>
    <m/>
    <m/>
    <m/>
    <s v=""/>
    <m/>
    <m/>
    <m/>
    <m/>
    <m/>
    <m/>
    <m/>
    <m/>
    <m/>
    <x v="4"/>
    <n v="3"/>
    <s v="L"/>
    <x v="4"/>
    <x v="0"/>
    <n v="0"/>
    <n v="0"/>
    <n v="0"/>
    <n v="0"/>
  </r>
  <r>
    <x v="4"/>
    <m/>
    <m/>
    <m/>
    <s v=""/>
    <m/>
    <m/>
    <m/>
    <m/>
    <m/>
    <m/>
    <m/>
    <m/>
    <m/>
    <x v="4"/>
    <n v="3"/>
    <s v="L"/>
    <x v="4"/>
    <x v="0"/>
    <n v="0"/>
    <n v="0"/>
    <n v="0"/>
    <n v="0"/>
  </r>
  <r>
    <x v="5"/>
    <n v="6"/>
    <m/>
    <n v="7"/>
    <n v="0.8571428571428571"/>
    <n v="1"/>
    <m/>
    <m/>
    <m/>
    <m/>
    <m/>
    <n v="3"/>
    <m/>
    <m/>
    <x v="4"/>
    <n v="3"/>
    <s v="L"/>
    <x v="4"/>
    <x v="0"/>
    <n v="6"/>
    <n v="0"/>
    <n v="7"/>
    <n v="0"/>
  </r>
  <r>
    <x v="6"/>
    <n v="4"/>
    <m/>
    <n v="4"/>
    <n v="1"/>
    <n v="3"/>
    <m/>
    <m/>
    <m/>
    <m/>
    <m/>
    <n v="1"/>
    <m/>
    <m/>
    <x v="4"/>
    <n v="3"/>
    <s v="L"/>
    <x v="4"/>
    <x v="0"/>
    <n v="4"/>
    <n v="0"/>
    <n v="4"/>
    <n v="0"/>
  </r>
  <r>
    <x v="7"/>
    <n v="1"/>
    <m/>
    <n v="2"/>
    <n v="0.5"/>
    <n v="1"/>
    <m/>
    <m/>
    <m/>
    <m/>
    <m/>
    <m/>
    <m/>
    <n v="1"/>
    <x v="4"/>
    <n v="3"/>
    <s v="L"/>
    <x v="4"/>
    <x v="0"/>
    <n v="1"/>
    <n v="0"/>
    <n v="2"/>
    <n v="0"/>
  </r>
  <r>
    <x v="8"/>
    <n v="6"/>
    <m/>
    <n v="7"/>
    <n v="0.8571428571428571"/>
    <n v="3"/>
    <m/>
    <n v="1"/>
    <m/>
    <m/>
    <m/>
    <n v="4"/>
    <n v="1"/>
    <m/>
    <x v="4"/>
    <n v="3"/>
    <s v="L"/>
    <x v="4"/>
    <x v="0"/>
    <n v="6"/>
    <n v="0"/>
    <n v="7"/>
    <n v="0"/>
  </r>
  <r>
    <x v="9"/>
    <n v="0"/>
    <m/>
    <n v="1"/>
    <n v="0"/>
    <m/>
    <n v="1"/>
    <n v="1"/>
    <m/>
    <m/>
    <m/>
    <m/>
    <m/>
    <m/>
    <x v="4"/>
    <n v="3"/>
    <s v="L"/>
    <x v="4"/>
    <x v="0"/>
    <n v="0"/>
    <n v="0"/>
    <n v="1"/>
    <n v="0"/>
  </r>
  <r>
    <x v="10"/>
    <n v="3"/>
    <m/>
    <n v="6"/>
    <n v="0.5"/>
    <n v="3"/>
    <m/>
    <n v="1"/>
    <m/>
    <n v="1"/>
    <m/>
    <n v="1"/>
    <m/>
    <n v="1"/>
    <x v="4"/>
    <n v="3"/>
    <s v="L"/>
    <x v="4"/>
    <x v="0"/>
    <n v="3"/>
    <n v="0"/>
    <n v="6"/>
    <n v="0"/>
  </r>
  <r>
    <x v="11"/>
    <n v="6"/>
    <m/>
    <n v="6"/>
    <n v="1"/>
    <n v="1"/>
    <m/>
    <m/>
    <m/>
    <n v="1"/>
    <m/>
    <n v="1"/>
    <m/>
    <n v="1"/>
    <x v="4"/>
    <n v="3"/>
    <s v="L"/>
    <x v="4"/>
    <x v="0"/>
    <n v="6"/>
    <n v="0"/>
    <n v="6"/>
    <n v="0"/>
  </r>
  <r>
    <x v="12"/>
    <n v="14"/>
    <m/>
    <n v="17"/>
    <n v="0.82352941176470584"/>
    <n v="4"/>
    <m/>
    <n v="1"/>
    <m/>
    <m/>
    <m/>
    <n v="9"/>
    <m/>
    <m/>
    <x v="4"/>
    <n v="3"/>
    <s v="L"/>
    <x v="4"/>
    <x v="0"/>
    <n v="14"/>
    <n v="0"/>
    <n v="17"/>
    <n v="0"/>
  </r>
  <r>
    <x v="13"/>
    <m/>
    <m/>
    <m/>
    <s v=""/>
    <m/>
    <n v="1"/>
    <m/>
    <m/>
    <m/>
    <m/>
    <m/>
    <m/>
    <m/>
    <x v="4"/>
    <n v="3"/>
    <s v="L"/>
    <x v="4"/>
    <x v="0"/>
    <n v="0"/>
    <n v="0"/>
    <n v="0"/>
    <n v="0"/>
  </r>
  <r>
    <x v="14"/>
    <m/>
    <m/>
    <m/>
    <s v=""/>
    <m/>
    <m/>
    <m/>
    <m/>
    <m/>
    <m/>
    <m/>
    <m/>
    <m/>
    <x v="4"/>
    <n v="3"/>
    <s v="L"/>
    <x v="4"/>
    <x v="1"/>
    <n v="0"/>
    <n v="0"/>
    <n v="0"/>
    <n v="0"/>
  </r>
  <r>
    <x v="15"/>
    <n v="7"/>
    <n v="7"/>
    <n v="22"/>
    <n v="0.31818181818181818"/>
    <n v="1"/>
    <m/>
    <m/>
    <m/>
    <m/>
    <m/>
    <m/>
    <m/>
    <m/>
    <x v="4"/>
    <n v="3"/>
    <s v="L"/>
    <x v="4"/>
    <x v="1"/>
    <n v="0"/>
    <n v="15"/>
    <n v="0"/>
    <n v="22"/>
  </r>
  <r>
    <x v="16"/>
    <n v="7"/>
    <n v="7"/>
    <n v="16"/>
    <n v="0.4375"/>
    <m/>
    <m/>
    <m/>
    <m/>
    <m/>
    <m/>
    <m/>
    <m/>
    <m/>
    <x v="4"/>
    <n v="3"/>
    <s v="L"/>
    <x v="4"/>
    <x v="1"/>
    <n v="0"/>
    <n v="9"/>
    <n v="0"/>
    <n v="16"/>
  </r>
  <r>
    <x v="17"/>
    <n v="0"/>
    <m/>
    <n v="3"/>
    <n v="0"/>
    <m/>
    <m/>
    <n v="1"/>
    <m/>
    <m/>
    <m/>
    <m/>
    <m/>
    <m/>
    <x v="4"/>
    <n v="3"/>
    <s v="L"/>
    <x v="4"/>
    <x v="0"/>
    <n v="0"/>
    <n v="0"/>
    <n v="3"/>
    <n v="0"/>
  </r>
  <r>
    <x v="18"/>
    <n v="2"/>
    <m/>
    <n v="3"/>
    <n v="0.66666666666666663"/>
    <m/>
    <m/>
    <m/>
    <m/>
    <m/>
    <m/>
    <m/>
    <m/>
    <m/>
    <x v="4"/>
    <n v="3"/>
    <s v="L"/>
    <x v="4"/>
    <x v="0"/>
    <n v="2"/>
    <n v="0"/>
    <n v="3"/>
    <n v="0"/>
  </r>
  <r>
    <x v="0"/>
    <n v="4"/>
    <m/>
    <n v="5"/>
    <n v="0.8"/>
    <n v="4"/>
    <m/>
    <n v="1"/>
    <m/>
    <m/>
    <m/>
    <m/>
    <m/>
    <m/>
    <x v="5"/>
    <n v="3"/>
    <s v="L"/>
    <x v="5"/>
    <x v="0"/>
    <n v="4"/>
    <n v="0"/>
    <n v="5"/>
    <n v="0"/>
  </r>
  <r>
    <x v="1"/>
    <m/>
    <m/>
    <m/>
    <s v=""/>
    <m/>
    <m/>
    <m/>
    <m/>
    <m/>
    <m/>
    <m/>
    <m/>
    <m/>
    <x v="5"/>
    <n v="3"/>
    <s v="L"/>
    <x v="5"/>
    <x v="0"/>
    <n v="0"/>
    <n v="0"/>
    <n v="0"/>
    <n v="0"/>
  </r>
  <r>
    <x v="2"/>
    <n v="2"/>
    <m/>
    <n v="2"/>
    <n v="1"/>
    <n v="8"/>
    <m/>
    <n v="1"/>
    <m/>
    <m/>
    <m/>
    <n v="1"/>
    <m/>
    <m/>
    <x v="5"/>
    <n v="3"/>
    <s v="L"/>
    <x v="5"/>
    <x v="0"/>
    <n v="2"/>
    <n v="0"/>
    <n v="2"/>
    <n v="0"/>
  </r>
  <r>
    <x v="3"/>
    <m/>
    <m/>
    <m/>
    <s v=""/>
    <m/>
    <m/>
    <m/>
    <m/>
    <m/>
    <m/>
    <m/>
    <m/>
    <m/>
    <x v="5"/>
    <n v="3"/>
    <s v="L"/>
    <x v="5"/>
    <x v="0"/>
    <n v="0"/>
    <n v="0"/>
    <n v="0"/>
    <n v="0"/>
  </r>
  <r>
    <x v="4"/>
    <n v="2"/>
    <m/>
    <n v="2"/>
    <n v="1"/>
    <m/>
    <m/>
    <m/>
    <m/>
    <m/>
    <m/>
    <m/>
    <m/>
    <m/>
    <x v="5"/>
    <n v="3"/>
    <s v="L"/>
    <x v="5"/>
    <x v="0"/>
    <n v="2"/>
    <n v="0"/>
    <n v="2"/>
    <n v="0"/>
  </r>
  <r>
    <x v="5"/>
    <n v="6"/>
    <m/>
    <n v="7"/>
    <n v="0.8571428571428571"/>
    <m/>
    <m/>
    <n v="1"/>
    <m/>
    <n v="1"/>
    <n v="1"/>
    <n v="1"/>
    <m/>
    <n v="1"/>
    <x v="5"/>
    <n v="3"/>
    <s v="L"/>
    <x v="5"/>
    <x v="0"/>
    <n v="6"/>
    <n v="0"/>
    <n v="7"/>
    <n v="0"/>
  </r>
  <r>
    <x v="6"/>
    <n v="2"/>
    <m/>
    <n v="2"/>
    <n v="1"/>
    <n v="2"/>
    <m/>
    <n v="1"/>
    <m/>
    <m/>
    <m/>
    <m/>
    <m/>
    <m/>
    <x v="5"/>
    <n v="3"/>
    <s v="L"/>
    <x v="5"/>
    <x v="0"/>
    <n v="2"/>
    <n v="0"/>
    <n v="2"/>
    <n v="0"/>
  </r>
  <r>
    <x v="7"/>
    <n v="3"/>
    <m/>
    <n v="3"/>
    <n v="1"/>
    <m/>
    <m/>
    <m/>
    <m/>
    <m/>
    <m/>
    <n v="1"/>
    <m/>
    <m/>
    <x v="5"/>
    <n v="3"/>
    <s v="L"/>
    <x v="5"/>
    <x v="0"/>
    <n v="3"/>
    <n v="0"/>
    <n v="3"/>
    <n v="0"/>
  </r>
  <r>
    <x v="8"/>
    <n v="2"/>
    <m/>
    <n v="2"/>
    <n v="1"/>
    <n v="2"/>
    <m/>
    <m/>
    <m/>
    <m/>
    <m/>
    <n v="1"/>
    <m/>
    <m/>
    <x v="5"/>
    <n v="3"/>
    <s v="L"/>
    <x v="5"/>
    <x v="0"/>
    <n v="2"/>
    <n v="0"/>
    <n v="2"/>
    <n v="0"/>
  </r>
  <r>
    <x v="9"/>
    <n v="5"/>
    <m/>
    <n v="7"/>
    <n v="0.7142857142857143"/>
    <m/>
    <n v="1"/>
    <n v="1"/>
    <m/>
    <m/>
    <m/>
    <n v="2"/>
    <m/>
    <m/>
    <x v="5"/>
    <n v="3"/>
    <s v="L"/>
    <x v="5"/>
    <x v="0"/>
    <n v="5"/>
    <n v="0"/>
    <n v="7"/>
    <n v="0"/>
  </r>
  <r>
    <x v="10"/>
    <n v="3"/>
    <m/>
    <n v="3"/>
    <n v="1"/>
    <n v="3"/>
    <n v="1"/>
    <n v="2"/>
    <m/>
    <n v="1"/>
    <m/>
    <m/>
    <m/>
    <m/>
    <x v="5"/>
    <n v="3"/>
    <s v="L"/>
    <x v="5"/>
    <x v="0"/>
    <n v="3"/>
    <n v="0"/>
    <n v="3"/>
    <n v="0"/>
  </r>
  <r>
    <x v="11"/>
    <n v="4"/>
    <m/>
    <n v="4"/>
    <n v="1"/>
    <n v="1"/>
    <m/>
    <m/>
    <m/>
    <m/>
    <m/>
    <n v="1"/>
    <m/>
    <m/>
    <x v="5"/>
    <n v="3"/>
    <s v="L"/>
    <x v="5"/>
    <x v="0"/>
    <n v="4"/>
    <n v="0"/>
    <n v="4"/>
    <n v="0"/>
  </r>
  <r>
    <x v="12"/>
    <n v="8"/>
    <m/>
    <n v="8"/>
    <n v="1"/>
    <n v="2"/>
    <m/>
    <m/>
    <m/>
    <m/>
    <m/>
    <n v="7"/>
    <m/>
    <m/>
    <x v="5"/>
    <n v="3"/>
    <s v="L"/>
    <x v="5"/>
    <x v="0"/>
    <n v="8"/>
    <n v="0"/>
    <n v="8"/>
    <n v="0"/>
  </r>
  <r>
    <x v="13"/>
    <n v="1"/>
    <m/>
    <n v="1"/>
    <n v="1"/>
    <n v="1"/>
    <m/>
    <m/>
    <m/>
    <m/>
    <m/>
    <m/>
    <m/>
    <m/>
    <x v="5"/>
    <n v="3"/>
    <s v="L"/>
    <x v="5"/>
    <x v="0"/>
    <n v="1"/>
    <n v="0"/>
    <n v="1"/>
    <n v="0"/>
  </r>
  <r>
    <x v="14"/>
    <m/>
    <m/>
    <m/>
    <s v=""/>
    <m/>
    <m/>
    <m/>
    <m/>
    <m/>
    <m/>
    <m/>
    <m/>
    <m/>
    <x v="5"/>
    <n v="3"/>
    <s v="L"/>
    <x v="5"/>
    <x v="1"/>
    <n v="0"/>
    <n v="0"/>
    <n v="0"/>
    <n v="0"/>
  </r>
  <r>
    <x v="15"/>
    <n v="0"/>
    <n v="0"/>
    <n v="5"/>
    <n v="0"/>
    <m/>
    <m/>
    <m/>
    <m/>
    <m/>
    <m/>
    <m/>
    <m/>
    <m/>
    <x v="5"/>
    <n v="3"/>
    <s v="L"/>
    <x v="5"/>
    <x v="1"/>
    <n v="0"/>
    <n v="5"/>
    <n v="0"/>
    <n v="5"/>
  </r>
  <r>
    <x v="16"/>
    <n v="6"/>
    <n v="6"/>
    <n v="16"/>
    <n v="0.375"/>
    <n v="1"/>
    <m/>
    <m/>
    <m/>
    <m/>
    <m/>
    <m/>
    <m/>
    <m/>
    <x v="5"/>
    <n v="3"/>
    <s v="L"/>
    <x v="5"/>
    <x v="1"/>
    <n v="0"/>
    <n v="10"/>
    <n v="0"/>
    <n v="16"/>
  </r>
  <r>
    <x v="17"/>
    <m/>
    <m/>
    <m/>
    <s v=""/>
    <m/>
    <m/>
    <m/>
    <m/>
    <m/>
    <m/>
    <m/>
    <m/>
    <m/>
    <x v="5"/>
    <n v="3"/>
    <s v="L"/>
    <x v="5"/>
    <x v="0"/>
    <n v="0"/>
    <n v="0"/>
    <n v="0"/>
    <n v="0"/>
  </r>
  <r>
    <x v="18"/>
    <m/>
    <m/>
    <m/>
    <s v=""/>
    <m/>
    <m/>
    <m/>
    <m/>
    <m/>
    <m/>
    <m/>
    <m/>
    <m/>
    <x v="5"/>
    <n v="3"/>
    <s v="L"/>
    <x v="5"/>
    <x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342B6-9E1E-44DA-89EA-2E568B4535B1}" name="TablaDinámica7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showHeaders="0" outline="1" outlineData="1" multipleFieldFilters="0" chartFormat="49">
  <location ref="AJ4:AM5" firstHeaderRow="0" firstDataRow="1" firstDataCol="0"/>
  <pivotFields count="39">
    <pivotField multipleItemSelectionAllowed="1" showAll="0">
      <items count="22">
        <item h="1" x="14"/>
        <item x="2"/>
        <item h="1" x="13"/>
        <item h="1" x="0"/>
        <item h="1" x="1"/>
        <item h="1" x="7"/>
        <item h="1" x="17"/>
        <item h="1" x="16"/>
        <item h="1" x="9"/>
        <item h="1" x="8"/>
        <item h="1" x="4"/>
        <item h="1" x="15"/>
        <item h="1" x="12"/>
        <item h="1" x="3"/>
        <item h="1" x="10"/>
        <item h="1" x="6"/>
        <item h="1" x="18"/>
        <item h="1" m="1" x="20"/>
        <item h="1" x="5"/>
        <item h="1" x="11"/>
        <item h="1" m="1" x="19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43">
        <item m="1" x="39"/>
        <item m="1" x="34"/>
        <item m="1" x="37"/>
        <item m="1" x="33"/>
        <item m="1" x="26"/>
        <item m="1" x="32"/>
        <item m="1" x="25"/>
        <item m="1" x="13"/>
        <item x="3"/>
        <item x="2"/>
        <item m="1" x="29"/>
        <item m="1" x="8"/>
        <item m="1" x="40"/>
        <item m="1" x="7"/>
        <item m="1" x="10"/>
        <item x="4"/>
        <item m="1" x="30"/>
        <item m="1" x="41"/>
        <item m="1" x="31"/>
        <item m="1" x="38"/>
        <item x="0"/>
        <item m="1" x="17"/>
        <item m="1" x="11"/>
        <item m="1" x="24"/>
        <item m="1" x="19"/>
        <item m="1" x="35"/>
        <item m="1" x="27"/>
        <item m="1" x="22"/>
        <item m="1" x="16"/>
        <item m="1" x="9"/>
        <item m="1" x="36"/>
        <item m="1" x="28"/>
        <item m="1" x="23"/>
        <item m="1" x="18"/>
        <item m="1" x="21"/>
        <item m="1" x="12"/>
        <item x="5"/>
        <item x="1"/>
        <item m="1" x="15"/>
        <item m="1" x="14"/>
        <item m="1" x="20"/>
        <item m="1" x="6"/>
        <item t="default"/>
      </items>
    </pivotField>
    <pivotField showAll="0">
      <items count="6">
        <item m="1" x="3"/>
        <item x="0"/>
        <item m="1" x="4"/>
        <item x="1"/>
        <item m="1" x="2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Exclusión" fld="6" baseField="0" baseItem="0"/>
    <dataField name="Suma de Pase" fld="7" baseField="0" baseItem="0"/>
    <dataField name="Suma de Área" fld="8" baseField="0" baseItem="0"/>
    <dataField name="Suma de Otro" fld="10" baseField="0" baseItem="0"/>
  </dataFields>
  <chartFormats count="12">
    <chartFormat chart="42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6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" format="3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6" format="4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2" format="3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8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4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4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8" format="4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A82AB-9077-418F-ADAD-1AEF2A80657C}" name="TablaDinámica11" cacheId="6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showHeaders="0" outline="1" outlineData="1" multipleFieldFilters="0" chartFormat="42">
  <location ref="Q3:U16" firstHeaderRow="0" firstDataRow="1" firstDataCol="1"/>
  <pivotFields count="39">
    <pivotField multipleItemSelectionAllowed="1" showAll="0">
      <items count="22">
        <item h="1" x="14"/>
        <item x="2"/>
        <item h="1" x="13"/>
        <item h="1" x="0"/>
        <item h="1" x="1"/>
        <item h="1" x="7"/>
        <item h="1" x="17"/>
        <item h="1" x="16"/>
        <item h="1" x="9"/>
        <item h="1" x="8"/>
        <item h="1" x="4"/>
        <item h="1" x="15"/>
        <item h="1" x="12"/>
        <item h="1" x="3"/>
        <item h="1" x="10"/>
        <item h="1" x="6"/>
        <item h="1" x="18"/>
        <item h="1" m="1" x="20"/>
        <item h="1" x="5"/>
        <item h="1" x="11"/>
        <item h="1" m="1" x="1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Row" showAll="0" sortType="ascending">
      <items count="13">
        <item x="2"/>
        <item m="1" x="9"/>
        <item x="0"/>
        <item x="1"/>
        <item x="4"/>
        <item x="3"/>
        <item x="5"/>
        <item m="1" x="8"/>
        <item m="1" x="10"/>
        <item m="1" x="11"/>
        <item m="1" x="6"/>
        <item m="1" x="7"/>
        <item t="default"/>
      </items>
    </pivotField>
    <pivotField showAll="0"/>
    <pivotField showAll="0"/>
    <pivotField axis="axisRow" showAll="0">
      <items count="43">
        <item m="1" x="33"/>
        <item m="1" x="25"/>
        <item m="1" x="29"/>
        <item m="1" x="10"/>
        <item m="1" x="30"/>
        <item m="1" x="38"/>
        <item m="1" x="17"/>
        <item m="1" x="21"/>
        <item m="1" x="12"/>
        <item m="1" x="13"/>
        <item m="1" x="15"/>
        <item m="1" x="11"/>
        <item m="1" x="39"/>
        <item m="1" x="35"/>
        <item m="1" x="6"/>
        <item m="1" x="27"/>
        <item m="1" x="22"/>
        <item m="1" x="16"/>
        <item m="1" x="9"/>
        <item m="1" x="36"/>
        <item m="1" x="28"/>
        <item m="1" x="23"/>
        <item m="1" x="18"/>
        <item m="1" x="14"/>
        <item m="1" x="19"/>
        <item m="1" x="34"/>
        <item m="1" x="7"/>
        <item m="1" x="41"/>
        <item m="1" x="20"/>
        <item m="1" x="24"/>
        <item m="1" x="37"/>
        <item m="1" x="40"/>
        <item m="1" x="31"/>
        <item m="1" x="8"/>
        <item m="1" x="26"/>
        <item m="1" x="32"/>
        <item x="0"/>
        <item x="1"/>
        <item x="2"/>
        <item x="3"/>
        <item x="4"/>
        <item x="5"/>
        <item t="default"/>
      </items>
    </pivotField>
    <pivotField showAll="0">
      <items count="6">
        <item m="1" x="3"/>
        <item x="0"/>
        <item m="1" x="4"/>
        <item x="1"/>
        <item m="1" x="2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4"/>
    <field x="17"/>
  </rowFields>
  <rowItems count="13">
    <i>
      <x/>
    </i>
    <i r="1">
      <x v="38"/>
    </i>
    <i>
      <x v="2"/>
    </i>
    <i r="1">
      <x v="36"/>
    </i>
    <i>
      <x v="3"/>
    </i>
    <i r="1">
      <x v="37"/>
    </i>
    <i>
      <x v="4"/>
    </i>
    <i r="1">
      <x v="40"/>
    </i>
    <i>
      <x v="5"/>
    </i>
    <i r="1">
      <x v="39"/>
    </i>
    <i>
      <x v="6"/>
    </i>
    <i r="1">
      <x v="4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sistencias" fld="5" baseField="0" baseItem="0"/>
    <dataField name="Penaltis provocados" fld="13" baseField="0" baseItem="0"/>
    <dataField name="Exclusiones provocadas" fld="12" baseField="0" baseItem="0"/>
    <dataField name="Recuperaciones" fld="11" baseField="0" baseItem="0"/>
  </dataFields>
  <chartFormats count="28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5CC92-EC25-4D6E-920F-6A90BE957D5C}" name="TablaDinámica2" cacheId="6" applyNumberFormats="0" applyBorderFormats="0" applyFontFormats="0" applyPatternFormats="0" applyAlignmentFormats="0" applyWidthHeightFormats="1" dataCaption="Valores" updatedVersion="6" minRefreshableVersion="3" showDrill="0" useAutoFormatting="1" itemPrintTitles="1" createdVersion="8" indent="0" showHeaders="0" outline="1" outlineData="1" chartFormat="35">
  <location ref="C3:E16" firstHeaderRow="0" firstDataRow="1" firstDataCol="1"/>
  <pivotFields count="39">
    <pivotField multipleItemSelectionAllowed="1" showAll="0">
      <items count="22">
        <item h="1" x="14"/>
        <item x="2"/>
        <item h="1" x="13"/>
        <item h="1" x="0"/>
        <item h="1" x="1"/>
        <item h="1" x="7"/>
        <item h="1" x="17"/>
        <item h="1" x="16"/>
        <item h="1" x="9"/>
        <item h="1" x="8"/>
        <item h="1" x="4"/>
        <item h="1" x="15"/>
        <item h="1" x="12"/>
        <item h="1" x="3"/>
        <item h="1" x="10"/>
        <item h="1" x="6"/>
        <item h="1" x="18"/>
        <item h="1" m="1" x="20"/>
        <item h="1" x="5"/>
        <item h="1" x="11"/>
        <item h="1" m="1" x="19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3">
        <item x="2"/>
        <item m="1" x="9"/>
        <item x="0"/>
        <item x="1"/>
        <item x="4"/>
        <item x="3"/>
        <item x="5"/>
        <item m="1" x="8"/>
        <item m="1" x="10"/>
        <item m="1" x="11"/>
        <item m="1" x="6"/>
        <item m="1" x="7"/>
        <item t="default"/>
      </items>
    </pivotField>
    <pivotField showAll="0"/>
    <pivotField showAll="0"/>
    <pivotField axis="axisRow" showAll="0">
      <items count="43">
        <item m="1" x="33"/>
        <item m="1" x="25"/>
        <item m="1" x="29"/>
        <item m="1" x="10"/>
        <item m="1" x="30"/>
        <item m="1" x="38"/>
        <item m="1" x="17"/>
        <item m="1" x="21"/>
        <item m="1" x="12"/>
        <item m="1" x="13"/>
        <item m="1" x="15"/>
        <item m="1" x="11"/>
        <item m="1" x="39"/>
        <item m="1" x="35"/>
        <item m="1" x="6"/>
        <item m="1" x="27"/>
        <item m="1" x="22"/>
        <item m="1" x="16"/>
        <item m="1" x="9"/>
        <item m="1" x="36"/>
        <item m="1" x="28"/>
        <item m="1" x="23"/>
        <item m="1" x="18"/>
        <item m="1" x="14"/>
        <item m="1" x="19"/>
        <item m="1" x="34"/>
        <item m="1" x="7"/>
        <item m="1" x="41"/>
        <item m="1" x="20"/>
        <item m="1" x="24"/>
        <item m="1" x="37"/>
        <item m="1" x="40"/>
        <item m="1" x="31"/>
        <item m="1" x="8"/>
        <item m="1" x="26"/>
        <item m="1" x="32"/>
        <item x="0"/>
        <item x="1"/>
        <item x="2"/>
        <item x="3"/>
        <item x="4"/>
        <item x="5"/>
        <item t="default"/>
      </items>
    </pivotField>
    <pivotField showAll="0">
      <items count="6">
        <item m="1" x="3"/>
        <item x="0"/>
        <item m="1" x="4"/>
        <item x="1"/>
        <item m="1" x="2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4"/>
    <field x="17"/>
  </rowFields>
  <rowItems count="13">
    <i>
      <x/>
    </i>
    <i r="1">
      <x v="38"/>
    </i>
    <i>
      <x v="2"/>
    </i>
    <i r="1">
      <x v="36"/>
    </i>
    <i>
      <x v="3"/>
    </i>
    <i r="1">
      <x v="37"/>
    </i>
    <i>
      <x v="4"/>
    </i>
    <i r="1">
      <x v="40"/>
    </i>
    <i>
      <x v="5"/>
    </i>
    <i r="1">
      <x v="39"/>
    </i>
    <i>
      <x v="6"/>
    </i>
    <i r="1">
      <x v="4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Goles" fld="1" baseField="0" baseItem="0"/>
    <dataField name="Suma de Lanzam." fld="3" baseField="0" baseItem="0"/>
  </dataFields>
  <chartFormats count="10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88F34-F112-43C4-9D1E-E5B24472C125}" name="TablaDinámica4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30">
  <location ref="G3:H10" firstHeaderRow="1" firstDataRow="1" firstDataCol="1"/>
  <pivotFields count="39">
    <pivotField showAll="0">
      <items count="22">
        <item h="1" x="14"/>
        <item x="2"/>
        <item h="1" x="13"/>
        <item h="1" x="0"/>
        <item h="1" x="1"/>
        <item h="1" x="7"/>
        <item h="1" x="17"/>
        <item h="1" x="16"/>
        <item h="1" x="9"/>
        <item h="1" x="8"/>
        <item h="1" x="4"/>
        <item h="1" x="15"/>
        <item h="1" x="12"/>
        <item h="1" x="3"/>
        <item h="1" x="10"/>
        <item h="1" x="6"/>
        <item h="1" x="18"/>
        <item h="1" m="1" x="20"/>
        <item h="1" x="5"/>
        <item h="1" x="11"/>
        <item h="1" m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3">
        <item x="2"/>
        <item m="1" x="9"/>
        <item x="0"/>
        <item x="1"/>
        <item x="4"/>
        <item x="3"/>
        <item x="5"/>
        <item m="1" x="8"/>
        <item m="1" x="10"/>
        <item m="1" x="11"/>
        <item m="1" x="6"/>
        <item m="1" x="7"/>
        <item t="default"/>
      </items>
    </pivotField>
    <pivotField showAll="0"/>
    <pivotField showAll="0"/>
    <pivotField showAll="0">
      <items count="43">
        <item m="1" x="39"/>
        <item m="1" x="34"/>
        <item m="1" x="37"/>
        <item m="1" x="33"/>
        <item m="1" x="26"/>
        <item m="1" x="32"/>
        <item m="1" x="25"/>
        <item m="1" x="13"/>
        <item x="3"/>
        <item x="2"/>
        <item m="1" x="29"/>
        <item m="1" x="8"/>
        <item m="1" x="40"/>
        <item m="1" x="7"/>
        <item m="1" x="10"/>
        <item x="4"/>
        <item m="1" x="30"/>
        <item m="1" x="41"/>
        <item m="1" x="31"/>
        <item m="1" x="38"/>
        <item x="0"/>
        <item m="1" x="17"/>
        <item m="1" x="11"/>
        <item m="1" x="24"/>
        <item m="1" x="19"/>
        <item m="1" x="35"/>
        <item m="1" x="27"/>
        <item m="1" x="22"/>
        <item m="1" x="16"/>
        <item m="1" x="9"/>
        <item m="1" x="36"/>
        <item m="1" x="28"/>
        <item m="1" x="23"/>
        <item m="1" x="18"/>
        <item m="1" x="21"/>
        <item m="1" x="12"/>
        <item x="5"/>
        <item x="1"/>
        <item m="1" x="15"/>
        <item m="1" x="14"/>
        <item m="1" x="20"/>
        <item m="1" x="6"/>
        <item t="default"/>
      </items>
    </pivotField>
    <pivotField showAll="0">
      <items count="6">
        <item m="1" x="3"/>
        <item x="0"/>
        <item m="1" x="4"/>
        <item x="1"/>
        <item m="1" x="2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4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ampo1" fld="24" baseField="0" baseItem="0"/>
  </dataFields>
  <formats count="2">
    <format dxfId="20">
      <pivotArea collapsedLevelsAreSubtotals="1" fieldPosition="0">
        <references count="1">
          <reference field="14" count="0"/>
        </references>
      </pivotArea>
    </format>
    <format dxfId="19">
      <pivotArea grandRow="1" outline="0" collapsedLevelsAreSubtotals="1" fieldPosition="0"/>
    </format>
  </formats>
  <chartFormats count="20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2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2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A9C50-3E77-4ECD-B13E-7CE0581F7293}" name="TablaDinámica6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27">
  <location ref="AC3:AC4" firstHeaderRow="1" firstDataRow="1" firstDataCol="0"/>
  <pivotFields count="39">
    <pivotField showAll="0">
      <items count="22">
        <item h="1" x="14"/>
        <item x="2"/>
        <item h="1" x="13"/>
        <item h="1" x="0"/>
        <item h="1" x="1"/>
        <item h="1" x="7"/>
        <item h="1" x="17"/>
        <item h="1" x="16"/>
        <item h="1" x="9"/>
        <item h="1" x="8"/>
        <item h="1" x="4"/>
        <item h="1" x="15"/>
        <item h="1" x="12"/>
        <item h="1" x="3"/>
        <item h="1" x="10"/>
        <item h="1" x="6"/>
        <item h="1" x="18"/>
        <item h="1" m="1" x="20"/>
        <item h="1" x="5"/>
        <item h="1" x="11"/>
        <item h="1" m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3">
        <item m="1" x="39"/>
        <item m="1" x="34"/>
        <item m="1" x="37"/>
        <item m="1" x="33"/>
        <item m="1" x="26"/>
        <item m="1" x="32"/>
        <item m="1" x="25"/>
        <item m="1" x="13"/>
        <item x="3"/>
        <item x="2"/>
        <item m="1" x="29"/>
        <item m="1" x="8"/>
        <item m="1" x="40"/>
        <item m="1" x="7"/>
        <item m="1" x="10"/>
        <item x="4"/>
        <item m="1" x="30"/>
        <item m="1" x="41"/>
        <item m="1" x="31"/>
        <item m="1" x="38"/>
        <item x="0"/>
        <item m="1" x="17"/>
        <item m="1" x="11"/>
        <item m="1" x="24"/>
        <item m="1" x="19"/>
        <item m="1" x="35"/>
        <item m="1" x="27"/>
        <item m="1" x="22"/>
        <item m="1" x="16"/>
        <item m="1" x="9"/>
        <item m="1" x="36"/>
        <item m="1" x="28"/>
        <item m="1" x="23"/>
        <item m="1" x="18"/>
        <item m="1" x="21"/>
        <item m="1" x="12"/>
        <item x="5"/>
        <item x="1"/>
        <item m="1" x="15"/>
        <item m="1" x="14"/>
        <item m="1" x="20"/>
        <item m="1" x="6"/>
        <item t="default"/>
      </items>
    </pivotField>
    <pivotField showAll="0">
      <items count="6">
        <item m="1" x="3"/>
        <item x="0"/>
        <item m="1" x="4"/>
        <item x="1"/>
        <item m="1" x="2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Campo1" fld="24" baseField="0" baseItem="0"/>
  </dataFields>
  <formats count="1">
    <format dxfId="21">
      <pivotArea grandRow="1" outline="0" collapsedLevelsAreSubtotals="1" fieldPosition="0"/>
    </format>
  </formats>
  <chartFormats count="5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DFD87-FC76-4DFA-AA48-49EF1780DCFF}" name="TablaDinámica8" cacheId="6" applyNumberFormats="0" applyBorderFormats="0" applyFontFormats="0" applyPatternFormats="0" applyAlignmentFormats="0" applyWidthHeightFormats="1" dataCaption="Valores" updatedVersion="6" minRefreshableVersion="3" showDrill="0" useAutoFormatting="1" itemPrintTitles="1" createdVersion="8" indent="0" showHeaders="0" outline="1" outlineData="1" multipleFieldFilters="0" chartFormat="31">
  <location ref="AO4:AO10" firstHeaderRow="0" firstDataRow="0" firstDataCol="1"/>
  <pivotFields count="39">
    <pivotField multipleItemSelectionAllowed="1" showAll="0">
      <items count="22">
        <item h="1" x="14"/>
        <item x="2"/>
        <item h="1" x="13"/>
        <item h="1" x="0"/>
        <item h="1" x="1"/>
        <item h="1" x="7"/>
        <item h="1" x="17"/>
        <item h="1" x="16"/>
        <item h="1" x="9"/>
        <item h="1" x="8"/>
        <item h="1" x="4"/>
        <item h="1" x="15"/>
        <item h="1" x="12"/>
        <item h="1" x="3"/>
        <item h="1" x="10"/>
        <item h="1" x="6"/>
        <item h="1" x="18"/>
        <item h="1" m="1" x="20"/>
        <item h="1" x="5"/>
        <item h="1" x="11"/>
        <item h="1" m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3">
        <item x="2"/>
        <item m="1" x="9"/>
        <item x="0"/>
        <item x="1"/>
        <item x="4"/>
        <item x="3"/>
        <item x="5"/>
        <item m="1" x="8"/>
        <item m="1" x="10"/>
        <item m="1" x="11"/>
        <item m="1" x="6"/>
        <item m="1" x="7"/>
        <item t="default"/>
      </items>
    </pivotField>
    <pivotField showAll="0"/>
    <pivotField showAll="0"/>
    <pivotField showAll="0">
      <items count="43">
        <item m="1" x="39"/>
        <item m="1" x="34"/>
        <item m="1" x="37"/>
        <item m="1" x="33"/>
        <item m="1" x="26"/>
        <item m="1" x="32"/>
        <item m="1" x="25"/>
        <item m="1" x="13"/>
        <item x="3"/>
        <item x="2"/>
        <item m="1" x="29"/>
        <item m="1" x="8"/>
        <item m="1" x="40"/>
        <item m="1" x="7"/>
        <item m="1" x="10"/>
        <item x="4"/>
        <item m="1" x="30"/>
        <item m="1" x="41"/>
        <item m="1" x="31"/>
        <item m="1" x="38"/>
        <item x="0"/>
        <item m="1" x="17"/>
        <item m="1" x="11"/>
        <item m="1" x="24"/>
        <item m="1" x="19"/>
        <item m="1" x="35"/>
        <item m="1" x="27"/>
        <item m="1" x="22"/>
        <item m="1" x="16"/>
        <item m="1" x="9"/>
        <item m="1" x="36"/>
        <item m="1" x="28"/>
        <item m="1" x="23"/>
        <item m="1" x="18"/>
        <item m="1" x="21"/>
        <item m="1" x="12"/>
        <item x="5"/>
        <item x="1"/>
        <item m="1" x="15"/>
        <item m="1" x="14"/>
        <item m="1" x="20"/>
        <item m="1" x="6"/>
        <item t="default"/>
      </items>
    </pivotField>
    <pivotField showAll="0">
      <items count="6">
        <item m="1" x="3"/>
        <item x="0"/>
        <item m="1" x="4"/>
        <item x="1"/>
        <item m="1" x="2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4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E72EF-61A6-4621-8EBC-595A5E855583}" name="TablaDinámica12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showHeaders="0" outline="1" outlineData="1" multipleFieldFilters="0" chartFormat="38">
  <location ref="W3:AA16" firstHeaderRow="0" firstDataRow="1" firstDataCol="1"/>
  <pivotFields count="39">
    <pivotField multipleItemSelectionAllowed="1" showAll="0">
      <items count="22">
        <item h="1" x="14"/>
        <item x="2"/>
        <item h="1" x="13"/>
        <item h="1" x="0"/>
        <item h="1" x="1"/>
        <item h="1" x="7"/>
        <item h="1" x="17"/>
        <item h="1" x="16"/>
        <item h="1" x="9"/>
        <item h="1" x="8"/>
        <item h="1" x="4"/>
        <item h="1" x="15"/>
        <item h="1" x="12"/>
        <item h="1" x="3"/>
        <item h="1" x="10"/>
        <item h="1" x="6"/>
        <item h="1" x="18"/>
        <item h="1" m="1" x="20"/>
        <item h="1" x="5"/>
        <item h="1" x="11"/>
        <item h="1" m="1" x="19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axis="axisRow" showAll="0" sortType="ascending">
      <items count="13">
        <item x="2"/>
        <item m="1" x="9"/>
        <item x="0"/>
        <item x="1"/>
        <item x="4"/>
        <item x="3"/>
        <item x="5"/>
        <item m="1" x="8"/>
        <item m="1" x="10"/>
        <item m="1" x="11"/>
        <item m="1" x="6"/>
        <item m="1" x="7"/>
        <item t="default"/>
      </items>
    </pivotField>
    <pivotField showAll="0"/>
    <pivotField showAll="0"/>
    <pivotField axis="axisRow" showAll="0">
      <items count="43">
        <item m="1" x="33"/>
        <item m="1" x="25"/>
        <item m="1" x="29"/>
        <item m="1" x="10"/>
        <item m="1" x="30"/>
        <item m="1" x="38"/>
        <item m="1" x="17"/>
        <item m="1" x="21"/>
        <item m="1" x="12"/>
        <item m="1" x="13"/>
        <item m="1" x="15"/>
        <item m="1" x="11"/>
        <item m="1" x="39"/>
        <item m="1" x="35"/>
        <item m="1" x="6"/>
        <item m="1" x="27"/>
        <item m="1" x="22"/>
        <item m="1" x="16"/>
        <item m="1" x="9"/>
        <item m="1" x="36"/>
        <item m="1" x="28"/>
        <item m="1" x="23"/>
        <item m="1" x="18"/>
        <item m="1" x="14"/>
        <item m="1" x="19"/>
        <item m="1" x="34"/>
        <item m="1" x="7"/>
        <item m="1" x="41"/>
        <item m="1" x="20"/>
        <item m="1" x="24"/>
        <item m="1" x="37"/>
        <item m="1" x="40"/>
        <item m="1" x="31"/>
        <item m="1" x="8"/>
        <item m="1" x="26"/>
        <item m="1" x="32"/>
        <item x="0"/>
        <item x="1"/>
        <item x="2"/>
        <item x="3"/>
        <item x="4"/>
        <item x="5"/>
        <item t="default"/>
      </items>
    </pivotField>
    <pivotField showAll="0">
      <items count="6">
        <item m="1" x="3"/>
        <item x="0"/>
        <item m="1" x="4"/>
        <item x="1"/>
        <item m="1" x="2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4"/>
    <field x="17"/>
  </rowFields>
  <rowItems count="13">
    <i>
      <x/>
    </i>
    <i r="1">
      <x v="38"/>
    </i>
    <i>
      <x v="2"/>
    </i>
    <i r="1">
      <x v="36"/>
    </i>
    <i>
      <x v="3"/>
    </i>
    <i r="1">
      <x v="37"/>
    </i>
    <i>
      <x v="4"/>
    </i>
    <i r="1">
      <x v="40"/>
    </i>
    <i>
      <x v="5"/>
    </i>
    <i r="1">
      <x v="39"/>
    </i>
    <i>
      <x v="6"/>
    </i>
    <i r="1">
      <x v="4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érdidas pase" fld="7" baseField="0" baseItem="0"/>
    <dataField name="Áreas" fld="8" baseField="0" baseItem="0"/>
    <dataField name="Perdidas otros" fld="10" baseField="0" baseItem="0"/>
    <dataField name="Exclusiones" fld="6" baseField="0" baseItem="0"/>
  </dataFields>
  <chartFormats count="20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0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7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9B419-D6BA-4E5C-A7B3-268CB8836E73}" name="TablaDinámica5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N3:N10" firstHeaderRow="1" firstDataRow="1" firstDataCol="1" rowPageCount="1" colPageCount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3">
        <item x="2"/>
        <item m="1" x="9"/>
        <item x="0"/>
        <item x="1"/>
        <item x="3"/>
        <item x="5"/>
        <item m="1" x="11"/>
        <item x="4"/>
        <item m="1" x="8"/>
        <item m="1" x="10"/>
        <item m="1" x="6"/>
        <item m="1" x="7"/>
        <item t="default"/>
      </items>
    </pivotField>
    <pivotField showAll="0"/>
    <pivotField showAll="0"/>
    <pivotField axis="axisRow" showAll="0">
      <items count="43">
        <item m="1" x="33"/>
        <item m="1" x="25"/>
        <item m="1" x="29"/>
        <item m="1" x="30"/>
        <item m="1" x="38"/>
        <item m="1" x="17"/>
        <item m="1" x="12"/>
        <item m="1" x="21"/>
        <item m="1" x="10"/>
        <item m="1" x="13"/>
        <item m="1" x="15"/>
        <item m="1" x="11"/>
        <item m="1" x="39"/>
        <item m="1" x="35"/>
        <item m="1" x="6"/>
        <item m="1" x="27"/>
        <item m="1" x="22"/>
        <item m="1" x="16"/>
        <item m="1" x="9"/>
        <item m="1" x="36"/>
        <item m="1" x="28"/>
        <item m="1" x="23"/>
        <item m="1" x="18"/>
        <item m="1" x="14"/>
        <item m="1" x="19"/>
        <item m="1" x="34"/>
        <item m="1" x="7"/>
        <item m="1" x="41"/>
        <item m="1" x="20"/>
        <item m="1" x="24"/>
        <item m="1" x="37"/>
        <item m="1" x="40"/>
        <item m="1" x="31"/>
        <item m="1" x="8"/>
        <item m="1" x="26"/>
        <item m="1" x="32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7"/>
  </rowFields>
  <rowItems count="7"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pageFields count="1">
    <pageField fld="1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378FE-5472-4B5C-BEC5-F11334AEEFB5}" name="TablaDinámica3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37">
  <location ref="J3:L5" firstHeaderRow="0" firstDataRow="1" firstDataCol="1"/>
  <pivotFields count="39">
    <pivotField axis="axisRow" showAll="0">
      <items count="22">
        <item x="2"/>
        <item h="1" x="13"/>
        <item h="1" x="0"/>
        <item h="1" x="1"/>
        <item h="1" x="16"/>
        <item h="1" x="9"/>
        <item h="1" x="14"/>
        <item h="1" x="8"/>
        <item h="1" x="4"/>
        <item h="1" x="15"/>
        <item h="1" x="12"/>
        <item h="1" x="3"/>
        <item h="1" x="10"/>
        <item h="1" x="18"/>
        <item h="1" m="1" x="20"/>
        <item h="1" x="5"/>
        <item h="1" x="11"/>
        <item h="1" x="6"/>
        <item h="1" x="7"/>
        <item h="1" x="17"/>
        <item h="1" m="1" x="19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3">
        <item m="1" x="39"/>
        <item m="1" x="34"/>
        <item m="1" x="37"/>
        <item m="1" x="33"/>
        <item m="1" x="26"/>
        <item m="1" x="32"/>
        <item m="1" x="25"/>
        <item m="1" x="13"/>
        <item x="3"/>
        <item x="2"/>
        <item m="1" x="29"/>
        <item m="1" x="8"/>
        <item m="1" x="40"/>
        <item m="1" x="7"/>
        <item m="1" x="10"/>
        <item x="4"/>
        <item m="1" x="30"/>
        <item m="1" x="41"/>
        <item m="1" x="31"/>
        <item m="1" x="38"/>
        <item x="0"/>
        <item m="1" x="17"/>
        <item m="1" x="11"/>
        <item m="1" x="24"/>
        <item m="1" x="19"/>
        <item m="1" x="35"/>
        <item m="1" x="27"/>
        <item m="1" x="22"/>
        <item m="1" x="16"/>
        <item m="1" x="9"/>
        <item m="1" x="36"/>
        <item m="1" x="28"/>
        <item m="1" x="23"/>
        <item m="1" x="18"/>
        <item m="1" x="21"/>
        <item m="1" x="12"/>
        <item x="5"/>
        <item x="1"/>
        <item m="1" x="15"/>
        <item m="1" x="14"/>
        <item m="1" x="20"/>
        <item m="1" x="6"/>
        <item t="default"/>
      </items>
    </pivotField>
    <pivotField showAll="0">
      <items count="6">
        <item m="1" x="3"/>
        <item x="0"/>
        <item m="1" x="4"/>
        <item x="1"/>
        <item m="1" x="2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Goles" fld="1" baseField="0" baseItem="0"/>
    <dataField name="Suma de Lanzam." fld="3" baseField="0" baseItem="0"/>
  </dataFields>
  <chartFormats count="29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17" format="10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17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7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17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7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17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7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6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38BAF-3460-46DE-B9A4-AFDC8FAAE97C}" name="TablaDinámica1" cacheId="6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showHeaders="0" outline="1" outlineData="1" multipleFieldFilters="0" chartFormat="44">
  <location ref="AE4:AH5" firstHeaderRow="0" firstDataRow="1" firstDataCol="0"/>
  <pivotFields count="39">
    <pivotField multipleItemSelectionAllowed="1" showAll="0">
      <items count="22">
        <item h="1" x="14"/>
        <item x="2"/>
        <item h="1" x="13"/>
        <item h="1" x="0"/>
        <item h="1" x="1"/>
        <item h="1" x="7"/>
        <item h="1" x="17"/>
        <item h="1" x="16"/>
        <item h="1" x="9"/>
        <item h="1" x="8"/>
        <item h="1" x="4"/>
        <item h="1" x="15"/>
        <item h="1" x="12"/>
        <item h="1" x="3"/>
        <item h="1" x="10"/>
        <item h="1" x="6"/>
        <item h="1" x="18"/>
        <item h="1" m="1" x="20"/>
        <item h="1" x="5"/>
        <item h="1" x="11"/>
        <item h="1" m="1" x="1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>
      <items count="43">
        <item m="1" x="39"/>
        <item m="1" x="34"/>
        <item m="1" x="37"/>
        <item m="1" x="33"/>
        <item m="1" x="26"/>
        <item m="1" x="32"/>
        <item m="1" x="25"/>
        <item m="1" x="13"/>
        <item x="3"/>
        <item x="2"/>
        <item m="1" x="29"/>
        <item m="1" x="8"/>
        <item m="1" x="40"/>
        <item m="1" x="7"/>
        <item m="1" x="10"/>
        <item x="4"/>
        <item m="1" x="30"/>
        <item m="1" x="41"/>
        <item m="1" x="31"/>
        <item m="1" x="38"/>
        <item x="0"/>
        <item m="1" x="17"/>
        <item m="1" x="11"/>
        <item m="1" x="24"/>
        <item m="1" x="19"/>
        <item m="1" x="35"/>
        <item m="1" x="27"/>
        <item m="1" x="22"/>
        <item m="1" x="16"/>
        <item m="1" x="9"/>
        <item m="1" x="36"/>
        <item m="1" x="28"/>
        <item m="1" x="23"/>
        <item m="1" x="18"/>
        <item m="1" x="21"/>
        <item m="1" x="12"/>
        <item x="5"/>
        <item x="1"/>
        <item m="1" x="15"/>
        <item m="1" x="14"/>
        <item m="1" x="20"/>
        <item m="1" x="6"/>
        <item t="default"/>
      </items>
    </pivotField>
    <pivotField showAll="0">
      <items count="6">
        <item m="1" x="3"/>
        <item x="0"/>
        <item m="1" x="4"/>
        <item x="1"/>
        <item m="1" x="2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sistencias" fld="5" baseField="0" baseItem="0"/>
    <dataField name="Penaltis provocados" fld="13" baseField="0" baseItem="0"/>
    <dataField name="Exclusiones provocadas" fld="12" baseField="0" baseItem="0"/>
    <dataField name="Recuperaciones" fld="11" baseField="0" baseItem="0"/>
  </dataFields>
  <chartFormats count="3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9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4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4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4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3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4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5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3" format="5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4C73C-7233-4EE6-939D-A27D1DC378C8}" name="TablaDinámica8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showHeaders="0" outline="1" outlineData="1" multipleFieldFilters="0" chartFormat="35">
  <location ref="AK2:AN3" firstHeaderRow="0" firstDataRow="1" firstDataCol="0"/>
  <pivotFields count="39">
    <pivotField multipleItemSelectionAllowe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43">
        <item m="1" x="39"/>
        <item m="1" x="34"/>
        <item m="1" x="37"/>
        <item m="1" x="33"/>
        <item m="1" x="26"/>
        <item m="1" x="32"/>
        <item m="1" x="25"/>
        <item m="1" x="13"/>
        <item x="3"/>
        <item x="2"/>
        <item m="1" x="29"/>
        <item m="1" x="8"/>
        <item m="1" x="40"/>
        <item m="1" x="7"/>
        <item m="1" x="10"/>
        <item x="4"/>
        <item m="1" x="30"/>
        <item m="1" x="41"/>
        <item m="1" x="31"/>
        <item m="1" x="38"/>
        <item x="0"/>
        <item m="1" x="17"/>
        <item m="1" x="11"/>
        <item m="1" x="24"/>
        <item m="1" x="19"/>
        <item m="1" x="35"/>
        <item m="1" x="27"/>
        <item m="1" x="22"/>
        <item m="1" x="16"/>
        <item m="1" x="9"/>
        <item m="1" x="36"/>
        <item m="1" x="28"/>
        <item m="1" x="23"/>
        <item m="1" x="18"/>
        <item m="1" x="21"/>
        <item m="1" x="12"/>
        <item x="5"/>
        <item x="1"/>
        <item m="1" x="15"/>
        <item m="1" x="14"/>
        <item m="1" x="20"/>
        <item m="1" x="6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érdidas pase" fld="7" baseField="0" baseItem="0"/>
    <dataField name="Áreas" fld="8" baseField="0" baseItem="0"/>
    <dataField name="Perdidas otros" fld="10" baseField="0" baseItem="0"/>
    <dataField name="Exclusiones" fld="6" baseField="0" baseItem="0"/>
  </dataFields>
  <chartFormats count="24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9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3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3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" format="3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4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4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" format="4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3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4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4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3" format="4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CB420-8923-43A0-A7D5-3B55FA76D7F8}" name="TablaDinámica4" cacheId="6" applyNumberFormats="0" applyBorderFormats="0" applyFontFormats="0" applyPatternFormats="0" applyAlignmentFormats="0" applyWidthHeightFormats="1" dataCaption="Valores" updatedVersion="6" minRefreshableVersion="3" showDrill="0" useAutoFormatting="1" itemPrintTitles="1" createdVersion="8" indent="0" showHeaders="0" outline="1" outlineData="1" multipleFieldFilters="0" chartFormat="48">
  <location ref="P2:R3" firstHeaderRow="0" firstDataRow="1" firstDataCol="0"/>
  <pivotFields count="39">
    <pivotField multipleItemSelectionAllowe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de goles contra" fld="20" baseField="0" baseItem="0"/>
    <dataField name="Suma de Paradas" fld="2" baseField="0" baseItem="0"/>
    <dataField name="Suma de Campo12" fld="38" baseField="0" baseItem="0" numFmtId="1"/>
  </dataFields>
  <formats count="2"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12">
    <chartFormat chart="44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37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3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4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4" format="4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7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4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7" format="5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7" format="5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7" format="53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B38A6-2D24-4B98-84B6-2285A3ACE4B9}" name="TablaDinámica3" cacheId="6" applyNumberFormats="0" applyBorderFormats="0" applyFontFormats="0" applyPatternFormats="0" applyAlignmentFormats="0" applyWidthHeightFormats="1" dataCaption="Valores" showMissing="0" updatedVersion="6" minRefreshableVersion="3" showDrill="0" useAutoFormatting="1" itemPrintTitles="1" createdVersion="8" indent="0" showHeaders="0" outline="1" outlineData="1" multipleFieldFilters="0" chartFormat="50">
  <location ref="K2:N15" firstHeaderRow="0" firstDataRow="1" firstDataCol="1"/>
  <pivotFields count="39">
    <pivotField multipleItemSelectionAllowe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3">
        <item x="2"/>
        <item m="1" x="9"/>
        <item x="0"/>
        <item x="1"/>
        <item x="4"/>
        <item x="3"/>
        <item x="5"/>
        <item m="1" x="8"/>
        <item m="1" x="10"/>
        <item m="1" x="11"/>
        <item m="1" x="6"/>
        <item m="1" x="7"/>
        <item t="default"/>
      </items>
    </pivotField>
    <pivotField showAll="0"/>
    <pivotField showAll="0"/>
    <pivotField axis="axisRow" showAll="0">
      <items count="43">
        <item m="1" x="33"/>
        <item m="1" x="25"/>
        <item m="1" x="29"/>
        <item m="1" x="10"/>
        <item m="1" x="30"/>
        <item m="1" x="38"/>
        <item m="1" x="17"/>
        <item m="1" x="21"/>
        <item m="1" x="12"/>
        <item m="1" x="13"/>
        <item m="1" x="15"/>
        <item m="1" x="11"/>
        <item m="1" x="39"/>
        <item m="1" x="35"/>
        <item m="1" x="6"/>
        <item m="1" x="27"/>
        <item m="1" x="22"/>
        <item m="1" x="16"/>
        <item m="1" x="9"/>
        <item m="1" x="36"/>
        <item m="1" x="28"/>
        <item m="1" x="23"/>
        <item m="1" x="18"/>
        <item m="1" x="14"/>
        <item m="1" x="19"/>
        <item m="1" x="34"/>
        <item m="1" x="7"/>
        <item m="1" x="41"/>
        <item m="1" x="20"/>
        <item m="1" x="24"/>
        <item m="1" x="37"/>
        <item m="1" x="40"/>
        <item m="1" x="31"/>
        <item m="1" x="8"/>
        <item m="1" x="26"/>
        <item m="1" x="32"/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2">
    <field x="14"/>
    <field x="17"/>
  </rowFields>
  <rowItems count="13">
    <i>
      <x/>
    </i>
    <i r="1">
      <x v="38"/>
    </i>
    <i>
      <x v="2"/>
    </i>
    <i r="1">
      <x v="36"/>
    </i>
    <i>
      <x v="3"/>
    </i>
    <i r="1">
      <x v="37"/>
    </i>
    <i>
      <x v="4"/>
    </i>
    <i r="1">
      <x v="40"/>
    </i>
    <i>
      <x v="5"/>
    </i>
    <i r="1">
      <x v="39"/>
    </i>
    <i>
      <x v="6"/>
    </i>
    <i r="1">
      <x v="4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Paradas" fld="2" baseField="0" baseItem="0"/>
    <dataField name="Suma de goles contra" fld="20" baseField="0" baseItem="0"/>
    <dataField name="Suma de eficiencia porteria" fld="37" baseField="0" baseItem="0" numFmtId="1"/>
  </dataFields>
  <formats count="2"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6">
    <chartFormat chart="44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9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9" format="3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9EDF3-889F-4CD1-AA11-11801AA1CCE6}" name="TablaDinámica2" cacheId="6" applyNumberFormats="0" applyBorderFormats="0" applyFontFormats="0" applyPatternFormats="0" applyAlignmentFormats="0" applyWidthHeightFormats="1" dataCaption="Valores" updatedVersion="6" minRefreshableVersion="3" showDrill="0" useAutoFormatting="1" itemPrintTitles="1" createdVersion="8" indent="0" showHeaders="0" outline="1" outlineData="1" multipleFieldFilters="0" chartFormat="43">
  <location ref="G2:I3" firstHeaderRow="0" firstDataRow="1" firstDataCol="0"/>
  <pivotFields count="39"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de goles favor" fld="19" baseField="0" baseItem="0"/>
    <dataField name="Suma de lanzamientos realizados" fld="21" baseField="0" baseItem="0"/>
    <dataField name="Suma de Campo11" fld="36" baseField="0" baseItem="0" numFmtId="1"/>
  </dataFields>
  <formats count="2"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28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2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2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1" format="23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36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38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3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40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2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3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3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3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2" format="35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2514C-176C-445D-9BAA-354E64C660D1}" name="TablaDinámica6" cacheId="6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showHeaders="0" outline="1" outlineData="1" multipleFieldFilters="0" chartFormat="37">
  <location ref="T2:X15" firstHeaderRow="0" firstDataRow="1" firstDataCol="1"/>
  <pivotFields count="39">
    <pivotField multipleItemSelectionAllowe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Row" showAll="0" sortType="ascending">
      <items count="13">
        <item x="2"/>
        <item m="1" x="9"/>
        <item x="0"/>
        <item x="1"/>
        <item x="4"/>
        <item x="3"/>
        <item x="5"/>
        <item m="1" x="8"/>
        <item m="1" x="10"/>
        <item m="1" x="11"/>
        <item m="1" x="6"/>
        <item m="1" x="7"/>
        <item t="default"/>
      </items>
    </pivotField>
    <pivotField showAll="0"/>
    <pivotField showAll="0"/>
    <pivotField axis="axisRow" showAll="0">
      <items count="43">
        <item m="1" x="33"/>
        <item m="1" x="25"/>
        <item m="1" x="29"/>
        <item m="1" x="10"/>
        <item m="1" x="30"/>
        <item m="1" x="38"/>
        <item m="1" x="17"/>
        <item m="1" x="21"/>
        <item m="1" x="12"/>
        <item m="1" x="13"/>
        <item m="1" x="15"/>
        <item m="1" x="11"/>
        <item m="1" x="39"/>
        <item m="1" x="35"/>
        <item m="1" x="6"/>
        <item m="1" x="27"/>
        <item m="1" x="22"/>
        <item m="1" x="16"/>
        <item m="1" x="9"/>
        <item m="1" x="36"/>
        <item m="1" x="28"/>
        <item m="1" x="23"/>
        <item m="1" x="18"/>
        <item m="1" x="14"/>
        <item m="1" x="19"/>
        <item m="1" x="34"/>
        <item m="1" x="7"/>
        <item m="1" x="41"/>
        <item m="1" x="20"/>
        <item m="1" x="24"/>
        <item m="1" x="37"/>
        <item m="1" x="40"/>
        <item m="1" x="31"/>
        <item m="1" x="8"/>
        <item m="1" x="26"/>
        <item m="1" x="32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4"/>
    <field x="17"/>
  </rowFields>
  <rowItems count="13">
    <i>
      <x/>
    </i>
    <i r="1">
      <x v="38"/>
    </i>
    <i>
      <x v="2"/>
    </i>
    <i r="1">
      <x v="36"/>
    </i>
    <i>
      <x v="3"/>
    </i>
    <i r="1">
      <x v="37"/>
    </i>
    <i>
      <x v="4"/>
    </i>
    <i r="1">
      <x v="40"/>
    </i>
    <i>
      <x v="5"/>
    </i>
    <i r="1">
      <x v="39"/>
    </i>
    <i>
      <x v="6"/>
    </i>
    <i r="1">
      <x v="4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sistencias" fld="5" baseField="0" baseItem="0"/>
    <dataField name="Penaltis provocados" fld="13" baseField="0" baseItem="0"/>
    <dataField name="Exclusiones provocadas" fld="12" baseField="0" baseItem="0"/>
    <dataField name="Recuperaciones" fld="11" baseField="0" baseItem="0"/>
  </dataFields>
  <chartFormats count="3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3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3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3" format="3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DA253-408D-4D36-8881-330B3ECC21DF}" name="TablaDinámica10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showHeaders="0" outline="1" outlineData="1" multipleFieldFilters="0" chartFormat="43">
  <location ref="AU4:AX5" firstHeaderRow="0" firstDataRow="1" firstDataCol="0"/>
  <pivotFields count="39">
    <pivotField multipleItemSelectionAllowe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 sortType="ascending"/>
    <pivotField showAll="0"/>
    <pivotField showAll="0"/>
    <pivotField showAll="0">
      <items count="43">
        <item m="1" x="39"/>
        <item m="1" x="34"/>
        <item m="1" x="37"/>
        <item m="1" x="33"/>
        <item m="1" x="26"/>
        <item m="1" x="32"/>
        <item m="1" x="25"/>
        <item m="1" x="13"/>
        <item x="3"/>
        <item x="2"/>
        <item m="1" x="29"/>
        <item m="1" x="8"/>
        <item m="1" x="40"/>
        <item m="1" x="7"/>
        <item m="1" x="10"/>
        <item x="4"/>
        <item m="1" x="30"/>
        <item m="1" x="41"/>
        <item m="1" x="31"/>
        <item m="1" x="38"/>
        <item x="0"/>
        <item m="1" x="17"/>
        <item m="1" x="11"/>
        <item m="1" x="24"/>
        <item m="1" x="19"/>
        <item m="1" x="35"/>
        <item m="1" x="27"/>
        <item m="1" x="22"/>
        <item m="1" x="16"/>
        <item m="1" x="9"/>
        <item m="1" x="36"/>
        <item m="1" x="28"/>
        <item m="1" x="23"/>
        <item m="1" x="18"/>
        <item m="1" x="21"/>
        <item m="1" x="12"/>
        <item x="5"/>
        <item x="1"/>
        <item m="1" x="15"/>
        <item m="1" x="14"/>
        <item m="1" x="20"/>
        <item m="1" x="6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érdidas pase" fld="7" baseField="0" baseItem="0"/>
    <dataField name="Áreas" fld="8" baseField="0" baseItem="0"/>
    <dataField name="Perdidas otros" fld="10" baseField="0" baseItem="0"/>
    <dataField name="Exclusiones" fld="6" baseField="0" baseItem="0"/>
  </dataFields>
  <chartFormats count="3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9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3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3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" format="3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4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4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" format="4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6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4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5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5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8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5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5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5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1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" format="6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" format="6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A2B1D-45AA-4293-BE90-4BDF878D5A57}" name="TablaDinámica5" cacheId="6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showHeaders="0" outline="1" outlineData="1" multipleFieldFilters="0" chartFormat="41">
  <location ref="AP4:AS5" firstHeaderRow="0" firstDataRow="1" firstDataCol="0"/>
  <pivotFields count="39">
    <pivotField multipleItemSelectionAllowe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 sortType="ascending"/>
    <pivotField showAll="0"/>
    <pivotField showAll="0"/>
    <pivotField showAll="0">
      <items count="43">
        <item m="1" x="39"/>
        <item m="1" x="34"/>
        <item m="1" x="37"/>
        <item m="1" x="33"/>
        <item m="1" x="26"/>
        <item m="1" x="32"/>
        <item m="1" x="25"/>
        <item m="1" x="13"/>
        <item x="3"/>
        <item x="2"/>
        <item m="1" x="29"/>
        <item m="1" x="8"/>
        <item m="1" x="40"/>
        <item m="1" x="7"/>
        <item m="1" x="10"/>
        <item x="4"/>
        <item m="1" x="30"/>
        <item m="1" x="41"/>
        <item m="1" x="31"/>
        <item m="1" x="38"/>
        <item x="0"/>
        <item m="1" x="17"/>
        <item m="1" x="11"/>
        <item m="1" x="24"/>
        <item m="1" x="19"/>
        <item m="1" x="35"/>
        <item m="1" x="27"/>
        <item m="1" x="22"/>
        <item m="1" x="16"/>
        <item m="1" x="9"/>
        <item m="1" x="36"/>
        <item m="1" x="28"/>
        <item m="1" x="23"/>
        <item m="1" x="18"/>
        <item m="1" x="21"/>
        <item m="1" x="12"/>
        <item x="5"/>
        <item x="1"/>
        <item m="1" x="15"/>
        <item m="1" x="14"/>
        <item m="1" x="20"/>
        <item m="1" x="6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sistencias" fld="5" baseField="0" baseItem="0"/>
    <dataField name="Penaltis provocados" fld="13" baseField="0" baseItem="0"/>
    <dataField name="Exclusiones provocadas" fld="12" baseField="0" baseItem="0"/>
    <dataField name="Recuperaciones" fld="11" baseField="0" baseItem="0"/>
  </dataFields>
  <chartFormats count="40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3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3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3" format="3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4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4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" format="4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8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4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5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5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55318-16E0-4FAF-8462-22D47B472469}" name="TablaDinámica9" cacheId="6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showHeaders="0" outline="1" outlineData="1" multipleFieldFilters="0" chartFormat="31">
  <location ref="AK5:AM6" firstHeaderRow="0" firstDataRow="1" firstDataCol="0"/>
  <pivotFields count="39">
    <pivotField multipleItemSelectionAllowe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>
      <items count="43">
        <item m="1" x="39"/>
        <item m="1" x="34"/>
        <item m="1" x="37"/>
        <item m="1" x="33"/>
        <item m="1" x="26"/>
        <item m="1" x="32"/>
        <item m="1" x="25"/>
        <item m="1" x="13"/>
        <item x="3"/>
        <item x="2"/>
        <item m="1" x="29"/>
        <item m="1" x="8"/>
        <item m="1" x="40"/>
        <item m="1" x="7"/>
        <item m="1" x="10"/>
        <item x="4"/>
        <item m="1" x="30"/>
        <item m="1" x="41"/>
        <item m="1" x="31"/>
        <item m="1" x="38"/>
        <item x="0"/>
        <item m="1" x="17"/>
        <item m="1" x="11"/>
        <item m="1" x="24"/>
        <item m="1" x="19"/>
        <item m="1" x="35"/>
        <item m="1" x="27"/>
        <item m="1" x="22"/>
        <item m="1" x="16"/>
        <item m="1" x="9"/>
        <item m="1" x="36"/>
        <item m="1" x="28"/>
        <item m="1" x="23"/>
        <item m="1" x="18"/>
        <item m="1" x="21"/>
        <item m="1" x="12"/>
        <item x="5"/>
        <item x="1"/>
        <item m="1" x="15"/>
        <item m="1" x="14"/>
        <item m="1" x="20"/>
        <item m="1" x="6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sistencias" fld="5" baseField="0" baseItem="0"/>
    <dataField name="Recuperaciones" fld="11" baseField="0" baseItem="0"/>
    <dataField name="Suma de Exclusión +" fld="12" baseField="0" baseItem="0"/>
  </dataFields>
  <chartFormats count="14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CD188-3C9B-4FB1-AA0E-BF9B4C395D4D}" name="TablaDinámica1" cacheId="6" applyNumberFormats="0" applyBorderFormats="0" applyFontFormats="0" applyPatternFormats="0" applyAlignmentFormats="0" applyWidthHeightFormats="1" dataCaption="Valores" updatedVersion="6" minRefreshableVersion="3" showDrill="0" useAutoFormatting="1" itemPrintTitles="1" createdVersion="8" indent="0" showHeaders="0" outline="1" outlineData="1" multipleFieldFilters="0" chartFormat="60">
  <location ref="C2:F15" firstHeaderRow="0" firstDataRow="1" firstDataCol="1"/>
  <pivotFields count="39"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3">
        <item x="2"/>
        <item m="1" x="9"/>
        <item x="0"/>
        <item x="1"/>
        <item x="4"/>
        <item x="3"/>
        <item x="5"/>
        <item m="1" x="8"/>
        <item m="1" x="10"/>
        <item m="1" x="11"/>
        <item m="1" x="6"/>
        <item m="1" x="7"/>
        <item t="default"/>
      </items>
    </pivotField>
    <pivotField showAll="0"/>
    <pivotField showAll="0"/>
    <pivotField axis="axisRow" showAll="0">
      <items count="43">
        <item m="1" x="33"/>
        <item m="1" x="25"/>
        <item m="1" x="29"/>
        <item m="1" x="10"/>
        <item m="1" x="30"/>
        <item m="1" x="38"/>
        <item m="1" x="17"/>
        <item m="1" x="21"/>
        <item m="1" x="12"/>
        <item m="1" x="13"/>
        <item m="1" x="15"/>
        <item m="1" x="11"/>
        <item m="1" x="39"/>
        <item m="1" x="35"/>
        <item m="1" x="6"/>
        <item m="1" x="27"/>
        <item m="1" x="22"/>
        <item m="1" x="16"/>
        <item m="1" x="9"/>
        <item m="1" x="36"/>
        <item m="1" x="28"/>
        <item m="1" x="23"/>
        <item m="1" x="18"/>
        <item m="1" x="14"/>
        <item m="1" x="19"/>
        <item m="1" x="34"/>
        <item m="1" x="7"/>
        <item m="1" x="41"/>
        <item m="1" x="20"/>
        <item m="1" x="24"/>
        <item m="1" x="37"/>
        <item m="1" x="40"/>
        <item m="1" x="31"/>
        <item m="1" x="8"/>
        <item m="1" x="26"/>
        <item m="1" x="32"/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4"/>
    <field x="17"/>
  </rowFields>
  <rowItems count="13">
    <i>
      <x/>
    </i>
    <i r="1">
      <x v="38"/>
    </i>
    <i>
      <x v="2"/>
    </i>
    <i r="1">
      <x v="36"/>
    </i>
    <i>
      <x v="3"/>
    </i>
    <i r="1">
      <x v="37"/>
    </i>
    <i>
      <x v="4"/>
    </i>
    <i r="1">
      <x v="40"/>
    </i>
    <i>
      <x v="5"/>
    </i>
    <i r="1">
      <x v="39"/>
    </i>
    <i>
      <x v="6"/>
    </i>
    <i r="1">
      <x v="4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goles favor" fld="19" baseField="0" baseItem="0"/>
    <dataField name="Suma de lanzamientos realizados" fld="21" baseField="0" baseItem="0"/>
    <dataField name="Suma de eficiencia" fld="35" baseField="0" baseItem="0" numFmtId="1"/>
  </dataFields>
  <formats count="2">
    <format dxfId="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14">
    <chartFormat chart="2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22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7" count="1" selected="0">
            <x v="7"/>
          </reference>
        </references>
      </pivotArea>
    </chartFormat>
    <chartFormat chart="44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2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FFAAA-480C-4DC8-9CA2-9528EB3BFFDD}" name="TablaDinámica7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showHeaders="0" outline="1" outlineData="1" multipleFieldFilters="0" chartFormat="40">
  <location ref="Z2:AD15" firstHeaderRow="0" firstDataRow="1" firstDataCol="1"/>
  <pivotFields count="39">
    <pivotField multipleItemSelectionAllowe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axis="axisRow" showAll="0" sortType="ascending">
      <items count="13">
        <item x="2"/>
        <item m="1" x="9"/>
        <item x="0"/>
        <item x="1"/>
        <item x="4"/>
        <item x="3"/>
        <item x="5"/>
        <item m="1" x="8"/>
        <item m="1" x="10"/>
        <item m="1" x="11"/>
        <item m="1" x="6"/>
        <item m="1" x="7"/>
        <item t="default"/>
      </items>
    </pivotField>
    <pivotField showAll="0"/>
    <pivotField showAll="0"/>
    <pivotField axis="axisRow" showAll="0">
      <items count="43">
        <item m="1" x="33"/>
        <item m="1" x="25"/>
        <item m="1" x="29"/>
        <item m="1" x="10"/>
        <item m="1" x="30"/>
        <item m="1" x="38"/>
        <item m="1" x="17"/>
        <item m="1" x="21"/>
        <item m="1" x="12"/>
        <item m="1" x="13"/>
        <item m="1" x="15"/>
        <item m="1" x="11"/>
        <item m="1" x="39"/>
        <item m="1" x="35"/>
        <item m="1" x="6"/>
        <item m="1" x="27"/>
        <item m="1" x="22"/>
        <item m="1" x="16"/>
        <item m="1" x="9"/>
        <item m="1" x="36"/>
        <item m="1" x="28"/>
        <item m="1" x="23"/>
        <item m="1" x="18"/>
        <item m="1" x="14"/>
        <item m="1" x="19"/>
        <item m="1" x="34"/>
        <item m="1" x="7"/>
        <item m="1" x="41"/>
        <item m="1" x="20"/>
        <item m="1" x="24"/>
        <item m="1" x="37"/>
        <item m="1" x="40"/>
        <item m="1" x="31"/>
        <item m="1" x="8"/>
        <item m="1" x="26"/>
        <item m="1" x="32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4"/>
    <field x="17"/>
  </rowFields>
  <rowItems count="13">
    <i>
      <x/>
    </i>
    <i r="1">
      <x v="38"/>
    </i>
    <i>
      <x v="2"/>
    </i>
    <i r="1">
      <x v="36"/>
    </i>
    <i>
      <x v="3"/>
    </i>
    <i r="1">
      <x v="37"/>
    </i>
    <i>
      <x v="4"/>
    </i>
    <i r="1">
      <x v="40"/>
    </i>
    <i>
      <x v="5"/>
    </i>
    <i r="1">
      <x v="39"/>
    </i>
    <i>
      <x v="6"/>
    </i>
    <i r="1">
      <x v="4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érdidas pase" fld="7" baseField="0" baseItem="0"/>
    <dataField name="Áreas" fld="8" baseField="0" baseItem="0"/>
    <dataField name="Perdidas otros" fld="10" baseField="0" baseItem="0"/>
    <dataField name="Exclusiones" fld="6" baseField="0" baseItem="0"/>
  </dataFields>
  <chartFormats count="24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9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3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3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" format="3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4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4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" format="4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6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4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5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5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Jugador" xr10:uid="{BB9D893D-80F2-4C15-9AD4-966D82A803CE}" sourceName="Jugador">
  <pivotTables>
    <pivotTable tabId="2" name="TablaDinámica2"/>
    <pivotTable tabId="2" name="TablaDinámica3"/>
    <pivotTable tabId="2" name="TablaDinámica4"/>
    <pivotTable tabId="2" name="TablaDinámica11"/>
    <pivotTable tabId="2" name="TablaDinámica12"/>
    <pivotTable tabId="2" name="TablaDinámica6"/>
    <pivotTable tabId="2" name="TablaDinámica1"/>
    <pivotTable tabId="2" name="TablaDinámica7"/>
    <pivotTable tabId="2" name="TablaDinámica8"/>
  </pivotTables>
  <data>
    <tabular pivotCacheId="120843229">
      <items count="21">
        <i x="14"/>
        <i x="2" s="1"/>
        <i x="13"/>
        <i x="0"/>
        <i x="1"/>
        <i x="7"/>
        <i x="17"/>
        <i x="16"/>
        <i x="9"/>
        <i x="8"/>
        <i x="4"/>
        <i x="15"/>
        <i x="12"/>
        <i x="3"/>
        <i x="10"/>
        <i x="6"/>
        <i x="18"/>
        <i x="5"/>
        <i x="11"/>
        <i x="20" nd="1"/>
        <i x="19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OSICION1" xr10:uid="{CCF78E84-9C10-43C7-9C1B-830EE86EACB7}" sourceName="POSICION">
  <pivotTables>
    <pivotTable tabId="2" name="TablaDinámica2"/>
    <pivotTable tabId="2" name="TablaDinámica3"/>
    <pivotTable tabId="2" name="TablaDinámica4"/>
    <pivotTable tabId="2" name="TablaDinámica11"/>
    <pivotTable tabId="2" name="TablaDinámica12"/>
    <pivotTable tabId="2" name="TablaDinámica6"/>
    <pivotTable tabId="2" name="TablaDinámica1"/>
    <pivotTable tabId="2" name="TablaDinámica7"/>
    <pivotTable tabId="2" name="TablaDinámica8"/>
  </pivotTables>
  <data>
    <tabular pivotCacheId="120843229">
      <items count="5">
        <i x="0" s="1"/>
        <i x="3" s="1" nd="1"/>
        <i x="4" s="1" nd="1"/>
        <i x="1" s="1" nd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ival" xr10:uid="{B052BAB3-8FBF-4D17-AEBC-0930A6520015}" sourceName="rival">
  <pivotTables>
    <pivotTable tabId="2" name="TablaDinámica5"/>
    <pivotTable tabId="2" name="TablaDinámica2"/>
    <pivotTable tabId="2" name="TablaDinámica3"/>
    <pivotTable tabId="2" name="TablaDinámica4"/>
    <pivotTable tabId="2" name="TablaDinámica11"/>
    <pivotTable tabId="2" name="TablaDinámica12"/>
    <pivotTable tabId="6" name="TablaDinámica1"/>
    <pivotTable tabId="2" name="TablaDinámica6"/>
    <pivotTable tabId="6" name="TablaDinámica3"/>
    <pivotTable tabId="6" name="TablaDinámica6"/>
    <pivotTable tabId="6" name="TablaDinámica7"/>
    <pivotTable tabId="6" name="TablaDinámica8"/>
    <pivotTable tabId="6" name="TablaDinámica9"/>
    <pivotTable tabId="2" name="TablaDinámica1"/>
    <pivotTable tabId="2" name="TablaDinámica7"/>
    <pivotTable tabId="2" name="TablaDinámica8"/>
    <pivotTable tabId="6" name="TablaDinámica5"/>
    <pivotTable tabId="6" name="TablaDinámica10"/>
  </pivotTables>
  <data>
    <tabular pivotCacheId="120843229">
      <items count="42">
        <i x="3" s="1"/>
        <i x="2" s="1"/>
        <i x="4" s="1"/>
        <i x="0" s="1"/>
        <i x="5" s="1"/>
        <i x="1" s="1"/>
        <i x="39" s="1" nd="1"/>
        <i x="34" s="1" nd="1"/>
        <i x="37" s="1" nd="1"/>
        <i x="33" s="1" nd="1"/>
        <i x="26" s="1" nd="1"/>
        <i x="32" s="1" nd="1"/>
        <i x="25" s="1" nd="1"/>
        <i x="13" s="1" nd="1"/>
        <i x="29" s="1" nd="1"/>
        <i x="8" s="1" nd="1"/>
        <i x="40" s="1" nd="1"/>
        <i x="7" s="1" nd="1"/>
        <i x="10" s="1" nd="1"/>
        <i x="30" s="1" nd="1"/>
        <i x="41" s="1" nd="1"/>
        <i x="31" s="1" nd="1"/>
        <i x="38" s="1" nd="1"/>
        <i x="17" s="1" nd="1"/>
        <i x="11" s="1" nd="1"/>
        <i x="24" s="1" nd="1"/>
        <i x="19" s="1" nd="1"/>
        <i x="35" s="1" nd="1"/>
        <i x="27" s="1" nd="1"/>
        <i x="22" s="1" nd="1"/>
        <i x="16" s="1" nd="1"/>
        <i x="9" s="1" nd="1"/>
        <i x="36" s="1" nd="1"/>
        <i x="28" s="1" nd="1"/>
        <i x="23" s="1" nd="1"/>
        <i x="18" s="1" nd="1"/>
        <i x="21" s="1" nd="1"/>
        <i x="12" s="1" nd="1"/>
        <i x="15" s="1" nd="1"/>
        <i x="14" s="1" nd="1"/>
        <i x="20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Jugador 1" xr10:uid="{035914E3-606A-4CD8-88B1-FDFA03485716}" cache="SegmentaciónDeDatos_Jugador" columnCount="5" style="mi estilo personalizado" rowHeight="144000"/>
  <slicer name="POSICION 2" xr10:uid="{22F0A668-1831-476F-83AD-7229345550C1}" cache="SegmentaciónDeDatos_POSICION1" style="mi estilo personalizado 2" rowHeight="288000"/>
  <slicer name="rival 1" xr10:uid="{FE9C9075-EA64-423E-9FAA-F07EA8D18D51}" cache="SegmentaciónDeDatos_rival" style="mi estilo personalizado 2" rowHeight="144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ival 2" xr10:uid="{DAEC2F3C-5B57-4A32-8EDF-91904C01C43B}" cache="SegmentaciónDeDatos_rival" style="mi estilo personalizado 2" rowHeight="1980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Jugador 2" xr10:uid="{54B902D9-414A-4085-B143-5B290E95064E}" cache="SegmentaciónDeDatos_Jugador" columnCount="5" style="mi estilo personalizado" rowHeight="144000"/>
  <slicer name="POSICION 3" xr10:uid="{05167CAF-CA40-46A1-9DF1-6F125148DE72}" cache="SegmentaciónDeDatos_POSICION1" style="mi estilo personalizado 2" rowHeight="288000"/>
  <slicer name="rival 3" xr10:uid="{F665416F-5CE2-4079-9407-A5E082ED4834}" cache="SegmentaciónDeDatos_rival" style="mi estilo personalizado 2" rowHeight="1440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ival 4" xr10:uid="{1A6C394E-405E-407C-B1A2-BC203D4DDDF4}" cache="SegmentaciónDeDatos_rival" style="mi estilo personalizado 2" rowHeight="1440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Jugador 3" xr10:uid="{5EE8BDC7-BC46-4E6C-8796-174AD8503414}" cache="SegmentaciónDeDatos_Jugador" columnCount="5" style="mi estilo personalizado" rowHeight="144000"/>
  <slicer name="POSICION 4" xr10:uid="{BA0B79D7-6E19-4092-8586-A05FDC297F3B}" cache="SegmentaciónDeDatos_POSICION1" style="mi estilo personalizado 2" rowHeight="288000"/>
  <slicer name="rival 5" xr10:uid="{C9C3C6FD-799E-4EC3-8511-D053B08D756A}" cache="SegmentaciónDeDatos_rival" style="mi estilo personalizado 2" rowHeight="14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5CE92B-D59C-434C-9ABD-2B888266E35D}" name="BD_ESTADISTICA_INF_B" displayName="BD_ESTADISTICA_INF_B" ref="A1:W115" totalsRowShown="0">
  <autoFilter ref="A1:W115" xr:uid="{4E0CACF7-2516-40E4-A13A-36A69BFCF042}">
    <filterColumn colId="14">
      <filters>
        <filter val="7"/>
      </filters>
    </filterColumn>
  </autoFilter>
  <tableColumns count="23">
    <tableColumn id="1" xr3:uid="{52391530-6B4D-4F5B-A13F-EBEFDEBFF05D}" name="Jugador" dataDxfId="44" dataCellStyle="Normal 3"/>
    <tableColumn id="2" xr3:uid="{20EFE687-939F-4CE3-B940-223B282FF463}" name="Goles" dataDxfId="43" dataCellStyle="Normal 3"/>
    <tableColumn id="3" xr3:uid="{684A7D4D-D7B7-43F6-9A93-2ACF8C669153}" name="Paradas" dataDxfId="42" dataCellStyle="Normal 3"/>
    <tableColumn id="4" xr3:uid="{AAA14793-E69C-41E1-B0A0-4517D77AAD17}" name="Lanzam." dataDxfId="41" dataCellStyle="Normal 3"/>
    <tableColumn id="5" xr3:uid="{F7F9DF44-8244-4CC7-A0D1-06835389FDF4}" name="% lanz" dataDxfId="40" dataCellStyle="Porcentaje"/>
    <tableColumn id="7" xr3:uid="{08DF6B37-12B5-4917-A522-F9142A96DB9B}" name="Asistencia" dataDxfId="39" dataCellStyle="Normal 3"/>
    <tableColumn id="8" xr3:uid="{50A8FB8C-4A7A-49D3-9AE9-3E8F48319DD1}" name="Exclusión" dataDxfId="38" dataCellStyle="Normal 3"/>
    <tableColumn id="9" xr3:uid="{0AF59981-5FBC-4DB2-8698-5D9F1ABC4155}" name="Pase" dataDxfId="37" dataCellStyle="Normal 3"/>
    <tableColumn id="10" xr3:uid="{9ABA852E-5F94-4462-B626-D21E860A5324}" name="Área" dataDxfId="36" dataCellStyle="Normal 3"/>
    <tableColumn id="12" xr3:uid="{541EE240-2B80-4C0C-B283-653D786EBF8E}" name="Pasos" dataDxfId="35" dataCellStyle="Normal 3"/>
    <tableColumn id="13" xr3:uid="{B9EEDD3B-D6DD-47C4-B010-4986464C3E47}" name="Otro" dataDxfId="34" dataCellStyle="Normal 3"/>
    <tableColumn id="14" xr3:uid="{5E37AACF-BE34-4507-831A-2294DC02D750}" name="Recup." dataDxfId="33" dataCellStyle="Normal 3"/>
    <tableColumn id="17" xr3:uid="{5CB4A98F-AC59-4C79-8B6E-D9EBC0F6C1BD}" name="Exclusión +" dataDxfId="32" dataCellStyle="Normal 3"/>
    <tableColumn id="6" xr3:uid="{2C6E471F-6D3B-42C8-81FA-7636186D2DE9}" name="PenaltiProvocado" dataDxfId="31" dataCellStyle="Normal 3"/>
    <tableColumn id="19" xr3:uid="{7C109E22-7D05-4D3D-9416-9760085CC706}" name="JORNADA" dataDxfId="30" dataCellStyle="Normal 2"/>
    <tableColumn id="20" xr3:uid="{6759F103-2E20-4B91-8851-820730AE8C35}" name="FASE" dataDxfId="29" dataCellStyle="Normal 2"/>
    <tableColumn id="21" xr3:uid="{DEA2EBD3-381A-4D3F-B764-26F8F743F131}" name="L/V" dataDxfId="28" dataCellStyle="Normal 3"/>
    <tableColumn id="23" xr3:uid="{D5CC1344-44F2-4559-86D2-5CD43B67B00C}" name="rival" dataDxfId="27" dataCellStyle="Normal 3"/>
    <tableColumn id="24" xr3:uid="{ECA9CC20-8ECF-411F-8B7A-C9AFCD3B84C9}" name="POSICION" dataDxfId="26" dataCellStyle="Normal 3"/>
    <tableColumn id="11" xr3:uid="{96A71FE8-7C2B-4C18-AC1B-E8C62789BC53}" name="goles favor" dataDxfId="25" dataCellStyle="Normal 3"/>
    <tableColumn id="15" xr3:uid="{46089932-E578-45E8-A8AB-7B2B44941717}" name="goles contra" dataDxfId="24" dataCellStyle="Normal 3"/>
    <tableColumn id="16" xr3:uid="{BDAED3E0-6A88-4C71-B9F0-1E82A087A2F2}" name="lanzamientos realizados" dataDxfId="23" dataCellStyle="Normal 3"/>
    <tableColumn id="18" xr3:uid="{7B0893AD-D9E4-4F00-8941-20FDECBB17AC}" name="lanzamientos recibidos" dataDxfId="22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12" Type="http://schemas.openxmlformats.org/officeDocument/2006/relationships/drawing" Target="../drawings/drawing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15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07/relationships/slicer" Target="../slicers/slicer5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A84E-6584-4CC5-AB3A-05A7BF8F29C4}">
  <sheetPr>
    <tabColor rgb="FF004D98"/>
  </sheetPr>
  <dimension ref="A1:T40"/>
  <sheetViews>
    <sheetView tabSelected="1" zoomScale="90" workbookViewId="0"/>
  </sheetViews>
  <sheetFormatPr baseColWidth="10" defaultColWidth="8.796875" defaultRowHeight="13.8"/>
  <cols>
    <col min="1" max="1" width="2" customWidth="1"/>
    <col min="2" max="2" width="30" customWidth="1"/>
    <col min="3" max="3" width="3" customWidth="1"/>
    <col min="4" max="4" width="30" customWidth="1"/>
    <col min="20" max="20" width="10" customWidth="1"/>
  </cols>
  <sheetData>
    <row r="1" spans="1:20">
      <c r="A1" s="41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20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</row>
    <row r="3" spans="1:20">
      <c r="A3" s="4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</row>
    <row r="4" spans="1:20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20" ht="28.05" customHeight="1">
      <c r="A5" s="41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ht="42" customHeight="1">
      <c r="A6" s="41"/>
      <c r="B6" s="44" t="s">
        <v>125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0" ht="28.05" customHeight="1">
      <c r="A7" s="41"/>
      <c r="B7" s="45" t="s">
        <v>109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0" ht="28.05" customHeight="1">
      <c r="A8" s="41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</row>
    <row r="9" spans="1:20" ht="3" customHeight="1">
      <c r="A9" s="41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</row>
    <row r="10" spans="1:20" ht="7.95" customHeight="1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</row>
    <row r="11" spans="1:20" ht="28.05" customHeight="1">
      <c r="A11" s="41"/>
      <c r="B11" s="47" t="s">
        <v>110</v>
      </c>
      <c r="C11" s="42"/>
      <c r="D11" s="48" t="s">
        <v>111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</row>
    <row r="12" spans="1:20" ht="28.05" customHeight="1">
      <c r="A12" s="41"/>
      <c r="B12" s="47" t="s">
        <v>112</v>
      </c>
      <c r="C12" s="42"/>
      <c r="D12" s="48" t="s">
        <v>113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</row>
    <row r="13" spans="1:20" ht="28.05" customHeight="1">
      <c r="A13" s="41"/>
      <c r="B13" s="47" t="s">
        <v>114</v>
      </c>
      <c r="C13" s="42"/>
      <c r="D13" s="48" t="s">
        <v>115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</row>
    <row r="14" spans="1:20" ht="28.05" customHeight="1">
      <c r="A14" s="41"/>
      <c r="B14" s="47" t="s">
        <v>116</v>
      </c>
      <c r="C14" s="42"/>
      <c r="D14" s="48" t="s">
        <v>117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</row>
    <row r="15" spans="1:20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</row>
    <row r="16" spans="1:20">
      <c r="A16" s="41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</row>
    <row r="17" spans="1:20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</row>
    <row r="18" spans="1:20" ht="25.95" customHeight="1">
      <c r="A18" s="41"/>
      <c r="B18" s="49" t="s">
        <v>118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</row>
    <row r="19" spans="1:20" ht="7.95" customHeight="1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</row>
    <row r="20" spans="1:20" ht="22.05" customHeight="1">
      <c r="A20" s="41"/>
      <c r="B20" s="50" t="s">
        <v>119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</row>
    <row r="21" spans="1:20" ht="22.05" customHeight="1">
      <c r="A21" s="41"/>
      <c r="B21" s="50" t="s">
        <v>120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</row>
    <row r="22" spans="1:20" ht="22.05" customHeight="1">
      <c r="A22" s="41"/>
      <c r="B22" s="50" t="s">
        <v>121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</row>
    <row r="23" spans="1:20" ht="22.05" customHeight="1">
      <c r="A23" s="41"/>
      <c r="B23" s="50" t="s">
        <v>122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</row>
    <row r="24" spans="1:20" ht="22.05" customHeight="1">
      <c r="A24" s="41"/>
      <c r="B24" s="50" t="s">
        <v>123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</row>
    <row r="25" spans="1:20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</row>
    <row r="26" spans="1:20">
      <c r="A26" s="41"/>
      <c r="B26" s="51" t="s">
        <v>124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</row>
    <row r="27" spans="1:20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</row>
    <row r="28" spans="1:20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</row>
    <row r="29" spans="1:20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</row>
    <row r="30" spans="1:20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</row>
    <row r="31" spans="1:20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</row>
    <row r="32" spans="1:20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</row>
    <row r="33" spans="1:20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</row>
    <row r="34" spans="1:20">
      <c r="A34" s="41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</row>
    <row r="35" spans="1:20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</row>
    <row r="36" spans="1:20">
      <c r="A36" s="41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</row>
    <row r="37" spans="1:20">
      <c r="A37" s="41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</row>
    <row r="38" spans="1:20">
      <c r="A38" s="41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</row>
    <row r="39" spans="1:20">
      <c r="A39" s="41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</row>
    <row r="40" spans="1:20">
      <c r="A40" s="41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</row>
  </sheetData>
  <hyperlinks>
    <hyperlink ref="B20" location="Individual!A1" display="📊  ESTADÍSTICAS INDIVIDUALS" xr:uid="{2153C29F-DE95-431E-8212-9B83BA35B56C}"/>
    <hyperlink ref="B21" location="Equipo!A1" display="📊  ESTADÍSTICAS D'EQUIP" xr:uid="{D20F0521-3373-4FCD-AB2D-71EBDF4F9C79}"/>
    <hyperlink ref="B22" location="fitlro_individual!A1" display="🔍  FILTRE · INDIVIDUAL" xr:uid="{F40C9BE2-0558-4A36-AF75-B1DEA7E52970}"/>
    <hyperlink ref="B23" location="filtro_equipo!A1" display="🔍  FILTRE · EQUIP" xr:uid="{33AD1885-5F1C-4CF0-BA74-B07BB1D6466A}"/>
    <hyperlink ref="B24" location="Datos!A1" display="📋  DADES" xr:uid="{26E4B682-1220-4044-9EAC-96FD000B2B8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465B-3683-4DEF-9148-67C020041D3A}">
  <sheetPr codeName="Hoja1">
    <tabColor rgb="FF002060"/>
  </sheetPr>
  <dimension ref="A1:W115"/>
  <sheetViews>
    <sheetView workbookViewId="0">
      <pane ySplit="1" topLeftCell="A73" activePane="bottomLeft" state="frozen"/>
      <selection pane="bottomLeft"/>
    </sheetView>
  </sheetViews>
  <sheetFormatPr baseColWidth="10" defaultColWidth="11.59765625" defaultRowHeight="14.4"/>
  <cols>
    <col min="1" max="1" width="11.59765625" style="7" bestFit="1" customWidth="1"/>
    <col min="2" max="2" width="9.8984375" style="7" bestFit="1" customWidth="1"/>
    <col min="3" max="3" width="11.59765625" style="7" bestFit="1" customWidth="1"/>
    <col min="4" max="4" width="11.8984375" style="7" bestFit="1" customWidth="1"/>
    <col min="5" max="5" width="10.296875" style="8" bestFit="1" customWidth="1"/>
    <col min="6" max="6" width="13.296875" style="7" bestFit="1" customWidth="1"/>
    <col min="7" max="7" width="12.69921875" style="7" bestFit="1" customWidth="1"/>
    <col min="8" max="9" width="9.09765625" style="7" bestFit="1" customWidth="1"/>
    <col min="10" max="10" width="9.8984375" style="7" bestFit="1" customWidth="1"/>
    <col min="11" max="11" width="9.09765625" style="7" bestFit="1" customWidth="1"/>
    <col min="12" max="12" width="10.8984375" style="7" bestFit="1" customWidth="1"/>
    <col min="13" max="13" width="14" style="7" bestFit="1" customWidth="1"/>
    <col min="14" max="14" width="19.09765625" style="7" bestFit="1" customWidth="1"/>
    <col min="15" max="15" width="13.296875" style="9" bestFit="1" customWidth="1"/>
    <col min="16" max="16" width="9.69921875" style="10" bestFit="1" customWidth="1"/>
    <col min="17" max="17" width="8.09765625" style="11" bestFit="1" customWidth="1"/>
    <col min="18" max="18" width="23.59765625" style="11" bestFit="1" customWidth="1"/>
    <col min="19" max="19" width="11.69921875" style="6" bestFit="1" customWidth="1"/>
    <col min="20" max="20" width="12.69921875" style="6" bestFit="1" customWidth="1"/>
    <col min="21" max="21" width="13.69921875" style="6" bestFit="1" customWidth="1"/>
    <col min="22" max="22" width="24.09765625" style="6" bestFit="1" customWidth="1"/>
    <col min="23" max="23" width="23.296875" style="6" bestFit="1" customWidth="1"/>
    <col min="24" max="16384" width="11.59765625" style="6"/>
  </cols>
  <sheetData>
    <row r="1" spans="1:2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43</v>
      </c>
      <c r="O1" s="3" t="s">
        <v>13</v>
      </c>
      <c r="P1" s="4" t="s">
        <v>14</v>
      </c>
      <c r="Q1" s="5" t="s">
        <v>15</v>
      </c>
      <c r="R1" s="5" t="s">
        <v>32</v>
      </c>
      <c r="S1" s="6" t="s">
        <v>38</v>
      </c>
      <c r="T1" s="6" t="s">
        <v>52</v>
      </c>
      <c r="U1" s="6" t="s">
        <v>55</v>
      </c>
      <c r="V1" s="6" t="s">
        <v>53</v>
      </c>
      <c r="W1" s="6" t="s">
        <v>54</v>
      </c>
    </row>
    <row r="2" spans="1:23" hidden="1">
      <c r="A2" s="21" t="s">
        <v>16</v>
      </c>
      <c r="B2" s="22">
        <v>6</v>
      </c>
      <c r="C2" s="22"/>
      <c r="D2" s="22">
        <v>7</v>
      </c>
      <c r="E2" s="8">
        <f>IF(BD_ESTADISTICA_INF_B[[#This Row],[Lanzam.]]="","",IF(BD_ESTADISTICA_INF_B[[#This Row],[POSICION]]="jugador",B2/D2,C2/D2))</f>
        <v>0.8571428571428571</v>
      </c>
      <c r="F2" s="22">
        <v>2</v>
      </c>
      <c r="G2" s="22"/>
      <c r="H2" s="22">
        <v>1</v>
      </c>
      <c r="I2" s="22"/>
      <c r="J2" s="22"/>
      <c r="K2" s="22"/>
      <c r="L2" s="22">
        <v>3</v>
      </c>
      <c r="M2" s="22"/>
      <c r="N2" s="22"/>
      <c r="O2" s="23">
        <v>3</v>
      </c>
      <c r="P2" s="24">
        <v>3</v>
      </c>
      <c r="Q2" s="25" t="s">
        <v>79</v>
      </c>
      <c r="R2" s="11" t="s">
        <v>102</v>
      </c>
      <c r="S2" s="26" t="str">
        <f>IF(OR(BD_ESTADISTICA_INF_B[[#This Row],[Jugador]]="eudald",BD_ESTADISTICA_INF_B[[#This Row],[Jugador]]="jules",BD_ESTADISTICA_INF_B[[#This Row],[Jugador]]="JAN"),"PORTERO","JUGADOR")</f>
        <v>JUGADOR</v>
      </c>
      <c r="T2" s="26">
        <f>IF(BD_ESTADISTICA_INF_B[[#This Row],[POSICION]]="jugador",BD_ESTADISTICA_INF_B[[#This Row],[Goles]],0)</f>
        <v>6</v>
      </c>
      <c r="U2" s="26">
        <f>IF(BD_ESTADISTICA_INF_B[[#This Row],[POSICION]]="portero",BD_ESTADISTICA_INF_B[[#This Row],[Lanzam.]]-BD_ESTADISTICA_INF_B[[#This Row],[Paradas]],0)</f>
        <v>0</v>
      </c>
      <c r="V2" s="26">
        <f>IF(BD_ESTADISTICA_INF_B[[#This Row],[POSICION]]="jugador",BD_ESTADISTICA_INF_B[[#This Row],[Lanzam.]],0)</f>
        <v>7</v>
      </c>
      <c r="W2" s="26">
        <f>IF(BD_ESTADISTICA_INF_B[[#This Row],[POSICION]]="portero",BD_ESTADISTICA_INF_B[[#This Row],[Lanzam.]],0)</f>
        <v>0</v>
      </c>
    </row>
    <row r="3" spans="1:23" hidden="1">
      <c r="A3" s="21" t="s">
        <v>17</v>
      </c>
      <c r="B3" s="22">
        <v>4</v>
      </c>
      <c r="C3" s="22"/>
      <c r="D3" s="22">
        <v>4</v>
      </c>
      <c r="E3" s="8">
        <f>IF(BD_ESTADISTICA_INF_B[[#This Row],[Lanzam.]]="","",IF(BD_ESTADISTICA_INF_B[[#This Row],[POSICION]]="jugador",B3/D3,C3/D3))</f>
        <v>1</v>
      </c>
      <c r="F3" s="22">
        <v>2</v>
      </c>
      <c r="G3" s="22"/>
      <c r="H3" s="22"/>
      <c r="I3" s="22"/>
      <c r="J3" s="22"/>
      <c r="K3" s="22"/>
      <c r="L3" s="22">
        <v>1</v>
      </c>
      <c r="M3" s="22"/>
      <c r="N3" s="22"/>
      <c r="O3" s="23">
        <v>3</v>
      </c>
      <c r="P3" s="24">
        <v>3</v>
      </c>
      <c r="Q3" s="25" t="s">
        <v>79</v>
      </c>
      <c r="R3" s="11" t="s">
        <v>102</v>
      </c>
      <c r="S3" s="26" t="str">
        <f>IF(OR(BD_ESTADISTICA_INF_B[[#This Row],[Jugador]]="eudald",BD_ESTADISTICA_INF_B[[#This Row],[Jugador]]="jules",BD_ESTADISTICA_INF_B[[#This Row],[Jugador]]="JAN"),"PORTERO","JUGADOR")</f>
        <v>JUGADOR</v>
      </c>
      <c r="T3" s="26">
        <f>IF(BD_ESTADISTICA_INF_B[[#This Row],[POSICION]]="jugador",BD_ESTADISTICA_INF_B[[#This Row],[Goles]],0)</f>
        <v>4</v>
      </c>
      <c r="U3" s="26">
        <f>IF(BD_ESTADISTICA_INF_B[[#This Row],[POSICION]]="portero",BD_ESTADISTICA_INF_B[[#This Row],[Lanzam.]]-BD_ESTADISTICA_INF_B[[#This Row],[Paradas]],0)</f>
        <v>0</v>
      </c>
      <c r="V3" s="26">
        <f>IF(BD_ESTADISTICA_INF_B[[#This Row],[POSICION]]="jugador",BD_ESTADISTICA_INF_B[[#This Row],[Lanzam.]],0)</f>
        <v>4</v>
      </c>
      <c r="W3" s="26">
        <f>IF(BD_ESTADISTICA_INF_B[[#This Row],[POSICION]]="portero",BD_ESTADISTICA_INF_B[[#This Row],[Lanzam.]],0)</f>
        <v>0</v>
      </c>
    </row>
    <row r="4" spans="1:23" hidden="1">
      <c r="A4" s="21" t="s">
        <v>18</v>
      </c>
      <c r="B4" s="22">
        <v>1</v>
      </c>
      <c r="C4" s="22"/>
      <c r="D4" s="22">
        <v>1</v>
      </c>
      <c r="E4" s="8">
        <f>IF(BD_ESTADISTICA_INF_B[[#This Row],[Lanzam.]]="","",IF(BD_ESTADISTICA_INF_B[[#This Row],[POSICION]]="jugador",B4/D4,C4/D4))</f>
        <v>1</v>
      </c>
      <c r="F4" s="22">
        <v>4</v>
      </c>
      <c r="G4" s="22"/>
      <c r="H4" s="22"/>
      <c r="I4" s="22"/>
      <c r="J4" s="22"/>
      <c r="K4" s="22"/>
      <c r="L4" s="22"/>
      <c r="M4" s="22"/>
      <c r="N4" s="22"/>
      <c r="O4" s="23">
        <v>3</v>
      </c>
      <c r="P4" s="24">
        <v>3</v>
      </c>
      <c r="Q4" s="25" t="s">
        <v>79</v>
      </c>
      <c r="R4" s="11" t="s">
        <v>102</v>
      </c>
      <c r="S4" s="26" t="str">
        <f>IF(OR(BD_ESTADISTICA_INF_B[[#This Row],[Jugador]]="eudald",BD_ESTADISTICA_INF_B[[#This Row],[Jugador]]="jules",BD_ESTADISTICA_INF_B[[#This Row],[Jugador]]="JAN"),"PORTERO","JUGADOR")</f>
        <v>JUGADOR</v>
      </c>
      <c r="T4" s="26">
        <f>IF(BD_ESTADISTICA_INF_B[[#This Row],[POSICION]]="jugador",BD_ESTADISTICA_INF_B[[#This Row],[Goles]],0)</f>
        <v>1</v>
      </c>
      <c r="U4" s="26">
        <f>IF(BD_ESTADISTICA_INF_B[[#This Row],[POSICION]]="portero",BD_ESTADISTICA_INF_B[[#This Row],[Lanzam.]]-BD_ESTADISTICA_INF_B[[#This Row],[Paradas]],0)</f>
        <v>0</v>
      </c>
      <c r="V4" s="26">
        <f>IF(BD_ESTADISTICA_INF_B[[#This Row],[POSICION]]="jugador",BD_ESTADISTICA_INF_B[[#This Row],[Lanzam.]],0)</f>
        <v>1</v>
      </c>
      <c r="W4" s="26">
        <f>IF(BD_ESTADISTICA_INF_B[[#This Row],[POSICION]]="portero",BD_ESTADISTICA_INF_B[[#This Row],[Lanzam.]],0)</f>
        <v>0</v>
      </c>
    </row>
    <row r="5" spans="1:23" hidden="1">
      <c r="A5" s="21" t="s">
        <v>19</v>
      </c>
      <c r="B5" s="22">
        <v>6</v>
      </c>
      <c r="C5" s="22"/>
      <c r="D5" s="22">
        <v>6</v>
      </c>
      <c r="E5" s="8">
        <f>IF(BD_ESTADISTICA_INF_B[[#This Row],[Lanzam.]]="","",IF(BD_ESTADISTICA_INF_B[[#This Row],[POSICION]]="jugador",B5/D5,C5/D5))</f>
        <v>1</v>
      </c>
      <c r="F5" s="22">
        <v>2</v>
      </c>
      <c r="G5" s="22"/>
      <c r="H5" s="22"/>
      <c r="I5" s="22"/>
      <c r="J5" s="22"/>
      <c r="K5" s="22"/>
      <c r="L5" s="22">
        <v>1</v>
      </c>
      <c r="M5" s="22"/>
      <c r="N5" s="22"/>
      <c r="O5" s="23">
        <v>3</v>
      </c>
      <c r="P5" s="24">
        <v>3</v>
      </c>
      <c r="Q5" s="25" t="s">
        <v>79</v>
      </c>
      <c r="R5" s="11" t="s">
        <v>102</v>
      </c>
      <c r="S5" s="26" t="str">
        <f>IF(OR(BD_ESTADISTICA_INF_B[[#This Row],[Jugador]]="eudald",BD_ESTADISTICA_INF_B[[#This Row],[Jugador]]="jules",BD_ESTADISTICA_INF_B[[#This Row],[Jugador]]="JAN"),"PORTERO","JUGADOR")</f>
        <v>JUGADOR</v>
      </c>
      <c r="T5" s="26">
        <f>IF(BD_ESTADISTICA_INF_B[[#This Row],[POSICION]]="jugador",BD_ESTADISTICA_INF_B[[#This Row],[Goles]],0)</f>
        <v>6</v>
      </c>
      <c r="U5" s="26">
        <f>IF(BD_ESTADISTICA_INF_B[[#This Row],[POSICION]]="portero",BD_ESTADISTICA_INF_B[[#This Row],[Lanzam.]]-BD_ESTADISTICA_INF_B[[#This Row],[Paradas]],0)</f>
        <v>0</v>
      </c>
      <c r="V5" s="26">
        <f>IF(BD_ESTADISTICA_INF_B[[#This Row],[POSICION]]="jugador",BD_ESTADISTICA_INF_B[[#This Row],[Lanzam.]],0)</f>
        <v>6</v>
      </c>
      <c r="W5" s="26">
        <f>IF(BD_ESTADISTICA_INF_B[[#This Row],[POSICION]]="portero",BD_ESTADISTICA_INF_B[[#This Row],[Lanzam.]],0)</f>
        <v>0</v>
      </c>
    </row>
    <row r="6" spans="1:23" hidden="1">
      <c r="A6" s="21" t="s">
        <v>20</v>
      </c>
      <c r="B6" s="22"/>
      <c r="C6" s="22"/>
      <c r="D6" s="22"/>
      <c r="E6" s="8" t="str">
        <f>IF(BD_ESTADISTICA_INF_B[[#This Row],[Lanzam.]]="","",IF(BD_ESTADISTICA_INF_B[[#This Row],[POSICION]]="jugador",B6/D6,C6/D6))</f>
        <v/>
      </c>
      <c r="F6" s="22"/>
      <c r="G6" s="22"/>
      <c r="H6" s="22"/>
      <c r="I6" s="22"/>
      <c r="J6" s="22"/>
      <c r="K6" s="22"/>
      <c r="L6" s="22">
        <v>1</v>
      </c>
      <c r="M6" s="22"/>
      <c r="N6" s="22"/>
      <c r="O6" s="23">
        <v>3</v>
      </c>
      <c r="P6" s="24">
        <v>3</v>
      </c>
      <c r="Q6" s="25" t="s">
        <v>79</v>
      </c>
      <c r="R6" s="11" t="s">
        <v>102</v>
      </c>
      <c r="S6" s="26" t="str">
        <f>IF(OR(BD_ESTADISTICA_INF_B[[#This Row],[Jugador]]="eudald",BD_ESTADISTICA_INF_B[[#This Row],[Jugador]]="jules",BD_ESTADISTICA_INF_B[[#This Row],[Jugador]]="JAN"),"PORTERO","JUGADOR")</f>
        <v>JUGADOR</v>
      </c>
      <c r="T6" s="26">
        <f>IF(BD_ESTADISTICA_INF_B[[#This Row],[POSICION]]="jugador",BD_ESTADISTICA_INF_B[[#This Row],[Goles]],0)</f>
        <v>0</v>
      </c>
      <c r="U6" s="26">
        <f>IF(BD_ESTADISTICA_INF_B[[#This Row],[POSICION]]="portero",BD_ESTADISTICA_INF_B[[#This Row],[Lanzam.]]-BD_ESTADISTICA_INF_B[[#This Row],[Paradas]],0)</f>
        <v>0</v>
      </c>
      <c r="V6" s="26">
        <f>IF(BD_ESTADISTICA_INF_B[[#This Row],[POSICION]]="jugador",BD_ESTADISTICA_INF_B[[#This Row],[Lanzam.]],0)</f>
        <v>0</v>
      </c>
      <c r="W6" s="26">
        <f>IF(BD_ESTADISTICA_INF_B[[#This Row],[POSICION]]="portero",BD_ESTADISTICA_INF_B[[#This Row],[Lanzam.]],0)</f>
        <v>0</v>
      </c>
    </row>
    <row r="7" spans="1:23" hidden="1">
      <c r="A7" s="21" t="s">
        <v>21</v>
      </c>
      <c r="B7" s="22">
        <v>7</v>
      </c>
      <c r="C7" s="22"/>
      <c r="D7" s="22">
        <v>8</v>
      </c>
      <c r="E7" s="8">
        <f>IF(BD_ESTADISTICA_INF_B[[#This Row],[Lanzam.]]="","",IF(BD_ESTADISTICA_INF_B[[#This Row],[POSICION]]="jugador",B7/D7,C7/D7))</f>
        <v>0.875</v>
      </c>
      <c r="F7" s="22"/>
      <c r="G7" s="22"/>
      <c r="H7" s="22"/>
      <c r="I7" s="22"/>
      <c r="J7" s="22"/>
      <c r="K7" s="22"/>
      <c r="L7" s="22"/>
      <c r="M7" s="22"/>
      <c r="N7" s="22">
        <v>1</v>
      </c>
      <c r="O7" s="23">
        <v>3</v>
      </c>
      <c r="P7" s="24">
        <v>3</v>
      </c>
      <c r="Q7" s="25" t="s">
        <v>79</v>
      </c>
      <c r="R7" s="11" t="s">
        <v>102</v>
      </c>
      <c r="S7" s="26" t="str">
        <f>IF(OR(BD_ESTADISTICA_INF_B[[#This Row],[Jugador]]="eudald",BD_ESTADISTICA_INF_B[[#This Row],[Jugador]]="jules",BD_ESTADISTICA_INF_B[[#This Row],[Jugador]]="JAN"),"PORTERO","JUGADOR")</f>
        <v>JUGADOR</v>
      </c>
      <c r="T7" s="26">
        <f>IF(BD_ESTADISTICA_INF_B[[#This Row],[POSICION]]="jugador",BD_ESTADISTICA_INF_B[[#This Row],[Goles]],0)</f>
        <v>7</v>
      </c>
      <c r="U7" s="26">
        <f>IF(BD_ESTADISTICA_INF_B[[#This Row],[POSICION]]="portero",BD_ESTADISTICA_INF_B[[#This Row],[Lanzam.]]-BD_ESTADISTICA_INF_B[[#This Row],[Paradas]],0)</f>
        <v>0</v>
      </c>
      <c r="V7" s="26">
        <f>IF(BD_ESTADISTICA_INF_B[[#This Row],[POSICION]]="jugador",BD_ESTADISTICA_INF_B[[#This Row],[Lanzam.]],0)</f>
        <v>8</v>
      </c>
      <c r="W7" s="26">
        <f>IF(BD_ESTADISTICA_INF_B[[#This Row],[POSICION]]="portero",BD_ESTADISTICA_INF_B[[#This Row],[Lanzam.]],0)</f>
        <v>0</v>
      </c>
    </row>
    <row r="8" spans="1:23" hidden="1">
      <c r="A8" s="21" t="s">
        <v>40</v>
      </c>
      <c r="B8" s="22">
        <v>2</v>
      </c>
      <c r="C8" s="22"/>
      <c r="D8" s="22">
        <v>2</v>
      </c>
      <c r="E8" s="8">
        <f>IF(BD_ESTADISTICA_INF_B[[#This Row],[Lanzam.]]="","",IF(BD_ESTADISTICA_INF_B[[#This Row],[POSICION]]="jugador",B8/D8,C8/D8))</f>
        <v>1</v>
      </c>
      <c r="F8" s="22">
        <v>6</v>
      </c>
      <c r="G8" s="22"/>
      <c r="H8" s="22"/>
      <c r="I8" s="22"/>
      <c r="J8" s="22">
        <v>1</v>
      </c>
      <c r="K8" s="22"/>
      <c r="L8" s="22"/>
      <c r="M8" s="22"/>
      <c r="N8" s="22"/>
      <c r="O8" s="23">
        <v>3</v>
      </c>
      <c r="P8" s="24">
        <v>3</v>
      </c>
      <c r="Q8" s="25" t="s">
        <v>79</v>
      </c>
      <c r="R8" s="11" t="s">
        <v>102</v>
      </c>
      <c r="S8" s="26" t="str">
        <f>IF(OR(BD_ESTADISTICA_INF_B[[#This Row],[Jugador]]="eudald",BD_ESTADISTICA_INF_B[[#This Row],[Jugador]]="jules",BD_ESTADISTICA_INF_B[[#This Row],[Jugador]]="JAN"),"PORTERO","JUGADOR")</f>
        <v>JUGADOR</v>
      </c>
      <c r="T8" s="26">
        <f>IF(BD_ESTADISTICA_INF_B[[#This Row],[POSICION]]="jugador",BD_ESTADISTICA_INF_B[[#This Row],[Goles]],0)</f>
        <v>2</v>
      </c>
      <c r="U8" s="26">
        <f>IF(BD_ESTADISTICA_INF_B[[#This Row],[POSICION]]="portero",BD_ESTADISTICA_INF_B[[#This Row],[Lanzam.]]-BD_ESTADISTICA_INF_B[[#This Row],[Paradas]],0)</f>
        <v>0</v>
      </c>
      <c r="V8" s="26">
        <f>IF(BD_ESTADISTICA_INF_B[[#This Row],[POSICION]]="jugador",BD_ESTADISTICA_INF_B[[#This Row],[Lanzam.]],0)</f>
        <v>2</v>
      </c>
      <c r="W8" s="26">
        <f>IF(BD_ESTADISTICA_INF_B[[#This Row],[POSICION]]="portero",BD_ESTADISTICA_INF_B[[#This Row],[Lanzam.]],0)</f>
        <v>0</v>
      </c>
    </row>
    <row r="9" spans="1:23" hidden="1">
      <c r="A9" s="21" t="s">
        <v>41</v>
      </c>
      <c r="B9" s="22">
        <v>2</v>
      </c>
      <c r="C9" s="22"/>
      <c r="D9" s="22">
        <v>3</v>
      </c>
      <c r="E9" s="8">
        <f>IF(BD_ESTADISTICA_INF_B[[#This Row],[Lanzam.]]="","",IF(BD_ESTADISTICA_INF_B[[#This Row],[POSICION]]="jugador",B9/D9,C9/D9))</f>
        <v>0.66666666666666663</v>
      </c>
      <c r="F9" s="22"/>
      <c r="G9" s="22"/>
      <c r="H9" s="22"/>
      <c r="I9" s="22"/>
      <c r="J9" s="22"/>
      <c r="K9" s="22"/>
      <c r="L9" s="22">
        <v>2</v>
      </c>
      <c r="M9" s="22"/>
      <c r="N9" s="22"/>
      <c r="O9" s="23">
        <v>3</v>
      </c>
      <c r="P9" s="24">
        <v>3</v>
      </c>
      <c r="Q9" s="25" t="s">
        <v>79</v>
      </c>
      <c r="R9" s="11" t="s">
        <v>102</v>
      </c>
      <c r="S9" s="26" t="str">
        <f>IF(OR(BD_ESTADISTICA_INF_B[[#This Row],[Jugador]]="eudald",BD_ESTADISTICA_INF_B[[#This Row],[Jugador]]="jules",BD_ESTADISTICA_INF_B[[#This Row],[Jugador]]="JAN"),"PORTERO","JUGADOR")</f>
        <v>JUGADOR</v>
      </c>
      <c r="T9" s="26">
        <f>IF(BD_ESTADISTICA_INF_B[[#This Row],[POSICION]]="jugador",BD_ESTADISTICA_INF_B[[#This Row],[Goles]],0)</f>
        <v>2</v>
      </c>
      <c r="U9" s="26">
        <f>IF(BD_ESTADISTICA_INF_B[[#This Row],[POSICION]]="portero",BD_ESTADISTICA_INF_B[[#This Row],[Lanzam.]]-BD_ESTADISTICA_INF_B[[#This Row],[Paradas]],0)</f>
        <v>0</v>
      </c>
      <c r="V9" s="26">
        <f>IF(BD_ESTADISTICA_INF_B[[#This Row],[POSICION]]="jugador",BD_ESTADISTICA_INF_B[[#This Row],[Lanzam.]],0)</f>
        <v>3</v>
      </c>
      <c r="W9" s="26">
        <f>IF(BD_ESTADISTICA_INF_B[[#This Row],[POSICION]]="portero",BD_ESTADISTICA_INF_B[[#This Row],[Lanzam.]],0)</f>
        <v>0</v>
      </c>
    </row>
    <row r="10" spans="1:23" hidden="1">
      <c r="A10" s="21" t="s">
        <v>23</v>
      </c>
      <c r="B10" s="22">
        <v>3</v>
      </c>
      <c r="C10" s="22"/>
      <c r="D10" s="22">
        <v>5</v>
      </c>
      <c r="E10" s="8">
        <f>IF(BD_ESTADISTICA_INF_B[[#This Row],[Lanzam.]]="","",IF(BD_ESTADISTICA_INF_B[[#This Row],[POSICION]]="jugador",B10/D10,C10/D10))</f>
        <v>0.6</v>
      </c>
      <c r="F10" s="22">
        <v>5</v>
      </c>
      <c r="G10" s="22"/>
      <c r="H10" s="22"/>
      <c r="I10" s="22"/>
      <c r="J10" s="22"/>
      <c r="K10" s="22"/>
      <c r="L10" s="22">
        <v>3</v>
      </c>
      <c r="M10" s="22"/>
      <c r="N10" s="22"/>
      <c r="O10" s="23">
        <v>3</v>
      </c>
      <c r="P10" s="24">
        <v>3</v>
      </c>
      <c r="Q10" s="25" t="s">
        <v>79</v>
      </c>
      <c r="R10" s="11" t="s">
        <v>102</v>
      </c>
      <c r="S10" s="26" t="str">
        <f>IF(OR(BD_ESTADISTICA_INF_B[[#This Row],[Jugador]]="eudald",BD_ESTADISTICA_INF_B[[#This Row],[Jugador]]="jules",BD_ESTADISTICA_INF_B[[#This Row],[Jugador]]="JAN"),"PORTERO","JUGADOR")</f>
        <v>JUGADOR</v>
      </c>
      <c r="T10" s="26">
        <f>IF(BD_ESTADISTICA_INF_B[[#This Row],[POSICION]]="jugador",BD_ESTADISTICA_INF_B[[#This Row],[Goles]],0)</f>
        <v>3</v>
      </c>
      <c r="U10" s="26">
        <f>IF(BD_ESTADISTICA_INF_B[[#This Row],[POSICION]]="portero",BD_ESTADISTICA_INF_B[[#This Row],[Lanzam.]]-BD_ESTADISTICA_INF_B[[#This Row],[Paradas]],0)</f>
        <v>0</v>
      </c>
      <c r="V10" s="26">
        <f>IF(BD_ESTADISTICA_INF_B[[#This Row],[POSICION]]="jugador",BD_ESTADISTICA_INF_B[[#This Row],[Lanzam.]],0)</f>
        <v>5</v>
      </c>
      <c r="W10" s="26">
        <f>IF(BD_ESTADISTICA_INF_B[[#This Row],[POSICION]]="portero",BD_ESTADISTICA_INF_B[[#This Row],[Lanzam.]],0)</f>
        <v>0</v>
      </c>
    </row>
    <row r="11" spans="1:23" hidden="1">
      <c r="A11" s="21" t="s">
        <v>24</v>
      </c>
      <c r="B11" s="22">
        <v>4</v>
      </c>
      <c r="C11" s="22"/>
      <c r="D11" s="22">
        <v>5</v>
      </c>
      <c r="E11" s="8">
        <f>IF(BD_ESTADISTICA_INF_B[[#This Row],[Lanzam.]]="","",IF(BD_ESTADISTICA_INF_B[[#This Row],[POSICION]]="jugador",B11/D11,C11/D11))</f>
        <v>0.8</v>
      </c>
      <c r="F11" s="22">
        <v>1</v>
      </c>
      <c r="G11" s="22"/>
      <c r="H11" s="22">
        <v>1</v>
      </c>
      <c r="I11" s="22"/>
      <c r="J11" s="22"/>
      <c r="K11" s="22"/>
      <c r="L11" s="22">
        <v>1</v>
      </c>
      <c r="M11" s="22"/>
      <c r="N11" s="22"/>
      <c r="O11" s="23">
        <v>3</v>
      </c>
      <c r="P11" s="24">
        <v>3</v>
      </c>
      <c r="Q11" s="25" t="s">
        <v>79</v>
      </c>
      <c r="R11" s="11" t="s">
        <v>102</v>
      </c>
      <c r="S11" s="26" t="str">
        <f>IF(OR(BD_ESTADISTICA_INF_B[[#This Row],[Jugador]]="eudald",BD_ESTADISTICA_INF_B[[#This Row],[Jugador]]="jules",BD_ESTADISTICA_INF_B[[#This Row],[Jugador]]="JAN"),"PORTERO","JUGADOR")</f>
        <v>JUGADOR</v>
      </c>
      <c r="T11" s="26">
        <f>IF(BD_ESTADISTICA_INF_B[[#This Row],[POSICION]]="jugador",BD_ESTADISTICA_INF_B[[#This Row],[Goles]],0)</f>
        <v>4</v>
      </c>
      <c r="U11" s="26">
        <f>IF(BD_ESTADISTICA_INF_B[[#This Row],[POSICION]]="portero",BD_ESTADISTICA_INF_B[[#This Row],[Lanzam.]]-BD_ESTADISTICA_INF_B[[#This Row],[Paradas]],0)</f>
        <v>0</v>
      </c>
      <c r="V11" s="26">
        <f>IF(BD_ESTADISTICA_INF_B[[#This Row],[POSICION]]="jugador",BD_ESTADISTICA_INF_B[[#This Row],[Lanzam.]],0)</f>
        <v>5</v>
      </c>
      <c r="W11" s="26">
        <f>IF(BD_ESTADISTICA_INF_B[[#This Row],[POSICION]]="portero",BD_ESTADISTICA_INF_B[[#This Row],[Lanzam.]],0)</f>
        <v>0</v>
      </c>
    </row>
    <row r="12" spans="1:23" hidden="1">
      <c r="A12" s="33" t="s">
        <v>25</v>
      </c>
      <c r="B12" s="22"/>
      <c r="C12" s="22"/>
      <c r="D12" s="22"/>
      <c r="E12" s="8" t="str">
        <f>IF(BD_ESTADISTICA_INF_B[[#This Row],[Lanzam.]]="","",IF(BD_ESTADISTICA_INF_B[[#This Row],[POSICION]]="jugador",B12/D12,C12/D12))</f>
        <v/>
      </c>
      <c r="F12" s="22"/>
      <c r="G12" s="22"/>
      <c r="H12" s="22"/>
      <c r="I12" s="22"/>
      <c r="J12" s="22"/>
      <c r="K12" s="22"/>
      <c r="L12" s="22"/>
      <c r="M12" s="22"/>
      <c r="N12" s="22"/>
      <c r="O12" s="23">
        <v>3</v>
      </c>
      <c r="P12" s="24">
        <v>3</v>
      </c>
      <c r="Q12" s="25" t="s">
        <v>79</v>
      </c>
      <c r="R12" s="11" t="s">
        <v>102</v>
      </c>
      <c r="S12" s="26" t="str">
        <f>IF(OR(BD_ESTADISTICA_INF_B[[#This Row],[Jugador]]="eudald",BD_ESTADISTICA_INF_B[[#This Row],[Jugador]]="jules",BD_ESTADISTICA_INF_B[[#This Row],[Jugador]]="JAN"),"PORTERO","JUGADOR")</f>
        <v>JUGADOR</v>
      </c>
      <c r="T12" s="26">
        <f>IF(BD_ESTADISTICA_INF_B[[#This Row],[POSICION]]="jugador",BD_ESTADISTICA_INF_B[[#This Row],[Goles]],0)</f>
        <v>0</v>
      </c>
      <c r="U12" s="26">
        <f>IF(BD_ESTADISTICA_INF_B[[#This Row],[POSICION]]="portero",BD_ESTADISTICA_INF_B[[#This Row],[Lanzam.]]-BD_ESTADISTICA_INF_B[[#This Row],[Paradas]],0)</f>
        <v>0</v>
      </c>
      <c r="V12" s="26">
        <f>IF(BD_ESTADISTICA_INF_B[[#This Row],[POSICION]]="jugador",BD_ESTADISTICA_INF_B[[#This Row],[Lanzam.]],0)</f>
        <v>0</v>
      </c>
      <c r="W12" s="26">
        <f>IF(BD_ESTADISTICA_INF_B[[#This Row],[POSICION]]="portero",BD_ESTADISTICA_INF_B[[#This Row],[Lanzam.]],0)</f>
        <v>0</v>
      </c>
    </row>
    <row r="13" spans="1:23" hidden="1">
      <c r="A13" s="21" t="s">
        <v>26</v>
      </c>
      <c r="B13" s="22">
        <v>5</v>
      </c>
      <c r="C13" s="22"/>
      <c r="D13" s="22">
        <v>5</v>
      </c>
      <c r="E13" s="8">
        <f>IF(BD_ESTADISTICA_INF_B[[#This Row],[Lanzam.]]="","",IF(BD_ESTADISTICA_INF_B[[#This Row],[POSICION]]="jugador",B13/D13,C13/D13))</f>
        <v>1</v>
      </c>
      <c r="F13" s="22">
        <v>2</v>
      </c>
      <c r="G13" s="22"/>
      <c r="H13" s="22"/>
      <c r="I13" s="22"/>
      <c r="J13" s="22"/>
      <c r="K13" s="22"/>
      <c r="L13" s="22">
        <v>6</v>
      </c>
      <c r="M13" s="22"/>
      <c r="N13" s="22"/>
      <c r="O13" s="23">
        <v>3</v>
      </c>
      <c r="P13" s="24">
        <v>3</v>
      </c>
      <c r="Q13" s="25" t="s">
        <v>79</v>
      </c>
      <c r="R13" s="11" t="s">
        <v>102</v>
      </c>
      <c r="S13" s="26" t="str">
        <f>IF(OR(BD_ESTADISTICA_INF_B[[#This Row],[Jugador]]="eudald",BD_ESTADISTICA_INF_B[[#This Row],[Jugador]]="jules",BD_ESTADISTICA_INF_B[[#This Row],[Jugador]]="JAN"),"PORTERO","JUGADOR")</f>
        <v>JUGADOR</v>
      </c>
      <c r="T13" s="26">
        <f>IF(BD_ESTADISTICA_INF_B[[#This Row],[POSICION]]="jugador",BD_ESTADISTICA_INF_B[[#This Row],[Goles]],0)</f>
        <v>5</v>
      </c>
      <c r="U13" s="26">
        <f>IF(BD_ESTADISTICA_INF_B[[#This Row],[POSICION]]="portero",BD_ESTADISTICA_INF_B[[#This Row],[Lanzam.]]-BD_ESTADISTICA_INF_B[[#This Row],[Paradas]],0)</f>
        <v>0</v>
      </c>
      <c r="V13" s="26">
        <f>IF(BD_ESTADISTICA_INF_B[[#This Row],[POSICION]]="jugador",BD_ESTADISTICA_INF_B[[#This Row],[Lanzam.]],0)</f>
        <v>5</v>
      </c>
      <c r="W13" s="26">
        <f>IF(BD_ESTADISTICA_INF_B[[#This Row],[POSICION]]="portero",BD_ESTADISTICA_INF_B[[#This Row],[Lanzam.]],0)</f>
        <v>0</v>
      </c>
    </row>
    <row r="14" spans="1:23" hidden="1">
      <c r="A14" s="33" t="s">
        <v>27</v>
      </c>
      <c r="B14" s="22"/>
      <c r="C14" s="22"/>
      <c r="D14" s="22"/>
      <c r="E14" s="8" t="str">
        <f>IF(BD_ESTADISTICA_INF_B[[#This Row],[Lanzam.]]="","",IF(BD_ESTADISTICA_INF_B[[#This Row],[POSICION]]="jugador",B14/D14,C14/D14))</f>
        <v/>
      </c>
      <c r="F14" s="22"/>
      <c r="G14" s="22"/>
      <c r="H14" s="22"/>
      <c r="I14" s="22"/>
      <c r="J14" s="22"/>
      <c r="K14" s="22"/>
      <c r="L14" s="22"/>
      <c r="M14" s="22"/>
      <c r="N14" s="22"/>
      <c r="O14" s="23">
        <v>3</v>
      </c>
      <c r="P14" s="24">
        <v>3</v>
      </c>
      <c r="Q14" s="25" t="s">
        <v>79</v>
      </c>
      <c r="R14" s="11" t="s">
        <v>102</v>
      </c>
      <c r="S14" s="26" t="str">
        <f>IF(OR(BD_ESTADISTICA_INF_B[[#This Row],[Jugador]]="eudald",BD_ESTADISTICA_INF_B[[#This Row],[Jugador]]="jules",BD_ESTADISTICA_INF_B[[#This Row],[Jugador]]="JAN"),"PORTERO","JUGADOR")</f>
        <v>JUGADOR</v>
      </c>
      <c r="T14" s="26">
        <f>IF(BD_ESTADISTICA_INF_B[[#This Row],[POSICION]]="jugador",BD_ESTADISTICA_INF_B[[#This Row],[Goles]],0)</f>
        <v>0</v>
      </c>
      <c r="U14" s="26">
        <f>IF(BD_ESTADISTICA_INF_B[[#This Row],[POSICION]]="portero",BD_ESTADISTICA_INF_B[[#This Row],[Lanzam.]]-BD_ESTADISTICA_INF_B[[#This Row],[Paradas]],0)</f>
        <v>0</v>
      </c>
      <c r="V14" s="26">
        <f>IF(BD_ESTADISTICA_INF_B[[#This Row],[POSICION]]="jugador",BD_ESTADISTICA_INF_B[[#This Row],[Lanzam.]],0)</f>
        <v>0</v>
      </c>
      <c r="W14" s="26">
        <f>IF(BD_ESTADISTICA_INF_B[[#This Row],[POSICION]]="portero",BD_ESTADISTICA_INF_B[[#This Row],[Lanzam.]],0)</f>
        <v>0</v>
      </c>
    </row>
    <row r="15" spans="1:23" hidden="1">
      <c r="A15" s="21" t="s">
        <v>28</v>
      </c>
      <c r="B15" s="22">
        <v>3</v>
      </c>
      <c r="C15" s="22"/>
      <c r="D15" s="22">
        <v>3</v>
      </c>
      <c r="E15" s="8">
        <f>IF(BD_ESTADISTICA_INF_B[[#This Row],[Lanzam.]]="","",IF(BD_ESTADISTICA_INF_B[[#This Row],[POSICION]]="jugador",B15/D15,C15/D15))</f>
        <v>1</v>
      </c>
      <c r="F15" s="22">
        <v>3</v>
      </c>
      <c r="G15" s="22"/>
      <c r="H15" s="22"/>
      <c r="I15" s="22"/>
      <c r="J15" s="22"/>
      <c r="K15" s="22"/>
      <c r="L15" s="22">
        <v>1</v>
      </c>
      <c r="M15" s="22"/>
      <c r="N15" s="22"/>
      <c r="O15" s="23">
        <v>3</v>
      </c>
      <c r="P15" s="24">
        <v>3</v>
      </c>
      <c r="Q15" s="25" t="s">
        <v>79</v>
      </c>
      <c r="R15" s="11" t="s">
        <v>102</v>
      </c>
      <c r="S15" s="26" t="str">
        <f>IF(OR(BD_ESTADISTICA_INF_B[[#This Row],[Jugador]]="eudald",BD_ESTADISTICA_INF_B[[#This Row],[Jugador]]="jules",BD_ESTADISTICA_INF_B[[#This Row],[Jugador]]="JAN"),"PORTERO","JUGADOR")</f>
        <v>JUGADOR</v>
      </c>
      <c r="T15" s="26">
        <f>IF(BD_ESTADISTICA_INF_B[[#This Row],[POSICION]]="jugador",BD_ESTADISTICA_INF_B[[#This Row],[Goles]],0)</f>
        <v>3</v>
      </c>
      <c r="U15" s="26">
        <f>IF(BD_ESTADISTICA_INF_B[[#This Row],[POSICION]]="portero",BD_ESTADISTICA_INF_B[[#This Row],[Lanzam.]]-BD_ESTADISTICA_INF_B[[#This Row],[Paradas]],0)</f>
        <v>0</v>
      </c>
      <c r="V15" s="26">
        <f>IF(BD_ESTADISTICA_INF_B[[#This Row],[POSICION]]="jugador",BD_ESTADISTICA_INF_B[[#This Row],[Lanzam.]],0)</f>
        <v>3</v>
      </c>
      <c r="W15" s="26">
        <f>IF(BD_ESTADISTICA_INF_B[[#This Row],[POSICION]]="portero",BD_ESTADISTICA_INF_B[[#This Row],[Lanzam.]],0)</f>
        <v>0</v>
      </c>
    </row>
    <row r="16" spans="1:23" hidden="1">
      <c r="A16" s="21" t="s">
        <v>31</v>
      </c>
      <c r="B16" s="28">
        <v>1</v>
      </c>
      <c r="C16" s="22">
        <v>1</v>
      </c>
      <c r="D16" s="22">
        <v>4</v>
      </c>
      <c r="E16" s="8">
        <f>IF(BD_ESTADISTICA_INF_B[[#This Row],[Lanzam.]]="","",IF(BD_ESTADISTICA_INF_B[[#This Row],[POSICION]]="jugador",B16/D16,C16/D16))</f>
        <v>0.25</v>
      </c>
      <c r="F16" s="22"/>
      <c r="G16" s="22"/>
      <c r="H16" s="22"/>
      <c r="I16" s="22"/>
      <c r="J16" s="22"/>
      <c r="K16" s="22"/>
      <c r="L16" s="22"/>
      <c r="M16" s="22"/>
      <c r="N16" s="22"/>
      <c r="O16" s="23">
        <v>3</v>
      </c>
      <c r="P16" s="24">
        <v>3</v>
      </c>
      <c r="Q16" s="25" t="s">
        <v>79</v>
      </c>
      <c r="R16" s="11" t="s">
        <v>102</v>
      </c>
      <c r="S16" s="26" t="str">
        <f>IF(OR(BD_ESTADISTICA_INF_B[[#This Row],[Jugador]]="eudald",BD_ESTADISTICA_INF_B[[#This Row],[Jugador]]="jules",BD_ESTADISTICA_INF_B[[#This Row],[Jugador]]="JAN"),"PORTERO","JUGADOR")</f>
        <v>PORTERO</v>
      </c>
      <c r="T16" s="26">
        <f>IF(BD_ESTADISTICA_INF_B[[#This Row],[POSICION]]="jugador",BD_ESTADISTICA_INF_B[[#This Row],[Goles]],0)</f>
        <v>0</v>
      </c>
      <c r="U16" s="26">
        <f>IF(BD_ESTADISTICA_INF_B[[#This Row],[POSICION]]="portero",BD_ESTADISTICA_INF_B[[#This Row],[Lanzam.]]-BD_ESTADISTICA_INF_B[[#This Row],[Paradas]],0)</f>
        <v>3</v>
      </c>
      <c r="V16" s="26">
        <f>IF(BD_ESTADISTICA_INF_B[[#This Row],[POSICION]]="jugador",BD_ESTADISTICA_INF_B[[#This Row],[Lanzam.]],0)</f>
        <v>0</v>
      </c>
      <c r="W16" s="26">
        <f>IF(BD_ESTADISTICA_INF_B[[#This Row],[POSICION]]="portero",BD_ESTADISTICA_INF_B[[#This Row],[Lanzam.]],0)</f>
        <v>4</v>
      </c>
    </row>
    <row r="17" spans="1:23" hidden="1">
      <c r="A17" s="33" t="s">
        <v>29</v>
      </c>
      <c r="B17" s="22"/>
      <c r="C17" s="22"/>
      <c r="D17" s="22"/>
      <c r="E17" s="8" t="str">
        <f>IF(BD_ESTADISTICA_INF_B[[#This Row],[Lanzam.]]="","",IF(BD_ESTADISTICA_INF_B[[#This Row],[POSICION]]="jugador",B17/D17,C17/D17))</f>
        <v/>
      </c>
      <c r="F17" s="22"/>
      <c r="G17" s="22"/>
      <c r="H17" s="22"/>
      <c r="I17" s="22"/>
      <c r="J17" s="22"/>
      <c r="K17" s="22"/>
      <c r="L17" s="22"/>
      <c r="M17" s="22"/>
      <c r="N17" s="22"/>
      <c r="O17" s="23">
        <v>3</v>
      </c>
      <c r="P17" s="24">
        <v>3</v>
      </c>
      <c r="Q17" s="25" t="s">
        <v>79</v>
      </c>
      <c r="R17" s="11" t="s">
        <v>102</v>
      </c>
      <c r="S17" s="26" t="str">
        <f>IF(OR(BD_ESTADISTICA_INF_B[[#This Row],[Jugador]]="eudald",BD_ESTADISTICA_INF_B[[#This Row],[Jugador]]="jules",BD_ESTADISTICA_INF_B[[#This Row],[Jugador]]="JAN"),"PORTERO","JUGADOR")</f>
        <v>PORTERO</v>
      </c>
      <c r="T17" s="26">
        <f>IF(BD_ESTADISTICA_INF_B[[#This Row],[POSICION]]="jugador",BD_ESTADISTICA_INF_B[[#This Row],[Goles]],0)</f>
        <v>0</v>
      </c>
      <c r="U17" s="26">
        <f>IF(BD_ESTADISTICA_INF_B[[#This Row],[POSICION]]="portero",BD_ESTADISTICA_INF_B[[#This Row],[Lanzam.]]-BD_ESTADISTICA_INF_B[[#This Row],[Paradas]],0)</f>
        <v>0</v>
      </c>
      <c r="V17" s="26">
        <f>IF(BD_ESTADISTICA_INF_B[[#This Row],[POSICION]]="jugador",BD_ESTADISTICA_INF_B[[#This Row],[Lanzam.]],0)</f>
        <v>0</v>
      </c>
      <c r="W17" s="26">
        <f>IF(BD_ESTADISTICA_INF_B[[#This Row],[POSICION]]="portero",BD_ESTADISTICA_INF_B[[#This Row],[Lanzam.]],0)</f>
        <v>0</v>
      </c>
    </row>
    <row r="18" spans="1:23" hidden="1">
      <c r="A18" s="21" t="s">
        <v>30</v>
      </c>
      <c r="B18" s="28">
        <v>5</v>
      </c>
      <c r="C18" s="22">
        <v>5</v>
      </c>
      <c r="D18" s="22">
        <v>10</v>
      </c>
      <c r="E18" s="8">
        <f>IF(BD_ESTADISTICA_INF_B[[#This Row],[Lanzam.]]="","",IF(BD_ESTADISTICA_INF_B[[#This Row],[POSICION]]="jugador",B18/D18,C18/D18))</f>
        <v>0.5</v>
      </c>
      <c r="F18" s="22">
        <v>1</v>
      </c>
      <c r="G18" s="22"/>
      <c r="H18" s="22"/>
      <c r="I18" s="22"/>
      <c r="J18" s="22"/>
      <c r="K18" s="22"/>
      <c r="L18" s="22"/>
      <c r="M18" s="22"/>
      <c r="N18" s="22"/>
      <c r="O18" s="23">
        <v>3</v>
      </c>
      <c r="P18" s="24">
        <v>3</v>
      </c>
      <c r="Q18" s="25" t="s">
        <v>79</v>
      </c>
      <c r="R18" s="11" t="s">
        <v>102</v>
      </c>
      <c r="S18" s="26" t="str">
        <f>IF(OR(BD_ESTADISTICA_INF_B[[#This Row],[Jugador]]="eudald",BD_ESTADISTICA_INF_B[[#This Row],[Jugador]]="jules",BD_ESTADISTICA_INF_B[[#This Row],[Jugador]]="JAN"),"PORTERO","JUGADOR")</f>
        <v>PORTERO</v>
      </c>
      <c r="T18" s="26">
        <f>IF(BD_ESTADISTICA_INF_B[[#This Row],[POSICION]]="jugador",BD_ESTADISTICA_INF_B[[#This Row],[Goles]],0)</f>
        <v>0</v>
      </c>
      <c r="U18" s="26">
        <f>IF(BD_ESTADISTICA_INF_B[[#This Row],[POSICION]]="portero",BD_ESTADISTICA_INF_B[[#This Row],[Lanzam.]]-BD_ESTADISTICA_INF_B[[#This Row],[Paradas]],0)</f>
        <v>5</v>
      </c>
      <c r="V18" s="26">
        <f>IF(BD_ESTADISTICA_INF_B[[#This Row],[POSICION]]="jugador",BD_ESTADISTICA_INF_B[[#This Row],[Lanzam.]],0)</f>
        <v>0</v>
      </c>
      <c r="W18" s="26">
        <f>IF(BD_ESTADISTICA_INF_B[[#This Row],[POSICION]]="portero",BD_ESTADISTICA_INF_B[[#This Row],[Lanzam.]],0)</f>
        <v>10</v>
      </c>
    </row>
    <row r="19" spans="1:23" hidden="1">
      <c r="A19" s="21" t="s">
        <v>42</v>
      </c>
      <c r="B19" s="22">
        <v>5</v>
      </c>
      <c r="C19" s="22"/>
      <c r="D19" s="22">
        <v>5</v>
      </c>
      <c r="E19" s="8">
        <f>IF(BD_ESTADISTICA_INF_B[[#This Row],[Lanzam.]]="","",IF(BD_ESTADISTICA_INF_B[[#This Row],[POSICION]]="jugador",B19/D19,C19/D19))</f>
        <v>1</v>
      </c>
      <c r="F19" s="22"/>
      <c r="G19" s="22">
        <v>1</v>
      </c>
      <c r="H19" s="22"/>
      <c r="I19" s="22"/>
      <c r="J19" s="22">
        <v>1</v>
      </c>
      <c r="K19" s="22"/>
      <c r="L19" s="22"/>
      <c r="M19" s="22"/>
      <c r="N19" s="22"/>
      <c r="O19" s="23">
        <v>3</v>
      </c>
      <c r="P19" s="24">
        <v>3</v>
      </c>
      <c r="Q19" s="25" t="s">
        <v>79</v>
      </c>
      <c r="R19" s="11" t="s">
        <v>102</v>
      </c>
      <c r="S19" s="26" t="str">
        <f>IF(OR(BD_ESTADISTICA_INF_B[[#This Row],[Jugador]]="eudald",BD_ESTADISTICA_INF_B[[#This Row],[Jugador]]="jules",BD_ESTADISTICA_INF_B[[#This Row],[Jugador]]="JAN"),"PORTERO","JUGADOR")</f>
        <v>JUGADOR</v>
      </c>
      <c r="T19" s="26">
        <f>IF(BD_ESTADISTICA_INF_B[[#This Row],[POSICION]]="jugador",BD_ESTADISTICA_INF_B[[#This Row],[Goles]],0)</f>
        <v>5</v>
      </c>
      <c r="U19" s="26">
        <f>IF(BD_ESTADISTICA_INF_B[[#This Row],[POSICION]]="portero",BD_ESTADISTICA_INF_B[[#This Row],[Lanzam.]]-BD_ESTADISTICA_INF_B[[#This Row],[Paradas]],0)</f>
        <v>0</v>
      </c>
      <c r="V19" s="26">
        <f>IF(BD_ESTADISTICA_INF_B[[#This Row],[POSICION]]="jugador",BD_ESTADISTICA_INF_B[[#This Row],[Lanzam.]],0)</f>
        <v>5</v>
      </c>
      <c r="W19" s="26">
        <f>IF(BD_ESTADISTICA_INF_B[[#This Row],[POSICION]]="portero",BD_ESTADISTICA_INF_B[[#This Row],[Lanzam.]],0)</f>
        <v>0</v>
      </c>
    </row>
    <row r="20" spans="1:23" hidden="1">
      <c r="A20" s="21" t="s">
        <v>22</v>
      </c>
      <c r="B20" s="22"/>
      <c r="C20" s="22"/>
      <c r="D20" s="22"/>
      <c r="E20" s="8" t="str">
        <f>IF(BD_ESTADISTICA_INF_B[[#This Row],[Lanzam.]]="","",IF(BD_ESTADISTICA_INF_B[[#This Row],[POSICION]]="jugador",B20/D20,C20/D20))</f>
        <v/>
      </c>
      <c r="F20" s="22"/>
      <c r="G20" s="22"/>
      <c r="H20" s="22"/>
      <c r="I20" s="22"/>
      <c r="J20" s="22"/>
      <c r="K20" s="22"/>
      <c r="L20" s="22"/>
      <c r="M20" s="22"/>
      <c r="N20" s="22"/>
      <c r="O20" s="23">
        <v>3</v>
      </c>
      <c r="P20" s="24">
        <v>3</v>
      </c>
      <c r="Q20" s="25" t="s">
        <v>79</v>
      </c>
      <c r="R20" s="11" t="s">
        <v>102</v>
      </c>
      <c r="S20" s="26" t="str">
        <f>IF(OR(BD_ESTADISTICA_INF_B[[#This Row],[Jugador]]="eudald",BD_ESTADISTICA_INF_B[[#This Row],[Jugador]]="jules",BD_ESTADISTICA_INF_B[[#This Row],[Jugador]]="JAN"),"PORTERO","JUGADOR")</f>
        <v>JUGADOR</v>
      </c>
      <c r="T20" s="26">
        <f>IF(BD_ESTADISTICA_INF_B[[#This Row],[POSICION]]="jugador",BD_ESTADISTICA_INF_B[[#This Row],[Goles]],0)</f>
        <v>0</v>
      </c>
      <c r="U20" s="26">
        <f>IF(BD_ESTADISTICA_INF_B[[#This Row],[POSICION]]="portero",BD_ESTADISTICA_INF_B[[#This Row],[Lanzam.]]-BD_ESTADISTICA_INF_B[[#This Row],[Paradas]],0)</f>
        <v>0</v>
      </c>
      <c r="V20" s="26">
        <f>IF(BD_ESTADISTICA_INF_B[[#This Row],[POSICION]]="jugador",BD_ESTADISTICA_INF_B[[#This Row],[Lanzam.]],0)</f>
        <v>0</v>
      </c>
      <c r="W20" s="26">
        <f>IF(BD_ESTADISTICA_INF_B[[#This Row],[POSICION]]="portero",BD_ESTADISTICA_INF_B[[#This Row],[Lanzam.]],0)</f>
        <v>0</v>
      </c>
    </row>
    <row r="21" spans="1:23" hidden="1">
      <c r="A21" s="21" t="s">
        <v>16</v>
      </c>
      <c r="B21" s="22">
        <v>9</v>
      </c>
      <c r="C21" s="22"/>
      <c r="D21" s="22">
        <v>9</v>
      </c>
      <c r="E21" s="8">
        <f>IF(BD_ESTADISTICA_INF_B[[#This Row],[Lanzam.]]="","",IF(BD_ESTADISTICA_INF_B[[#This Row],[POSICION]]="jugador",B21/D21,C21/D21))</f>
        <v>1</v>
      </c>
      <c r="F21" s="22">
        <v>2</v>
      </c>
      <c r="G21" s="22">
        <v>1</v>
      </c>
      <c r="H21" s="22"/>
      <c r="I21" s="22"/>
      <c r="J21" s="22"/>
      <c r="K21" s="22"/>
      <c r="L21" s="22">
        <v>3</v>
      </c>
      <c r="M21" s="22">
        <v>1</v>
      </c>
      <c r="N21" s="22"/>
      <c r="O21" s="23">
        <v>4</v>
      </c>
      <c r="P21" s="24">
        <v>3</v>
      </c>
      <c r="Q21" s="25" t="s">
        <v>103</v>
      </c>
      <c r="R21" s="11" t="s">
        <v>104</v>
      </c>
      <c r="S21" s="26" t="str">
        <f>IF(OR(BD_ESTADISTICA_INF_B[[#This Row],[Jugador]]="eudald",BD_ESTADISTICA_INF_B[[#This Row],[Jugador]]="jules",BD_ESTADISTICA_INF_B[[#This Row],[Jugador]]="JAN"),"PORTERO","JUGADOR")</f>
        <v>JUGADOR</v>
      </c>
      <c r="T21" s="26">
        <f>IF(BD_ESTADISTICA_INF_B[[#This Row],[POSICION]]="jugador",BD_ESTADISTICA_INF_B[[#This Row],[Goles]],0)</f>
        <v>9</v>
      </c>
      <c r="U21" s="26">
        <f>IF(BD_ESTADISTICA_INF_B[[#This Row],[POSICION]]="portero",BD_ESTADISTICA_INF_B[[#This Row],[Lanzam.]]-BD_ESTADISTICA_INF_B[[#This Row],[Paradas]],0)</f>
        <v>0</v>
      </c>
      <c r="V21" s="26">
        <f>IF(BD_ESTADISTICA_INF_B[[#This Row],[POSICION]]="jugador",BD_ESTADISTICA_INF_B[[#This Row],[Lanzam.]],0)</f>
        <v>9</v>
      </c>
      <c r="W21" s="26">
        <f>IF(BD_ESTADISTICA_INF_B[[#This Row],[POSICION]]="portero",BD_ESTADISTICA_INF_B[[#This Row],[Lanzam.]],0)</f>
        <v>0</v>
      </c>
    </row>
    <row r="22" spans="1:23" hidden="1">
      <c r="A22" s="21" t="s">
        <v>17</v>
      </c>
      <c r="B22" s="22">
        <v>5</v>
      </c>
      <c r="C22" s="22"/>
      <c r="D22" s="22">
        <v>5</v>
      </c>
      <c r="E22" s="8">
        <f>IF(BD_ESTADISTICA_INF_B[[#This Row],[Lanzam.]]="","",IF(BD_ESTADISTICA_INF_B[[#This Row],[POSICION]]="jugador",B22/D22,C22/D22))</f>
        <v>1</v>
      </c>
      <c r="F22" s="22"/>
      <c r="G22" s="22">
        <v>1</v>
      </c>
      <c r="H22" s="22"/>
      <c r="I22" s="22"/>
      <c r="J22" s="22"/>
      <c r="K22" s="22"/>
      <c r="L22" s="22">
        <v>1</v>
      </c>
      <c r="M22" s="22"/>
      <c r="N22" s="22"/>
      <c r="O22" s="23">
        <v>4</v>
      </c>
      <c r="P22" s="24">
        <v>3</v>
      </c>
      <c r="Q22" s="25" t="s">
        <v>103</v>
      </c>
      <c r="R22" s="11" t="s">
        <v>104</v>
      </c>
      <c r="S22" s="26" t="str">
        <f>IF(OR(BD_ESTADISTICA_INF_B[[#This Row],[Jugador]]="eudald",BD_ESTADISTICA_INF_B[[#This Row],[Jugador]]="jules",BD_ESTADISTICA_INF_B[[#This Row],[Jugador]]="JAN"),"PORTERO","JUGADOR")</f>
        <v>JUGADOR</v>
      </c>
      <c r="T22" s="26">
        <f>IF(BD_ESTADISTICA_INF_B[[#This Row],[POSICION]]="jugador",BD_ESTADISTICA_INF_B[[#This Row],[Goles]],0)</f>
        <v>5</v>
      </c>
      <c r="U22" s="26">
        <f>IF(BD_ESTADISTICA_INF_B[[#This Row],[POSICION]]="portero",BD_ESTADISTICA_INF_B[[#This Row],[Lanzam.]]-BD_ESTADISTICA_INF_B[[#This Row],[Paradas]],0)</f>
        <v>0</v>
      </c>
      <c r="V22" s="26">
        <f>IF(BD_ESTADISTICA_INF_B[[#This Row],[POSICION]]="jugador",BD_ESTADISTICA_INF_B[[#This Row],[Lanzam.]],0)</f>
        <v>5</v>
      </c>
      <c r="W22" s="26">
        <f>IF(BD_ESTADISTICA_INF_B[[#This Row],[POSICION]]="portero",BD_ESTADISTICA_INF_B[[#This Row],[Lanzam.]],0)</f>
        <v>0</v>
      </c>
    </row>
    <row r="23" spans="1:23" hidden="1">
      <c r="A23" s="21" t="s">
        <v>18</v>
      </c>
      <c r="B23" s="22"/>
      <c r="C23" s="22"/>
      <c r="D23" s="22"/>
      <c r="E23" s="8" t="str">
        <f>IF(BD_ESTADISTICA_INF_B[[#This Row],[Lanzam.]]="","",IF(BD_ESTADISTICA_INF_B[[#This Row],[POSICION]]="jugador",B23/D23,C23/D23))</f>
        <v/>
      </c>
      <c r="F23" s="22">
        <v>6</v>
      </c>
      <c r="G23" s="22"/>
      <c r="H23" s="22">
        <v>1</v>
      </c>
      <c r="I23" s="22"/>
      <c r="J23" s="22"/>
      <c r="K23" s="22"/>
      <c r="L23" s="22"/>
      <c r="M23" s="22"/>
      <c r="N23" s="22">
        <v>1</v>
      </c>
      <c r="O23" s="23">
        <v>4</v>
      </c>
      <c r="P23" s="24">
        <v>3</v>
      </c>
      <c r="Q23" s="25" t="s">
        <v>103</v>
      </c>
      <c r="R23" s="11" t="s">
        <v>104</v>
      </c>
      <c r="S23" s="26" t="str">
        <f>IF(OR(BD_ESTADISTICA_INF_B[[#This Row],[Jugador]]="eudald",BD_ESTADISTICA_INF_B[[#This Row],[Jugador]]="jules",BD_ESTADISTICA_INF_B[[#This Row],[Jugador]]="JAN"),"PORTERO","JUGADOR")</f>
        <v>JUGADOR</v>
      </c>
      <c r="T23" s="26">
        <f>IF(BD_ESTADISTICA_INF_B[[#This Row],[POSICION]]="jugador",BD_ESTADISTICA_INF_B[[#This Row],[Goles]],0)</f>
        <v>0</v>
      </c>
      <c r="U23" s="26">
        <f>IF(BD_ESTADISTICA_INF_B[[#This Row],[POSICION]]="portero",BD_ESTADISTICA_INF_B[[#This Row],[Lanzam.]]-BD_ESTADISTICA_INF_B[[#This Row],[Paradas]],0)</f>
        <v>0</v>
      </c>
      <c r="V23" s="26">
        <f>IF(BD_ESTADISTICA_INF_B[[#This Row],[POSICION]]="jugador",BD_ESTADISTICA_INF_B[[#This Row],[Lanzam.]],0)</f>
        <v>0</v>
      </c>
      <c r="W23" s="26">
        <f>IF(BD_ESTADISTICA_INF_B[[#This Row],[POSICION]]="portero",BD_ESTADISTICA_INF_B[[#This Row],[Lanzam.]],0)</f>
        <v>0</v>
      </c>
    </row>
    <row r="24" spans="1:23" hidden="1">
      <c r="A24" s="33" t="s">
        <v>19</v>
      </c>
      <c r="B24" s="22"/>
      <c r="C24" s="22"/>
      <c r="D24" s="22"/>
      <c r="E24" s="8" t="str">
        <f>IF(BD_ESTADISTICA_INF_B[[#This Row],[Lanzam.]]="","",IF(BD_ESTADISTICA_INF_B[[#This Row],[POSICION]]="jugador",B24/D24,C24/D24))</f>
        <v/>
      </c>
      <c r="F24" s="22"/>
      <c r="G24" s="22"/>
      <c r="H24" s="22"/>
      <c r="I24" s="22"/>
      <c r="J24" s="22"/>
      <c r="K24" s="22"/>
      <c r="L24" s="22"/>
      <c r="M24" s="22"/>
      <c r="N24" s="22"/>
      <c r="O24" s="23">
        <v>4</v>
      </c>
      <c r="P24" s="24">
        <v>3</v>
      </c>
      <c r="Q24" s="25" t="s">
        <v>103</v>
      </c>
      <c r="R24" s="11" t="s">
        <v>104</v>
      </c>
      <c r="S24" s="26" t="str">
        <f>IF(OR(BD_ESTADISTICA_INF_B[[#This Row],[Jugador]]="eudald",BD_ESTADISTICA_INF_B[[#This Row],[Jugador]]="jules",BD_ESTADISTICA_INF_B[[#This Row],[Jugador]]="JAN"),"PORTERO","JUGADOR")</f>
        <v>JUGADOR</v>
      </c>
      <c r="T24" s="26">
        <f>IF(BD_ESTADISTICA_INF_B[[#This Row],[POSICION]]="jugador",BD_ESTADISTICA_INF_B[[#This Row],[Goles]],0)</f>
        <v>0</v>
      </c>
      <c r="U24" s="26">
        <f>IF(BD_ESTADISTICA_INF_B[[#This Row],[POSICION]]="portero",BD_ESTADISTICA_INF_B[[#This Row],[Lanzam.]]-BD_ESTADISTICA_INF_B[[#This Row],[Paradas]],0)</f>
        <v>0</v>
      </c>
      <c r="V24" s="26">
        <f>IF(BD_ESTADISTICA_INF_B[[#This Row],[POSICION]]="jugador",BD_ESTADISTICA_INF_B[[#This Row],[Lanzam.]],0)</f>
        <v>0</v>
      </c>
      <c r="W24" s="26">
        <f>IF(BD_ESTADISTICA_INF_B[[#This Row],[POSICION]]="portero",BD_ESTADISTICA_INF_B[[#This Row],[Lanzam.]],0)</f>
        <v>0</v>
      </c>
    </row>
    <row r="25" spans="1:23" hidden="1">
      <c r="A25" s="21" t="s">
        <v>20</v>
      </c>
      <c r="B25" s="22">
        <v>2</v>
      </c>
      <c r="C25" s="22"/>
      <c r="D25" s="22">
        <v>2</v>
      </c>
      <c r="E25" s="8">
        <f>IF(BD_ESTADISTICA_INF_B[[#This Row],[Lanzam.]]="","",IF(BD_ESTADISTICA_INF_B[[#This Row],[POSICION]]="jugador",B25/D25,C25/D25))</f>
        <v>1</v>
      </c>
      <c r="F25" s="22">
        <v>3</v>
      </c>
      <c r="G25" s="22">
        <v>1</v>
      </c>
      <c r="H25" s="22">
        <v>1</v>
      </c>
      <c r="I25" s="22"/>
      <c r="J25" s="22"/>
      <c r="K25" s="22"/>
      <c r="L25" s="22"/>
      <c r="M25" s="22"/>
      <c r="N25" s="22"/>
      <c r="O25" s="23">
        <v>4</v>
      </c>
      <c r="P25" s="24">
        <v>3</v>
      </c>
      <c r="Q25" s="25" t="s">
        <v>103</v>
      </c>
      <c r="R25" s="11" t="s">
        <v>104</v>
      </c>
      <c r="S25" s="26" t="str">
        <f>IF(OR(BD_ESTADISTICA_INF_B[[#This Row],[Jugador]]="eudald",BD_ESTADISTICA_INF_B[[#This Row],[Jugador]]="jules",BD_ESTADISTICA_INF_B[[#This Row],[Jugador]]="JAN"),"PORTERO","JUGADOR")</f>
        <v>JUGADOR</v>
      </c>
      <c r="T25" s="26">
        <f>IF(BD_ESTADISTICA_INF_B[[#This Row],[POSICION]]="jugador",BD_ESTADISTICA_INF_B[[#This Row],[Goles]],0)</f>
        <v>2</v>
      </c>
      <c r="U25" s="26">
        <f>IF(BD_ESTADISTICA_INF_B[[#This Row],[POSICION]]="portero",BD_ESTADISTICA_INF_B[[#This Row],[Lanzam.]]-BD_ESTADISTICA_INF_B[[#This Row],[Paradas]],0)</f>
        <v>0</v>
      </c>
      <c r="V25" s="26">
        <f>IF(BD_ESTADISTICA_INF_B[[#This Row],[POSICION]]="jugador",BD_ESTADISTICA_INF_B[[#This Row],[Lanzam.]],0)</f>
        <v>2</v>
      </c>
      <c r="W25" s="26">
        <f>IF(BD_ESTADISTICA_INF_B[[#This Row],[POSICION]]="portero",BD_ESTADISTICA_INF_B[[#This Row],[Lanzam.]],0)</f>
        <v>0</v>
      </c>
    </row>
    <row r="26" spans="1:23" hidden="1">
      <c r="A26" s="21" t="s">
        <v>21</v>
      </c>
      <c r="B26" s="22">
        <v>4</v>
      </c>
      <c r="C26" s="22"/>
      <c r="D26" s="22">
        <v>5</v>
      </c>
      <c r="E26" s="8">
        <f>IF(BD_ESTADISTICA_INF_B[[#This Row],[Lanzam.]]="","",IF(BD_ESTADISTICA_INF_B[[#This Row],[POSICION]]="jugador",B26/D26,C26/D26))</f>
        <v>0.8</v>
      </c>
      <c r="F26" s="22">
        <v>1</v>
      </c>
      <c r="G26" s="22"/>
      <c r="H26" s="22"/>
      <c r="I26" s="22"/>
      <c r="J26" s="22"/>
      <c r="K26" s="22"/>
      <c r="L26" s="22">
        <v>3</v>
      </c>
      <c r="M26" s="22"/>
      <c r="N26" s="22"/>
      <c r="O26" s="23">
        <v>4</v>
      </c>
      <c r="P26" s="24">
        <v>3</v>
      </c>
      <c r="Q26" s="25" t="s">
        <v>103</v>
      </c>
      <c r="R26" s="11" t="s">
        <v>104</v>
      </c>
      <c r="S26" s="26" t="str">
        <f>IF(OR(BD_ESTADISTICA_INF_B[[#This Row],[Jugador]]="eudald",BD_ESTADISTICA_INF_B[[#This Row],[Jugador]]="jules",BD_ESTADISTICA_INF_B[[#This Row],[Jugador]]="JAN"),"PORTERO","JUGADOR")</f>
        <v>JUGADOR</v>
      </c>
      <c r="T26" s="26">
        <f>IF(BD_ESTADISTICA_INF_B[[#This Row],[POSICION]]="jugador",BD_ESTADISTICA_INF_B[[#This Row],[Goles]],0)</f>
        <v>4</v>
      </c>
      <c r="U26" s="26">
        <f>IF(BD_ESTADISTICA_INF_B[[#This Row],[POSICION]]="portero",BD_ESTADISTICA_INF_B[[#This Row],[Lanzam.]]-BD_ESTADISTICA_INF_B[[#This Row],[Paradas]],0)</f>
        <v>0</v>
      </c>
      <c r="V26" s="26">
        <f>IF(BD_ESTADISTICA_INF_B[[#This Row],[POSICION]]="jugador",BD_ESTADISTICA_INF_B[[#This Row],[Lanzam.]],0)</f>
        <v>5</v>
      </c>
      <c r="W26" s="26">
        <f>IF(BD_ESTADISTICA_INF_B[[#This Row],[POSICION]]="portero",BD_ESTADISTICA_INF_B[[#This Row],[Lanzam.]],0)</f>
        <v>0</v>
      </c>
    </row>
    <row r="27" spans="1:23" hidden="1">
      <c r="A27" s="21" t="s">
        <v>40</v>
      </c>
      <c r="B27" s="22">
        <v>3</v>
      </c>
      <c r="C27" s="22"/>
      <c r="D27" s="22">
        <v>3</v>
      </c>
      <c r="E27" s="8">
        <f>IF(BD_ESTADISTICA_INF_B[[#This Row],[Lanzam.]]="","",IF(BD_ESTADISTICA_INF_B[[#This Row],[POSICION]]="jugador",B27/D27,C27/D27))</f>
        <v>1</v>
      </c>
      <c r="F27" s="22">
        <v>3</v>
      </c>
      <c r="G27" s="22">
        <v>1</v>
      </c>
      <c r="H27" s="22"/>
      <c r="I27" s="22"/>
      <c r="J27" s="22"/>
      <c r="K27" s="22"/>
      <c r="L27" s="22"/>
      <c r="M27" s="22"/>
      <c r="N27" s="22"/>
      <c r="O27" s="23">
        <v>4</v>
      </c>
      <c r="P27" s="24">
        <v>3</v>
      </c>
      <c r="Q27" s="25" t="s">
        <v>103</v>
      </c>
      <c r="R27" s="11" t="s">
        <v>104</v>
      </c>
      <c r="S27" s="26" t="str">
        <f>IF(OR(BD_ESTADISTICA_INF_B[[#This Row],[Jugador]]="eudald",BD_ESTADISTICA_INF_B[[#This Row],[Jugador]]="jules",BD_ESTADISTICA_INF_B[[#This Row],[Jugador]]="JAN"),"PORTERO","JUGADOR")</f>
        <v>JUGADOR</v>
      </c>
      <c r="T27" s="26">
        <f>IF(BD_ESTADISTICA_INF_B[[#This Row],[POSICION]]="jugador",BD_ESTADISTICA_INF_B[[#This Row],[Goles]],0)</f>
        <v>3</v>
      </c>
      <c r="U27" s="26">
        <f>IF(BD_ESTADISTICA_INF_B[[#This Row],[POSICION]]="portero",BD_ESTADISTICA_INF_B[[#This Row],[Lanzam.]]-BD_ESTADISTICA_INF_B[[#This Row],[Paradas]],0)</f>
        <v>0</v>
      </c>
      <c r="V27" s="26">
        <f>IF(BD_ESTADISTICA_INF_B[[#This Row],[POSICION]]="jugador",BD_ESTADISTICA_INF_B[[#This Row],[Lanzam.]],0)</f>
        <v>3</v>
      </c>
      <c r="W27" s="26">
        <f>IF(BD_ESTADISTICA_INF_B[[#This Row],[POSICION]]="portero",BD_ESTADISTICA_INF_B[[#This Row],[Lanzam.]],0)</f>
        <v>0</v>
      </c>
    </row>
    <row r="28" spans="1:23" hidden="1">
      <c r="A28" s="21" t="s">
        <v>41</v>
      </c>
      <c r="B28" s="22">
        <v>5</v>
      </c>
      <c r="C28" s="22"/>
      <c r="D28" s="22">
        <v>6</v>
      </c>
      <c r="E28" s="8">
        <f>IF(BD_ESTADISTICA_INF_B[[#This Row],[Lanzam.]]="","",IF(BD_ESTADISTICA_INF_B[[#This Row],[POSICION]]="jugador",B28/D28,C28/D28))</f>
        <v>0.83333333333333337</v>
      </c>
      <c r="F28" s="22"/>
      <c r="G28" s="22"/>
      <c r="H28" s="22"/>
      <c r="I28" s="22"/>
      <c r="J28" s="22"/>
      <c r="K28" s="22"/>
      <c r="L28" s="22">
        <v>3</v>
      </c>
      <c r="M28" s="22"/>
      <c r="N28" s="22"/>
      <c r="O28" s="23">
        <v>4</v>
      </c>
      <c r="P28" s="24">
        <v>3</v>
      </c>
      <c r="Q28" s="25" t="s">
        <v>103</v>
      </c>
      <c r="R28" s="11" t="s">
        <v>104</v>
      </c>
      <c r="S28" s="26" t="str">
        <f>IF(OR(BD_ESTADISTICA_INF_B[[#This Row],[Jugador]]="eudald",BD_ESTADISTICA_INF_B[[#This Row],[Jugador]]="jules",BD_ESTADISTICA_INF_B[[#This Row],[Jugador]]="JAN"),"PORTERO","JUGADOR")</f>
        <v>JUGADOR</v>
      </c>
      <c r="T28" s="26">
        <f>IF(BD_ESTADISTICA_INF_B[[#This Row],[POSICION]]="jugador",BD_ESTADISTICA_INF_B[[#This Row],[Goles]],0)</f>
        <v>5</v>
      </c>
      <c r="U28" s="26">
        <f>IF(BD_ESTADISTICA_INF_B[[#This Row],[POSICION]]="portero",BD_ESTADISTICA_INF_B[[#This Row],[Lanzam.]]-BD_ESTADISTICA_INF_B[[#This Row],[Paradas]],0)</f>
        <v>0</v>
      </c>
      <c r="V28" s="26">
        <f>IF(BD_ESTADISTICA_INF_B[[#This Row],[POSICION]]="jugador",BD_ESTADISTICA_INF_B[[#This Row],[Lanzam.]],0)</f>
        <v>6</v>
      </c>
      <c r="W28" s="26">
        <f>IF(BD_ESTADISTICA_INF_B[[#This Row],[POSICION]]="portero",BD_ESTADISTICA_INF_B[[#This Row],[Lanzam.]],0)</f>
        <v>0</v>
      </c>
    </row>
    <row r="29" spans="1:23" hidden="1">
      <c r="A29" s="21" t="s">
        <v>23</v>
      </c>
      <c r="B29" s="22">
        <v>5</v>
      </c>
      <c r="C29" s="22"/>
      <c r="D29" s="22">
        <v>5</v>
      </c>
      <c r="E29" s="8">
        <f>IF(BD_ESTADISTICA_INF_B[[#This Row],[Lanzam.]]="","",IF(BD_ESTADISTICA_INF_B[[#This Row],[POSICION]]="jugador",B29/D29,C29/D29))</f>
        <v>1</v>
      </c>
      <c r="F29" s="22">
        <v>1</v>
      </c>
      <c r="G29" s="22"/>
      <c r="H29" s="22"/>
      <c r="I29" s="22"/>
      <c r="J29" s="22"/>
      <c r="K29" s="22"/>
      <c r="L29" s="22">
        <v>1</v>
      </c>
      <c r="M29" s="22"/>
      <c r="N29" s="22"/>
      <c r="O29" s="23">
        <v>4</v>
      </c>
      <c r="P29" s="24">
        <v>3</v>
      </c>
      <c r="Q29" s="25" t="s">
        <v>103</v>
      </c>
      <c r="R29" s="11" t="s">
        <v>104</v>
      </c>
      <c r="S29" s="26" t="str">
        <f>IF(OR(BD_ESTADISTICA_INF_B[[#This Row],[Jugador]]="eudald",BD_ESTADISTICA_INF_B[[#This Row],[Jugador]]="jules",BD_ESTADISTICA_INF_B[[#This Row],[Jugador]]="JAN"),"PORTERO","JUGADOR")</f>
        <v>JUGADOR</v>
      </c>
      <c r="T29" s="26">
        <f>IF(BD_ESTADISTICA_INF_B[[#This Row],[POSICION]]="jugador",BD_ESTADISTICA_INF_B[[#This Row],[Goles]],0)</f>
        <v>5</v>
      </c>
      <c r="U29" s="26">
        <f>IF(BD_ESTADISTICA_INF_B[[#This Row],[POSICION]]="portero",BD_ESTADISTICA_INF_B[[#This Row],[Lanzam.]]-BD_ESTADISTICA_INF_B[[#This Row],[Paradas]],0)</f>
        <v>0</v>
      </c>
      <c r="V29" s="26">
        <f>IF(BD_ESTADISTICA_INF_B[[#This Row],[POSICION]]="jugador",BD_ESTADISTICA_INF_B[[#This Row],[Lanzam.]],0)</f>
        <v>5</v>
      </c>
      <c r="W29" s="26">
        <f>IF(BD_ESTADISTICA_INF_B[[#This Row],[POSICION]]="portero",BD_ESTADISTICA_INF_B[[#This Row],[Lanzam.]],0)</f>
        <v>0</v>
      </c>
    </row>
    <row r="30" spans="1:23" hidden="1">
      <c r="A30" s="21" t="s">
        <v>24</v>
      </c>
      <c r="B30" s="22"/>
      <c r="C30" s="22"/>
      <c r="D30" s="22"/>
      <c r="E30" s="8" t="str">
        <f>IF(BD_ESTADISTICA_INF_B[[#This Row],[Lanzam.]]="","",IF(BD_ESTADISTICA_INF_B[[#This Row],[POSICION]]="jugador",B30/D30,C30/D30))</f>
        <v/>
      </c>
      <c r="F30" s="22"/>
      <c r="G30" s="22">
        <v>1</v>
      </c>
      <c r="H30" s="22"/>
      <c r="I30" s="22"/>
      <c r="J30" s="22"/>
      <c r="K30" s="22"/>
      <c r="L30" s="22"/>
      <c r="M30" s="22"/>
      <c r="N30" s="22"/>
      <c r="O30" s="23">
        <v>4</v>
      </c>
      <c r="P30" s="24">
        <v>3</v>
      </c>
      <c r="Q30" s="25" t="s">
        <v>103</v>
      </c>
      <c r="R30" s="11" t="s">
        <v>104</v>
      </c>
      <c r="S30" s="26" t="str">
        <f>IF(OR(BD_ESTADISTICA_INF_B[[#This Row],[Jugador]]="eudald",BD_ESTADISTICA_INF_B[[#This Row],[Jugador]]="jules",BD_ESTADISTICA_INF_B[[#This Row],[Jugador]]="JAN"),"PORTERO","JUGADOR")</f>
        <v>JUGADOR</v>
      </c>
      <c r="T30" s="26">
        <f>IF(BD_ESTADISTICA_INF_B[[#This Row],[POSICION]]="jugador",BD_ESTADISTICA_INF_B[[#This Row],[Goles]],0)</f>
        <v>0</v>
      </c>
      <c r="U30" s="26">
        <f>IF(BD_ESTADISTICA_INF_B[[#This Row],[POSICION]]="portero",BD_ESTADISTICA_INF_B[[#This Row],[Lanzam.]]-BD_ESTADISTICA_INF_B[[#This Row],[Paradas]],0)</f>
        <v>0</v>
      </c>
      <c r="V30" s="26">
        <f>IF(BD_ESTADISTICA_INF_B[[#This Row],[POSICION]]="jugador",BD_ESTADISTICA_INF_B[[#This Row],[Lanzam.]],0)</f>
        <v>0</v>
      </c>
      <c r="W30" s="26">
        <f>IF(BD_ESTADISTICA_INF_B[[#This Row],[POSICION]]="portero",BD_ESTADISTICA_INF_B[[#This Row],[Lanzam.]],0)</f>
        <v>0</v>
      </c>
    </row>
    <row r="31" spans="1:23" hidden="1">
      <c r="A31" s="21" t="s">
        <v>25</v>
      </c>
      <c r="B31" s="22">
        <v>2</v>
      </c>
      <c r="C31" s="22"/>
      <c r="D31" s="22">
        <v>3</v>
      </c>
      <c r="E31" s="8">
        <f>IF(BD_ESTADISTICA_INF_B[[#This Row],[Lanzam.]]="","",IF(BD_ESTADISTICA_INF_B[[#This Row],[POSICION]]="jugador",B31/D31,C31/D31))</f>
        <v>0.66666666666666663</v>
      </c>
      <c r="F31" s="22">
        <v>4</v>
      </c>
      <c r="G31" s="22"/>
      <c r="H31" s="22">
        <v>3</v>
      </c>
      <c r="I31" s="22"/>
      <c r="J31" s="22"/>
      <c r="K31" s="22"/>
      <c r="L31" s="22">
        <v>2</v>
      </c>
      <c r="M31" s="22"/>
      <c r="N31" s="22"/>
      <c r="O31" s="23">
        <v>4</v>
      </c>
      <c r="P31" s="24">
        <v>3</v>
      </c>
      <c r="Q31" s="25" t="s">
        <v>103</v>
      </c>
      <c r="R31" s="11" t="s">
        <v>104</v>
      </c>
      <c r="S31" s="26" t="str">
        <f>IF(OR(BD_ESTADISTICA_INF_B[[#This Row],[Jugador]]="eudald",BD_ESTADISTICA_INF_B[[#This Row],[Jugador]]="jules",BD_ESTADISTICA_INF_B[[#This Row],[Jugador]]="JAN"),"PORTERO","JUGADOR")</f>
        <v>JUGADOR</v>
      </c>
      <c r="T31" s="26">
        <f>IF(BD_ESTADISTICA_INF_B[[#This Row],[POSICION]]="jugador",BD_ESTADISTICA_INF_B[[#This Row],[Goles]],0)</f>
        <v>2</v>
      </c>
      <c r="U31" s="26">
        <f>IF(BD_ESTADISTICA_INF_B[[#This Row],[POSICION]]="portero",BD_ESTADISTICA_INF_B[[#This Row],[Lanzam.]]-BD_ESTADISTICA_INF_B[[#This Row],[Paradas]],0)</f>
        <v>0</v>
      </c>
      <c r="V31" s="26">
        <f>IF(BD_ESTADISTICA_INF_B[[#This Row],[POSICION]]="jugador",BD_ESTADISTICA_INF_B[[#This Row],[Lanzam.]],0)</f>
        <v>3</v>
      </c>
      <c r="W31" s="26">
        <f>IF(BD_ESTADISTICA_INF_B[[#This Row],[POSICION]]="portero",BD_ESTADISTICA_INF_B[[#This Row],[Lanzam.]],0)</f>
        <v>0</v>
      </c>
    </row>
    <row r="32" spans="1:23" hidden="1">
      <c r="A32" s="33" t="s">
        <v>26</v>
      </c>
      <c r="B32" s="22"/>
      <c r="C32" s="22"/>
      <c r="D32" s="22"/>
      <c r="E32" s="8" t="str">
        <f>IF(BD_ESTADISTICA_INF_B[[#This Row],[Lanzam.]]="","",IF(BD_ESTADISTICA_INF_B[[#This Row],[POSICION]]="jugador",B32/D32,C32/D32))</f>
        <v/>
      </c>
      <c r="F32" s="22"/>
      <c r="G32" s="22"/>
      <c r="H32" s="22"/>
      <c r="I32" s="22"/>
      <c r="J32" s="22"/>
      <c r="K32" s="22"/>
      <c r="L32" s="22"/>
      <c r="M32" s="22"/>
      <c r="N32" s="22"/>
      <c r="O32" s="23">
        <v>4</v>
      </c>
      <c r="P32" s="24">
        <v>3</v>
      </c>
      <c r="Q32" s="25" t="s">
        <v>103</v>
      </c>
      <c r="R32" s="11" t="s">
        <v>104</v>
      </c>
      <c r="S32" s="26" t="str">
        <f>IF(OR(BD_ESTADISTICA_INF_B[[#This Row],[Jugador]]="eudald",BD_ESTADISTICA_INF_B[[#This Row],[Jugador]]="jules",BD_ESTADISTICA_INF_B[[#This Row],[Jugador]]="JAN"),"PORTERO","JUGADOR")</f>
        <v>JUGADOR</v>
      </c>
      <c r="T32" s="26">
        <f>IF(BD_ESTADISTICA_INF_B[[#This Row],[POSICION]]="jugador",BD_ESTADISTICA_INF_B[[#This Row],[Goles]],0)</f>
        <v>0</v>
      </c>
      <c r="U32" s="26">
        <f>IF(BD_ESTADISTICA_INF_B[[#This Row],[POSICION]]="portero",BD_ESTADISTICA_INF_B[[#This Row],[Lanzam.]]-BD_ESTADISTICA_INF_B[[#This Row],[Paradas]],0)</f>
        <v>0</v>
      </c>
      <c r="V32" s="26">
        <f>IF(BD_ESTADISTICA_INF_B[[#This Row],[POSICION]]="jugador",BD_ESTADISTICA_INF_B[[#This Row],[Lanzam.]],0)</f>
        <v>0</v>
      </c>
      <c r="W32" s="26">
        <f>IF(BD_ESTADISTICA_INF_B[[#This Row],[POSICION]]="portero",BD_ESTADISTICA_INF_B[[#This Row],[Lanzam.]],0)</f>
        <v>0</v>
      </c>
    </row>
    <row r="33" spans="1:23" hidden="1">
      <c r="A33" s="21" t="s">
        <v>27</v>
      </c>
      <c r="B33" s="22">
        <v>11</v>
      </c>
      <c r="C33" s="22"/>
      <c r="D33" s="22">
        <v>12</v>
      </c>
      <c r="E33" s="8">
        <f>IF(BD_ESTADISTICA_INF_B[[#This Row],[Lanzam.]]="","",IF(BD_ESTADISTICA_INF_B[[#This Row],[POSICION]]="jugador",B33/D33,C33/D33))</f>
        <v>0.91666666666666663</v>
      </c>
      <c r="F33" s="22">
        <v>1</v>
      </c>
      <c r="G33" s="22"/>
      <c r="H33" s="22"/>
      <c r="I33" s="22"/>
      <c r="J33" s="22"/>
      <c r="K33" s="22"/>
      <c r="L33" s="22">
        <v>6</v>
      </c>
      <c r="M33" s="22">
        <v>1</v>
      </c>
      <c r="N33" s="22">
        <v>1</v>
      </c>
      <c r="O33" s="23">
        <v>4</v>
      </c>
      <c r="P33" s="24">
        <v>3</v>
      </c>
      <c r="Q33" s="25" t="s">
        <v>103</v>
      </c>
      <c r="R33" s="11" t="s">
        <v>104</v>
      </c>
      <c r="S33" s="26" t="str">
        <f>IF(OR(BD_ESTADISTICA_INF_B[[#This Row],[Jugador]]="eudald",BD_ESTADISTICA_INF_B[[#This Row],[Jugador]]="jules",BD_ESTADISTICA_INF_B[[#This Row],[Jugador]]="JAN"),"PORTERO","JUGADOR")</f>
        <v>JUGADOR</v>
      </c>
      <c r="T33" s="26">
        <f>IF(BD_ESTADISTICA_INF_B[[#This Row],[POSICION]]="jugador",BD_ESTADISTICA_INF_B[[#This Row],[Goles]],0)</f>
        <v>11</v>
      </c>
      <c r="U33" s="26">
        <f>IF(BD_ESTADISTICA_INF_B[[#This Row],[POSICION]]="portero",BD_ESTADISTICA_INF_B[[#This Row],[Lanzam.]]-BD_ESTADISTICA_INF_B[[#This Row],[Paradas]],0)</f>
        <v>0</v>
      </c>
      <c r="V33" s="26">
        <f>IF(BD_ESTADISTICA_INF_B[[#This Row],[POSICION]]="jugador",BD_ESTADISTICA_INF_B[[#This Row],[Lanzam.]],0)</f>
        <v>12</v>
      </c>
      <c r="W33" s="26">
        <f>IF(BD_ESTADISTICA_INF_B[[#This Row],[POSICION]]="portero",BD_ESTADISTICA_INF_B[[#This Row],[Lanzam.]],0)</f>
        <v>0</v>
      </c>
    </row>
    <row r="34" spans="1:23" hidden="1">
      <c r="A34" s="21" t="s">
        <v>28</v>
      </c>
      <c r="B34" s="22">
        <v>1</v>
      </c>
      <c r="C34" s="22"/>
      <c r="D34" s="22">
        <v>2</v>
      </c>
      <c r="E34" s="8">
        <f>IF(BD_ESTADISTICA_INF_B[[#This Row],[Lanzam.]]="","",IF(BD_ESTADISTICA_INF_B[[#This Row],[POSICION]]="jugador",B34/D34,C34/D34))</f>
        <v>0.5</v>
      </c>
      <c r="F34" s="22">
        <v>4</v>
      </c>
      <c r="G34" s="22"/>
      <c r="H34" s="22"/>
      <c r="I34" s="22"/>
      <c r="J34" s="22"/>
      <c r="K34" s="22"/>
      <c r="L34" s="22">
        <v>2</v>
      </c>
      <c r="M34" s="22"/>
      <c r="N34" s="22"/>
      <c r="O34" s="23">
        <v>4</v>
      </c>
      <c r="P34" s="24">
        <v>3</v>
      </c>
      <c r="Q34" s="25" t="s">
        <v>103</v>
      </c>
      <c r="R34" s="11" t="s">
        <v>104</v>
      </c>
      <c r="S34" s="26" t="str">
        <f>IF(OR(BD_ESTADISTICA_INF_B[[#This Row],[Jugador]]="eudald",BD_ESTADISTICA_INF_B[[#This Row],[Jugador]]="jules",BD_ESTADISTICA_INF_B[[#This Row],[Jugador]]="JAN"),"PORTERO","JUGADOR")</f>
        <v>JUGADOR</v>
      </c>
      <c r="T34" s="26">
        <f>IF(BD_ESTADISTICA_INF_B[[#This Row],[POSICION]]="jugador",BD_ESTADISTICA_INF_B[[#This Row],[Goles]],0)</f>
        <v>1</v>
      </c>
      <c r="U34" s="26">
        <f>IF(BD_ESTADISTICA_INF_B[[#This Row],[POSICION]]="portero",BD_ESTADISTICA_INF_B[[#This Row],[Lanzam.]]-BD_ESTADISTICA_INF_B[[#This Row],[Paradas]],0)</f>
        <v>0</v>
      </c>
      <c r="V34" s="26">
        <f>IF(BD_ESTADISTICA_INF_B[[#This Row],[POSICION]]="jugador",BD_ESTADISTICA_INF_B[[#This Row],[Lanzam.]],0)</f>
        <v>2</v>
      </c>
      <c r="W34" s="26">
        <f>IF(BD_ESTADISTICA_INF_B[[#This Row],[POSICION]]="portero",BD_ESTADISTICA_INF_B[[#This Row],[Lanzam.]],0)</f>
        <v>0</v>
      </c>
    </row>
    <row r="35" spans="1:23" hidden="1">
      <c r="A35" s="33" t="s">
        <v>31</v>
      </c>
      <c r="B35" s="22"/>
      <c r="C35" s="22"/>
      <c r="D35" s="22"/>
      <c r="E35" s="8" t="str">
        <f>IF(BD_ESTADISTICA_INF_B[[#This Row],[Lanzam.]]="","",IF(BD_ESTADISTICA_INF_B[[#This Row],[POSICION]]="jugador",B35/D35,C35/D35))</f>
        <v/>
      </c>
      <c r="F35" s="22"/>
      <c r="G35" s="22"/>
      <c r="H35" s="22"/>
      <c r="I35" s="22"/>
      <c r="J35" s="22"/>
      <c r="K35" s="22"/>
      <c r="L35" s="22"/>
      <c r="M35" s="22"/>
      <c r="N35" s="22"/>
      <c r="O35" s="23">
        <v>4</v>
      </c>
      <c r="P35" s="24">
        <v>3</v>
      </c>
      <c r="Q35" s="25" t="s">
        <v>103</v>
      </c>
      <c r="R35" s="11" t="s">
        <v>104</v>
      </c>
      <c r="S35" s="26" t="str">
        <f>IF(OR(BD_ESTADISTICA_INF_B[[#This Row],[Jugador]]="eudald",BD_ESTADISTICA_INF_B[[#This Row],[Jugador]]="jules",BD_ESTADISTICA_INF_B[[#This Row],[Jugador]]="JAN"),"PORTERO","JUGADOR")</f>
        <v>PORTERO</v>
      </c>
      <c r="T35" s="26">
        <f>IF(BD_ESTADISTICA_INF_B[[#This Row],[POSICION]]="jugador",BD_ESTADISTICA_INF_B[[#This Row],[Goles]],0)</f>
        <v>0</v>
      </c>
      <c r="U35" s="26">
        <f>IF(BD_ESTADISTICA_INF_B[[#This Row],[POSICION]]="portero",BD_ESTADISTICA_INF_B[[#This Row],[Lanzam.]]-BD_ESTADISTICA_INF_B[[#This Row],[Paradas]],0)</f>
        <v>0</v>
      </c>
      <c r="V35" s="26">
        <f>IF(BD_ESTADISTICA_INF_B[[#This Row],[POSICION]]="jugador",BD_ESTADISTICA_INF_B[[#This Row],[Lanzam.]],0)</f>
        <v>0</v>
      </c>
      <c r="W35" s="26">
        <f>IF(BD_ESTADISTICA_INF_B[[#This Row],[POSICION]]="portero",BD_ESTADISTICA_INF_B[[#This Row],[Lanzam.]],0)</f>
        <v>0</v>
      </c>
    </row>
    <row r="36" spans="1:23" hidden="1">
      <c r="A36" s="21" t="s">
        <v>29</v>
      </c>
      <c r="B36" s="22">
        <v>6</v>
      </c>
      <c r="C36" s="22">
        <v>6</v>
      </c>
      <c r="D36" s="22">
        <v>14</v>
      </c>
      <c r="E36" s="8">
        <f>IF(BD_ESTADISTICA_INF_B[[#This Row],[Lanzam.]]="","",IF(BD_ESTADISTICA_INF_B[[#This Row],[POSICION]]="jugador",B36/D36,C36/D36))</f>
        <v>0.42857142857142855</v>
      </c>
      <c r="F36" s="22"/>
      <c r="G36" s="22"/>
      <c r="H36" s="22"/>
      <c r="I36" s="22"/>
      <c r="J36" s="22"/>
      <c r="K36" s="22"/>
      <c r="L36" s="22"/>
      <c r="M36" s="22"/>
      <c r="N36" s="22"/>
      <c r="O36" s="23">
        <v>4</v>
      </c>
      <c r="P36" s="24">
        <v>3</v>
      </c>
      <c r="Q36" s="25" t="s">
        <v>103</v>
      </c>
      <c r="R36" s="11" t="s">
        <v>104</v>
      </c>
      <c r="S36" s="26" t="str">
        <f>IF(OR(BD_ESTADISTICA_INF_B[[#This Row],[Jugador]]="eudald",BD_ESTADISTICA_INF_B[[#This Row],[Jugador]]="jules",BD_ESTADISTICA_INF_B[[#This Row],[Jugador]]="JAN"),"PORTERO","JUGADOR")</f>
        <v>PORTERO</v>
      </c>
      <c r="T36" s="26">
        <f>IF(BD_ESTADISTICA_INF_B[[#This Row],[POSICION]]="jugador",BD_ESTADISTICA_INF_B[[#This Row],[Goles]],0)</f>
        <v>0</v>
      </c>
      <c r="U36" s="26">
        <f>IF(BD_ESTADISTICA_INF_B[[#This Row],[POSICION]]="portero",BD_ESTADISTICA_INF_B[[#This Row],[Lanzam.]]-BD_ESTADISTICA_INF_B[[#This Row],[Paradas]],0)</f>
        <v>8</v>
      </c>
      <c r="V36" s="26">
        <f>IF(BD_ESTADISTICA_INF_B[[#This Row],[POSICION]]="jugador",BD_ESTADISTICA_INF_B[[#This Row],[Lanzam.]],0)</f>
        <v>0</v>
      </c>
      <c r="W36" s="26">
        <f>IF(BD_ESTADISTICA_INF_B[[#This Row],[POSICION]]="portero",BD_ESTADISTICA_INF_B[[#This Row],[Lanzam.]],0)</f>
        <v>14</v>
      </c>
    </row>
    <row r="37" spans="1:23" hidden="1">
      <c r="A37" s="21" t="s">
        <v>30</v>
      </c>
      <c r="B37" s="22">
        <v>5</v>
      </c>
      <c r="C37" s="22">
        <v>5</v>
      </c>
      <c r="D37" s="22">
        <v>11</v>
      </c>
      <c r="E37" s="8">
        <f>IF(BD_ESTADISTICA_INF_B[[#This Row],[Lanzam.]]="","",IF(BD_ESTADISTICA_INF_B[[#This Row],[POSICION]]="jugador",B37/D37,C37/D37))</f>
        <v>0.45454545454545453</v>
      </c>
      <c r="F37" s="22"/>
      <c r="G37" s="22"/>
      <c r="H37" s="22"/>
      <c r="I37" s="22"/>
      <c r="J37" s="22"/>
      <c r="K37" s="22"/>
      <c r="L37" s="22"/>
      <c r="M37" s="22"/>
      <c r="N37" s="22"/>
      <c r="O37" s="23">
        <v>4</v>
      </c>
      <c r="P37" s="24">
        <v>3</v>
      </c>
      <c r="Q37" s="25" t="s">
        <v>103</v>
      </c>
      <c r="R37" s="11" t="s">
        <v>104</v>
      </c>
      <c r="S37" s="26" t="str">
        <f>IF(OR(BD_ESTADISTICA_INF_B[[#This Row],[Jugador]]="eudald",BD_ESTADISTICA_INF_B[[#This Row],[Jugador]]="jules",BD_ESTADISTICA_INF_B[[#This Row],[Jugador]]="JAN"),"PORTERO","JUGADOR")</f>
        <v>PORTERO</v>
      </c>
      <c r="T37" s="26">
        <f>IF(BD_ESTADISTICA_INF_B[[#This Row],[POSICION]]="jugador",BD_ESTADISTICA_INF_B[[#This Row],[Goles]],0)</f>
        <v>0</v>
      </c>
      <c r="U37" s="26">
        <f>IF(BD_ESTADISTICA_INF_B[[#This Row],[POSICION]]="portero",BD_ESTADISTICA_INF_B[[#This Row],[Lanzam.]]-BD_ESTADISTICA_INF_B[[#This Row],[Paradas]],0)</f>
        <v>6</v>
      </c>
      <c r="V37" s="26">
        <f>IF(BD_ESTADISTICA_INF_B[[#This Row],[POSICION]]="jugador",BD_ESTADISTICA_INF_B[[#This Row],[Lanzam.]],0)</f>
        <v>0</v>
      </c>
      <c r="W37" s="26">
        <f>IF(BD_ESTADISTICA_INF_B[[#This Row],[POSICION]]="portero",BD_ESTADISTICA_INF_B[[#This Row],[Lanzam.]],0)</f>
        <v>11</v>
      </c>
    </row>
    <row r="38" spans="1:23" hidden="1">
      <c r="A38" s="21" t="s">
        <v>42</v>
      </c>
      <c r="B38" s="22">
        <v>2</v>
      </c>
      <c r="C38" s="22"/>
      <c r="D38" s="22">
        <v>3</v>
      </c>
      <c r="E38" s="8">
        <f>IF(BD_ESTADISTICA_INF_B[[#This Row],[Lanzam.]]="","",IF(BD_ESTADISTICA_INF_B[[#This Row],[POSICION]]="jugador",B38/D38,C38/D38))</f>
        <v>0.66666666666666663</v>
      </c>
      <c r="F38" s="22"/>
      <c r="G38" s="22"/>
      <c r="H38" s="22"/>
      <c r="I38" s="22"/>
      <c r="J38" s="22"/>
      <c r="K38" s="22"/>
      <c r="L38" s="22">
        <v>2</v>
      </c>
      <c r="M38" s="22"/>
      <c r="N38" s="22"/>
      <c r="O38" s="23">
        <v>4</v>
      </c>
      <c r="P38" s="24">
        <v>3</v>
      </c>
      <c r="Q38" s="25" t="s">
        <v>103</v>
      </c>
      <c r="R38" s="11" t="s">
        <v>104</v>
      </c>
      <c r="S38" s="26" t="str">
        <f>IF(OR(BD_ESTADISTICA_INF_B[[#This Row],[Jugador]]="eudald",BD_ESTADISTICA_INF_B[[#This Row],[Jugador]]="jules",BD_ESTADISTICA_INF_B[[#This Row],[Jugador]]="JAN"),"PORTERO","JUGADOR")</f>
        <v>JUGADOR</v>
      </c>
      <c r="T38" s="26">
        <f>IF(BD_ESTADISTICA_INF_B[[#This Row],[POSICION]]="jugador",BD_ESTADISTICA_INF_B[[#This Row],[Goles]],0)</f>
        <v>2</v>
      </c>
      <c r="U38" s="26">
        <f>IF(BD_ESTADISTICA_INF_B[[#This Row],[POSICION]]="portero",BD_ESTADISTICA_INF_B[[#This Row],[Lanzam.]]-BD_ESTADISTICA_INF_B[[#This Row],[Paradas]],0)</f>
        <v>0</v>
      </c>
      <c r="V38" s="26">
        <f>IF(BD_ESTADISTICA_INF_B[[#This Row],[POSICION]]="jugador",BD_ESTADISTICA_INF_B[[#This Row],[Lanzam.]],0)</f>
        <v>3</v>
      </c>
      <c r="W38" s="26">
        <f>IF(BD_ESTADISTICA_INF_B[[#This Row],[POSICION]]="portero",BD_ESTADISTICA_INF_B[[#This Row],[Lanzam.]],0)</f>
        <v>0</v>
      </c>
    </row>
    <row r="39" spans="1:23" hidden="1">
      <c r="A39" s="21" t="s">
        <v>22</v>
      </c>
      <c r="B39" s="22"/>
      <c r="C39" s="22"/>
      <c r="D39" s="22"/>
      <c r="E39" s="8" t="str">
        <f>IF(BD_ESTADISTICA_INF_B[[#This Row],[Lanzam.]]="","",IF(BD_ESTADISTICA_INF_B[[#This Row],[POSICION]]="jugador",B39/D39,C39/D39))</f>
        <v/>
      </c>
      <c r="F39" s="22"/>
      <c r="G39" s="22"/>
      <c r="H39" s="22"/>
      <c r="I39" s="22"/>
      <c r="J39" s="22"/>
      <c r="K39" s="22"/>
      <c r="L39" s="22"/>
      <c r="M39" s="22"/>
      <c r="N39" s="22"/>
      <c r="O39" s="23">
        <v>4</v>
      </c>
      <c r="P39" s="24">
        <v>3</v>
      </c>
      <c r="Q39" s="25" t="s">
        <v>103</v>
      </c>
      <c r="R39" s="11" t="s">
        <v>104</v>
      </c>
      <c r="S39" s="26" t="str">
        <f>IF(OR(BD_ESTADISTICA_INF_B[[#This Row],[Jugador]]="eudald",BD_ESTADISTICA_INF_B[[#This Row],[Jugador]]="jules",BD_ESTADISTICA_INF_B[[#This Row],[Jugador]]="JAN"),"PORTERO","JUGADOR")</f>
        <v>JUGADOR</v>
      </c>
      <c r="T39" s="26">
        <f>IF(BD_ESTADISTICA_INF_B[[#This Row],[POSICION]]="jugador",BD_ESTADISTICA_INF_B[[#This Row],[Goles]],0)</f>
        <v>0</v>
      </c>
      <c r="U39" s="26">
        <f>IF(BD_ESTADISTICA_INF_B[[#This Row],[POSICION]]="portero",BD_ESTADISTICA_INF_B[[#This Row],[Lanzam.]]-BD_ESTADISTICA_INF_B[[#This Row],[Paradas]],0)</f>
        <v>0</v>
      </c>
      <c r="V39" s="26">
        <f>IF(BD_ESTADISTICA_INF_B[[#This Row],[POSICION]]="jugador",BD_ESTADISTICA_INF_B[[#This Row],[Lanzam.]],0)</f>
        <v>0</v>
      </c>
      <c r="W39" s="26">
        <f>IF(BD_ESTADISTICA_INF_B[[#This Row],[POSICION]]="portero",BD_ESTADISTICA_INF_B[[#This Row],[Lanzam.]],0)</f>
        <v>0</v>
      </c>
    </row>
    <row r="40" spans="1:23" hidden="1">
      <c r="A40" s="21" t="s">
        <v>16</v>
      </c>
      <c r="B40" s="22">
        <v>1</v>
      </c>
      <c r="C40" s="22"/>
      <c r="D40" s="22">
        <v>2</v>
      </c>
      <c r="E40" s="8">
        <f>IF(BD_ESTADISTICA_INF_B[[#This Row],[Lanzam.]]="","",IF(BD_ESTADISTICA_INF_B[[#This Row],[POSICION]]="jugador",B40/D40,C40/D40))</f>
        <v>0.5</v>
      </c>
      <c r="F40" s="22">
        <v>1</v>
      </c>
      <c r="G40" s="22"/>
      <c r="H40" s="22">
        <v>2</v>
      </c>
      <c r="I40" s="22"/>
      <c r="J40" s="22"/>
      <c r="K40" s="22"/>
      <c r="L40" s="22"/>
      <c r="M40" s="22"/>
      <c r="N40" s="22">
        <v>1</v>
      </c>
      <c r="O40" s="23">
        <v>1</v>
      </c>
      <c r="P40" s="24">
        <v>3</v>
      </c>
      <c r="Q40" s="25" t="s">
        <v>79</v>
      </c>
      <c r="R40" s="11" t="s">
        <v>105</v>
      </c>
      <c r="S40" s="26" t="str">
        <f>IF(OR(BD_ESTADISTICA_INF_B[[#This Row],[Jugador]]="eudald",BD_ESTADISTICA_INF_B[[#This Row],[Jugador]]="jules",BD_ESTADISTICA_INF_B[[#This Row],[Jugador]]="JAN"),"PORTERO","JUGADOR")</f>
        <v>JUGADOR</v>
      </c>
      <c r="T40" s="26">
        <f>IF(BD_ESTADISTICA_INF_B[[#This Row],[POSICION]]="jugador",BD_ESTADISTICA_INF_B[[#This Row],[Goles]],0)</f>
        <v>1</v>
      </c>
      <c r="U40" s="26">
        <f>IF(BD_ESTADISTICA_INF_B[[#This Row],[POSICION]]="portero",BD_ESTADISTICA_INF_B[[#This Row],[Lanzam.]]-BD_ESTADISTICA_INF_B[[#This Row],[Paradas]],0)</f>
        <v>0</v>
      </c>
      <c r="V40" s="26">
        <f>IF(BD_ESTADISTICA_INF_B[[#This Row],[POSICION]]="jugador",BD_ESTADISTICA_INF_B[[#This Row],[Lanzam.]],0)</f>
        <v>2</v>
      </c>
      <c r="W40" s="26">
        <f>IF(BD_ESTADISTICA_INF_B[[#This Row],[POSICION]]="portero",BD_ESTADISTICA_INF_B[[#This Row],[Lanzam.]],0)</f>
        <v>0</v>
      </c>
    </row>
    <row r="41" spans="1:23" hidden="1">
      <c r="A41" s="21" t="s">
        <v>17</v>
      </c>
      <c r="B41" s="22">
        <v>4</v>
      </c>
      <c r="C41" s="22"/>
      <c r="D41" s="22">
        <v>5</v>
      </c>
      <c r="E41" s="8">
        <f>IF(BD_ESTADISTICA_INF_B[[#This Row],[Lanzam.]]="","",IF(BD_ESTADISTICA_INF_B[[#This Row],[POSICION]]="jugador",B41/D41,C41/D41))</f>
        <v>0.8</v>
      </c>
      <c r="F41" s="22">
        <v>1</v>
      </c>
      <c r="G41" s="22">
        <v>1</v>
      </c>
      <c r="H41" s="22">
        <v>2</v>
      </c>
      <c r="I41" s="22"/>
      <c r="J41" s="22"/>
      <c r="K41" s="22"/>
      <c r="L41" s="22"/>
      <c r="M41" s="22"/>
      <c r="N41" s="22"/>
      <c r="O41" s="23">
        <v>1</v>
      </c>
      <c r="P41" s="24">
        <v>3</v>
      </c>
      <c r="Q41" s="25" t="s">
        <v>79</v>
      </c>
      <c r="R41" s="11" t="s">
        <v>105</v>
      </c>
      <c r="S41" s="26" t="str">
        <f>IF(OR(BD_ESTADISTICA_INF_B[[#This Row],[Jugador]]="eudald",BD_ESTADISTICA_INF_B[[#This Row],[Jugador]]="jules",BD_ESTADISTICA_INF_B[[#This Row],[Jugador]]="JAN"),"PORTERO","JUGADOR")</f>
        <v>JUGADOR</v>
      </c>
      <c r="T41" s="26">
        <f>IF(BD_ESTADISTICA_INF_B[[#This Row],[POSICION]]="jugador",BD_ESTADISTICA_INF_B[[#This Row],[Goles]],0)</f>
        <v>4</v>
      </c>
      <c r="U41" s="26">
        <f>IF(BD_ESTADISTICA_INF_B[[#This Row],[POSICION]]="portero",BD_ESTADISTICA_INF_B[[#This Row],[Lanzam.]]-BD_ESTADISTICA_INF_B[[#This Row],[Paradas]],0)</f>
        <v>0</v>
      </c>
      <c r="V41" s="26">
        <f>IF(BD_ESTADISTICA_INF_B[[#This Row],[POSICION]]="jugador",BD_ESTADISTICA_INF_B[[#This Row],[Lanzam.]],0)</f>
        <v>5</v>
      </c>
      <c r="W41" s="26">
        <f>IF(BD_ESTADISTICA_INF_B[[#This Row],[POSICION]]="portero",BD_ESTADISTICA_INF_B[[#This Row],[Lanzam.]],0)</f>
        <v>0</v>
      </c>
    </row>
    <row r="42" spans="1:23" hidden="1">
      <c r="A42" s="21" t="s">
        <v>18</v>
      </c>
      <c r="B42" s="22">
        <v>1</v>
      </c>
      <c r="C42" s="22"/>
      <c r="D42" s="22">
        <v>1</v>
      </c>
      <c r="E42" s="8">
        <f>IF(BD_ESTADISTICA_INF_B[[#This Row],[Lanzam.]]="","",IF(BD_ESTADISTICA_INF_B[[#This Row],[POSICION]]="jugador",B42/D42,C42/D42))</f>
        <v>1</v>
      </c>
      <c r="F42" s="22">
        <v>8</v>
      </c>
      <c r="G42" s="22"/>
      <c r="H42" s="22">
        <v>2</v>
      </c>
      <c r="I42" s="22"/>
      <c r="J42" s="22"/>
      <c r="K42" s="22"/>
      <c r="L42" s="22">
        <v>1</v>
      </c>
      <c r="M42" s="22"/>
      <c r="N42" s="22"/>
      <c r="O42" s="23">
        <v>1</v>
      </c>
      <c r="P42" s="24">
        <v>3</v>
      </c>
      <c r="Q42" s="25" t="s">
        <v>79</v>
      </c>
      <c r="R42" s="11" t="s">
        <v>105</v>
      </c>
      <c r="S42" s="26" t="str">
        <f>IF(OR(BD_ESTADISTICA_INF_B[[#This Row],[Jugador]]="eudald",BD_ESTADISTICA_INF_B[[#This Row],[Jugador]]="jules",BD_ESTADISTICA_INF_B[[#This Row],[Jugador]]="JAN"),"PORTERO","JUGADOR")</f>
        <v>JUGADOR</v>
      </c>
      <c r="T42" s="26">
        <f>IF(BD_ESTADISTICA_INF_B[[#This Row],[POSICION]]="jugador",BD_ESTADISTICA_INF_B[[#This Row],[Goles]],0)</f>
        <v>1</v>
      </c>
      <c r="U42" s="26">
        <f>IF(BD_ESTADISTICA_INF_B[[#This Row],[POSICION]]="portero",BD_ESTADISTICA_INF_B[[#This Row],[Lanzam.]]-BD_ESTADISTICA_INF_B[[#This Row],[Paradas]],0)</f>
        <v>0</v>
      </c>
      <c r="V42" s="26">
        <f>IF(BD_ESTADISTICA_INF_B[[#This Row],[POSICION]]="jugador",BD_ESTADISTICA_INF_B[[#This Row],[Lanzam.]],0)</f>
        <v>1</v>
      </c>
      <c r="W42" s="26">
        <f>IF(BD_ESTADISTICA_INF_B[[#This Row],[POSICION]]="portero",BD_ESTADISTICA_INF_B[[#This Row],[Lanzam.]],0)</f>
        <v>0</v>
      </c>
    </row>
    <row r="43" spans="1:23" hidden="1">
      <c r="A43" s="21" t="s">
        <v>19</v>
      </c>
      <c r="B43" s="22">
        <v>3</v>
      </c>
      <c r="C43" s="22"/>
      <c r="D43" s="22">
        <v>4</v>
      </c>
      <c r="E43" s="8">
        <f>IF(BD_ESTADISTICA_INF_B[[#This Row],[Lanzam.]]="","",IF(BD_ESTADISTICA_INF_B[[#This Row],[POSICION]]="jugador",B43/D43,C43/D43))</f>
        <v>0.75</v>
      </c>
      <c r="F43" s="22">
        <v>4</v>
      </c>
      <c r="G43" s="22"/>
      <c r="H43" s="22"/>
      <c r="I43" s="22"/>
      <c r="J43" s="22"/>
      <c r="K43" s="22"/>
      <c r="L43" s="22"/>
      <c r="M43" s="22"/>
      <c r="N43" s="22"/>
      <c r="O43" s="23">
        <v>1</v>
      </c>
      <c r="P43" s="24">
        <v>3</v>
      </c>
      <c r="Q43" s="25" t="s">
        <v>79</v>
      </c>
      <c r="R43" s="11" t="s">
        <v>105</v>
      </c>
      <c r="S43" s="26" t="str">
        <f>IF(OR(BD_ESTADISTICA_INF_B[[#This Row],[Jugador]]="eudald",BD_ESTADISTICA_INF_B[[#This Row],[Jugador]]="jules",BD_ESTADISTICA_INF_B[[#This Row],[Jugador]]="JAN"),"PORTERO","JUGADOR")</f>
        <v>JUGADOR</v>
      </c>
      <c r="T43" s="26">
        <f>IF(BD_ESTADISTICA_INF_B[[#This Row],[POSICION]]="jugador",BD_ESTADISTICA_INF_B[[#This Row],[Goles]],0)</f>
        <v>3</v>
      </c>
      <c r="U43" s="26">
        <f>IF(BD_ESTADISTICA_INF_B[[#This Row],[POSICION]]="portero",BD_ESTADISTICA_INF_B[[#This Row],[Lanzam.]]-BD_ESTADISTICA_INF_B[[#This Row],[Paradas]],0)</f>
        <v>0</v>
      </c>
      <c r="V43" s="26">
        <f>IF(BD_ESTADISTICA_INF_B[[#This Row],[POSICION]]="jugador",BD_ESTADISTICA_INF_B[[#This Row],[Lanzam.]],0)</f>
        <v>4</v>
      </c>
      <c r="W43" s="26">
        <f>IF(BD_ESTADISTICA_INF_B[[#This Row],[POSICION]]="portero",BD_ESTADISTICA_INF_B[[#This Row],[Lanzam.]],0)</f>
        <v>0</v>
      </c>
    </row>
    <row r="44" spans="1:23" hidden="1">
      <c r="A44" s="33" t="s">
        <v>20</v>
      </c>
      <c r="B44" s="22"/>
      <c r="C44" s="22"/>
      <c r="D44" s="22"/>
      <c r="E44" s="8" t="str">
        <f>IF(BD_ESTADISTICA_INF_B[[#This Row],[Lanzam.]]="","",IF(BD_ESTADISTICA_INF_B[[#This Row],[POSICION]]="jugador",B44/D44,C44/D44))</f>
        <v/>
      </c>
      <c r="F44" s="22"/>
      <c r="G44" s="22"/>
      <c r="H44" s="22"/>
      <c r="I44" s="22"/>
      <c r="J44" s="22"/>
      <c r="K44" s="22"/>
      <c r="L44" s="22"/>
      <c r="M44" s="22"/>
      <c r="N44" s="22"/>
      <c r="O44" s="23">
        <v>1</v>
      </c>
      <c r="P44" s="24">
        <v>3</v>
      </c>
      <c r="Q44" s="25" t="s">
        <v>79</v>
      </c>
      <c r="R44" s="11" t="s">
        <v>105</v>
      </c>
      <c r="S44" s="26" t="str">
        <f>IF(OR(BD_ESTADISTICA_INF_B[[#This Row],[Jugador]]="eudald",BD_ESTADISTICA_INF_B[[#This Row],[Jugador]]="jules",BD_ESTADISTICA_INF_B[[#This Row],[Jugador]]="JAN"),"PORTERO","JUGADOR")</f>
        <v>JUGADOR</v>
      </c>
      <c r="T44" s="26">
        <f>IF(BD_ESTADISTICA_INF_B[[#This Row],[POSICION]]="jugador",BD_ESTADISTICA_INF_B[[#This Row],[Goles]],0)</f>
        <v>0</v>
      </c>
      <c r="U44" s="26">
        <f>IF(BD_ESTADISTICA_INF_B[[#This Row],[POSICION]]="portero",BD_ESTADISTICA_INF_B[[#This Row],[Lanzam.]]-BD_ESTADISTICA_INF_B[[#This Row],[Paradas]],0)</f>
        <v>0</v>
      </c>
      <c r="V44" s="26">
        <f>IF(BD_ESTADISTICA_INF_B[[#This Row],[POSICION]]="jugador",BD_ESTADISTICA_INF_B[[#This Row],[Lanzam.]],0)</f>
        <v>0</v>
      </c>
      <c r="W44" s="26">
        <f>IF(BD_ESTADISTICA_INF_B[[#This Row],[POSICION]]="portero",BD_ESTADISTICA_INF_B[[#This Row],[Lanzam.]],0)</f>
        <v>0</v>
      </c>
    </row>
    <row r="45" spans="1:23" hidden="1">
      <c r="A45" s="21" t="s">
        <v>21</v>
      </c>
      <c r="B45" s="22">
        <v>3</v>
      </c>
      <c r="C45" s="22"/>
      <c r="D45" s="22">
        <v>4</v>
      </c>
      <c r="E45" s="8">
        <f>IF(BD_ESTADISTICA_INF_B[[#This Row],[Lanzam.]]="","",IF(BD_ESTADISTICA_INF_B[[#This Row],[POSICION]]="jugador",B45/D45,C45/D45))</f>
        <v>0.75</v>
      </c>
      <c r="F45" s="22"/>
      <c r="G45" s="22"/>
      <c r="H45" s="22"/>
      <c r="I45" s="22"/>
      <c r="J45" s="22"/>
      <c r="K45" s="22"/>
      <c r="L45" s="22">
        <v>1</v>
      </c>
      <c r="M45" s="22"/>
      <c r="N45" s="22"/>
      <c r="O45" s="23">
        <v>1</v>
      </c>
      <c r="P45" s="24">
        <v>3</v>
      </c>
      <c r="Q45" s="25" t="s">
        <v>79</v>
      </c>
      <c r="R45" s="11" t="s">
        <v>105</v>
      </c>
      <c r="S45" s="26" t="str">
        <f>IF(OR(BD_ESTADISTICA_INF_B[[#This Row],[Jugador]]="eudald",BD_ESTADISTICA_INF_B[[#This Row],[Jugador]]="jules",BD_ESTADISTICA_INF_B[[#This Row],[Jugador]]="JAN"),"PORTERO","JUGADOR")</f>
        <v>JUGADOR</v>
      </c>
      <c r="T45" s="26">
        <f>IF(BD_ESTADISTICA_INF_B[[#This Row],[POSICION]]="jugador",BD_ESTADISTICA_INF_B[[#This Row],[Goles]],0)</f>
        <v>3</v>
      </c>
      <c r="U45" s="26">
        <f>IF(BD_ESTADISTICA_INF_B[[#This Row],[POSICION]]="portero",BD_ESTADISTICA_INF_B[[#This Row],[Lanzam.]]-BD_ESTADISTICA_INF_B[[#This Row],[Paradas]],0)</f>
        <v>0</v>
      </c>
      <c r="V45" s="26">
        <f>IF(BD_ESTADISTICA_INF_B[[#This Row],[POSICION]]="jugador",BD_ESTADISTICA_INF_B[[#This Row],[Lanzam.]],0)</f>
        <v>4</v>
      </c>
      <c r="W45" s="26">
        <f>IF(BD_ESTADISTICA_INF_B[[#This Row],[POSICION]]="portero",BD_ESTADISTICA_INF_B[[#This Row],[Lanzam.]],0)</f>
        <v>0</v>
      </c>
    </row>
    <row r="46" spans="1:23" hidden="1">
      <c r="A46" s="21" t="s">
        <v>40</v>
      </c>
      <c r="B46" s="22">
        <v>0</v>
      </c>
      <c r="C46" s="22"/>
      <c r="D46" s="22">
        <v>1</v>
      </c>
      <c r="E46" s="8">
        <f>IF(BD_ESTADISTICA_INF_B[[#This Row],[Lanzam.]]="","",IF(BD_ESTADISTICA_INF_B[[#This Row],[POSICION]]="jugador",B46/D46,C46/D46))</f>
        <v>0</v>
      </c>
      <c r="F46" s="22">
        <v>3</v>
      </c>
      <c r="G46" s="22"/>
      <c r="H46" s="22">
        <v>1</v>
      </c>
      <c r="I46" s="22"/>
      <c r="J46" s="22">
        <v>1</v>
      </c>
      <c r="K46" s="22"/>
      <c r="L46" s="22"/>
      <c r="M46" s="22"/>
      <c r="N46" s="22"/>
      <c r="O46" s="23">
        <v>1</v>
      </c>
      <c r="P46" s="24">
        <v>3</v>
      </c>
      <c r="Q46" s="25" t="s">
        <v>79</v>
      </c>
      <c r="R46" s="11" t="s">
        <v>105</v>
      </c>
      <c r="S46" s="26" t="str">
        <f>IF(OR(BD_ESTADISTICA_INF_B[[#This Row],[Jugador]]="eudald",BD_ESTADISTICA_INF_B[[#This Row],[Jugador]]="jules",BD_ESTADISTICA_INF_B[[#This Row],[Jugador]]="JAN"),"PORTERO","JUGADOR")</f>
        <v>JUGADOR</v>
      </c>
      <c r="T46" s="26">
        <f>IF(BD_ESTADISTICA_INF_B[[#This Row],[POSICION]]="jugador",BD_ESTADISTICA_INF_B[[#This Row],[Goles]],0)</f>
        <v>0</v>
      </c>
      <c r="U46" s="26">
        <f>IF(BD_ESTADISTICA_INF_B[[#This Row],[POSICION]]="portero",BD_ESTADISTICA_INF_B[[#This Row],[Lanzam.]]-BD_ESTADISTICA_INF_B[[#This Row],[Paradas]],0)</f>
        <v>0</v>
      </c>
      <c r="V46" s="26">
        <f>IF(BD_ESTADISTICA_INF_B[[#This Row],[POSICION]]="jugador",BD_ESTADISTICA_INF_B[[#This Row],[Lanzam.]],0)</f>
        <v>1</v>
      </c>
      <c r="W46" s="26">
        <f>IF(BD_ESTADISTICA_INF_B[[#This Row],[POSICION]]="portero",BD_ESTADISTICA_INF_B[[#This Row],[Lanzam.]],0)</f>
        <v>0</v>
      </c>
    </row>
    <row r="47" spans="1:23" hidden="1">
      <c r="A47" s="21" t="s">
        <v>41</v>
      </c>
      <c r="B47" s="22"/>
      <c r="C47" s="22"/>
      <c r="D47" s="22"/>
      <c r="E47" s="8" t="str">
        <f>IF(BD_ESTADISTICA_INF_B[[#This Row],[Lanzam.]]="","",IF(BD_ESTADISTICA_INF_B[[#This Row],[POSICION]]="jugador",B47/D47,C47/D47))</f>
        <v/>
      </c>
      <c r="F47" s="22"/>
      <c r="G47" s="22"/>
      <c r="H47" s="22"/>
      <c r="I47" s="22"/>
      <c r="J47" s="22"/>
      <c r="K47" s="22"/>
      <c r="L47" s="22">
        <v>1</v>
      </c>
      <c r="M47" s="22"/>
      <c r="N47" s="22">
        <v>1</v>
      </c>
      <c r="O47" s="23">
        <v>1</v>
      </c>
      <c r="P47" s="24">
        <v>3</v>
      </c>
      <c r="Q47" s="25" t="s">
        <v>79</v>
      </c>
      <c r="R47" s="11" t="s">
        <v>105</v>
      </c>
      <c r="S47" s="26" t="str">
        <f>IF(OR(BD_ESTADISTICA_INF_B[[#This Row],[Jugador]]="eudald",BD_ESTADISTICA_INF_B[[#This Row],[Jugador]]="jules",BD_ESTADISTICA_INF_B[[#This Row],[Jugador]]="JAN"),"PORTERO","JUGADOR")</f>
        <v>JUGADOR</v>
      </c>
      <c r="T47" s="26">
        <f>IF(BD_ESTADISTICA_INF_B[[#This Row],[POSICION]]="jugador",BD_ESTADISTICA_INF_B[[#This Row],[Goles]],0)</f>
        <v>0</v>
      </c>
      <c r="U47" s="26">
        <f>IF(BD_ESTADISTICA_INF_B[[#This Row],[POSICION]]="portero",BD_ESTADISTICA_INF_B[[#This Row],[Lanzam.]]-BD_ESTADISTICA_INF_B[[#This Row],[Paradas]],0)</f>
        <v>0</v>
      </c>
      <c r="V47" s="26">
        <f>IF(BD_ESTADISTICA_INF_B[[#This Row],[POSICION]]="jugador",BD_ESTADISTICA_INF_B[[#This Row],[Lanzam.]],0)</f>
        <v>0</v>
      </c>
      <c r="W47" s="26">
        <f>IF(BD_ESTADISTICA_INF_B[[#This Row],[POSICION]]="portero",BD_ESTADISTICA_INF_B[[#This Row],[Lanzam.]],0)</f>
        <v>0</v>
      </c>
    </row>
    <row r="48" spans="1:23" hidden="1">
      <c r="A48" s="21" t="s">
        <v>23</v>
      </c>
      <c r="B48" s="22">
        <v>4</v>
      </c>
      <c r="C48" s="22"/>
      <c r="D48" s="22">
        <v>6</v>
      </c>
      <c r="E48" s="8">
        <f>IF(BD_ESTADISTICA_INF_B[[#This Row],[Lanzam.]]="","",IF(BD_ESTADISTICA_INF_B[[#This Row],[POSICION]]="jugador",B48/D48,C48/D48))</f>
        <v>0.66666666666666663</v>
      </c>
      <c r="F48" s="22">
        <v>1</v>
      </c>
      <c r="G48" s="22"/>
      <c r="H48" s="22">
        <v>1</v>
      </c>
      <c r="I48" s="22"/>
      <c r="J48" s="22"/>
      <c r="K48" s="22"/>
      <c r="L48" s="22"/>
      <c r="M48" s="22"/>
      <c r="N48" s="22"/>
      <c r="O48" s="23">
        <v>1</v>
      </c>
      <c r="P48" s="24">
        <v>3</v>
      </c>
      <c r="Q48" s="25" t="s">
        <v>79</v>
      </c>
      <c r="R48" s="11" t="s">
        <v>105</v>
      </c>
      <c r="S48" s="26" t="str">
        <f>IF(OR(BD_ESTADISTICA_INF_B[[#This Row],[Jugador]]="eudald",BD_ESTADISTICA_INF_B[[#This Row],[Jugador]]="jules",BD_ESTADISTICA_INF_B[[#This Row],[Jugador]]="JAN"),"PORTERO","JUGADOR")</f>
        <v>JUGADOR</v>
      </c>
      <c r="T48" s="26">
        <f>IF(BD_ESTADISTICA_INF_B[[#This Row],[POSICION]]="jugador",BD_ESTADISTICA_INF_B[[#This Row],[Goles]],0)</f>
        <v>4</v>
      </c>
      <c r="U48" s="26">
        <f>IF(BD_ESTADISTICA_INF_B[[#This Row],[POSICION]]="portero",BD_ESTADISTICA_INF_B[[#This Row],[Lanzam.]]-BD_ESTADISTICA_INF_B[[#This Row],[Paradas]],0)</f>
        <v>0</v>
      </c>
      <c r="V48" s="26">
        <f>IF(BD_ESTADISTICA_INF_B[[#This Row],[POSICION]]="jugador",BD_ESTADISTICA_INF_B[[#This Row],[Lanzam.]],0)</f>
        <v>6</v>
      </c>
      <c r="W48" s="26">
        <f>IF(BD_ESTADISTICA_INF_B[[#This Row],[POSICION]]="portero",BD_ESTADISTICA_INF_B[[#This Row],[Lanzam.]],0)</f>
        <v>0</v>
      </c>
    </row>
    <row r="49" spans="1:23" hidden="1">
      <c r="A49" s="21" t="s">
        <v>24</v>
      </c>
      <c r="B49" s="22">
        <v>6</v>
      </c>
      <c r="C49" s="22"/>
      <c r="D49" s="22">
        <v>7</v>
      </c>
      <c r="E49" s="8">
        <f>IF(BD_ESTADISTICA_INF_B[[#This Row],[Lanzam.]]="","",IF(BD_ESTADISTICA_INF_B[[#This Row],[POSICION]]="jugador",B49/D49,C49/D49))</f>
        <v>0.8571428571428571</v>
      </c>
      <c r="F49" s="22"/>
      <c r="G49" s="22">
        <v>1</v>
      </c>
      <c r="H49" s="22"/>
      <c r="I49" s="22"/>
      <c r="J49" s="22"/>
      <c r="K49" s="22"/>
      <c r="L49" s="22"/>
      <c r="M49" s="22"/>
      <c r="N49" s="22"/>
      <c r="O49" s="23">
        <v>1</v>
      </c>
      <c r="P49" s="24">
        <v>3</v>
      </c>
      <c r="Q49" s="25" t="s">
        <v>79</v>
      </c>
      <c r="R49" s="11" t="s">
        <v>105</v>
      </c>
      <c r="S49" s="26" t="str">
        <f>IF(OR(BD_ESTADISTICA_INF_B[[#This Row],[Jugador]]="eudald",BD_ESTADISTICA_INF_B[[#This Row],[Jugador]]="jules",BD_ESTADISTICA_INF_B[[#This Row],[Jugador]]="JAN"),"PORTERO","JUGADOR")</f>
        <v>JUGADOR</v>
      </c>
      <c r="T49" s="26">
        <f>IF(BD_ESTADISTICA_INF_B[[#This Row],[POSICION]]="jugador",BD_ESTADISTICA_INF_B[[#This Row],[Goles]],0)</f>
        <v>6</v>
      </c>
      <c r="U49" s="26">
        <f>IF(BD_ESTADISTICA_INF_B[[#This Row],[POSICION]]="portero",BD_ESTADISTICA_INF_B[[#This Row],[Lanzam.]]-BD_ESTADISTICA_INF_B[[#This Row],[Paradas]],0)</f>
        <v>0</v>
      </c>
      <c r="V49" s="26">
        <f>IF(BD_ESTADISTICA_INF_B[[#This Row],[POSICION]]="jugador",BD_ESTADISTICA_INF_B[[#This Row],[Lanzam.]],0)</f>
        <v>7</v>
      </c>
      <c r="W49" s="26">
        <f>IF(BD_ESTADISTICA_INF_B[[#This Row],[POSICION]]="portero",BD_ESTADISTICA_INF_B[[#This Row],[Lanzam.]],0)</f>
        <v>0</v>
      </c>
    </row>
    <row r="50" spans="1:23" hidden="1">
      <c r="A50" s="21" t="s">
        <v>25</v>
      </c>
      <c r="B50" s="22">
        <v>6</v>
      </c>
      <c r="C50" s="22"/>
      <c r="D50" s="22">
        <v>6</v>
      </c>
      <c r="E50" s="8">
        <f>IF(BD_ESTADISTICA_INF_B[[#This Row],[Lanzam.]]="","",IF(BD_ESTADISTICA_INF_B[[#This Row],[POSICION]]="jugador",B50/D50,C50/D50))</f>
        <v>1</v>
      </c>
      <c r="F50" s="22">
        <v>1</v>
      </c>
      <c r="G50" s="22"/>
      <c r="H50" s="22"/>
      <c r="I50" s="22">
        <v>1</v>
      </c>
      <c r="J50" s="22"/>
      <c r="K50" s="22"/>
      <c r="L50" s="22">
        <v>1</v>
      </c>
      <c r="M50" s="22"/>
      <c r="N50" s="22">
        <v>1</v>
      </c>
      <c r="O50" s="23">
        <v>1</v>
      </c>
      <c r="P50" s="24">
        <v>3</v>
      </c>
      <c r="Q50" s="25" t="s">
        <v>79</v>
      </c>
      <c r="R50" s="11" t="s">
        <v>105</v>
      </c>
      <c r="S50" s="26" t="str">
        <f>IF(OR(BD_ESTADISTICA_INF_B[[#This Row],[Jugador]]="eudald",BD_ESTADISTICA_INF_B[[#This Row],[Jugador]]="jules",BD_ESTADISTICA_INF_B[[#This Row],[Jugador]]="JAN"),"PORTERO","JUGADOR")</f>
        <v>JUGADOR</v>
      </c>
      <c r="T50" s="26">
        <f>IF(BD_ESTADISTICA_INF_B[[#This Row],[POSICION]]="jugador",BD_ESTADISTICA_INF_B[[#This Row],[Goles]],0)</f>
        <v>6</v>
      </c>
      <c r="U50" s="26">
        <f>IF(BD_ESTADISTICA_INF_B[[#This Row],[POSICION]]="portero",BD_ESTADISTICA_INF_B[[#This Row],[Lanzam.]]-BD_ESTADISTICA_INF_B[[#This Row],[Paradas]],0)</f>
        <v>0</v>
      </c>
      <c r="V50" s="26">
        <f>IF(BD_ESTADISTICA_INF_B[[#This Row],[POSICION]]="jugador",BD_ESTADISTICA_INF_B[[#This Row],[Lanzam.]],0)</f>
        <v>6</v>
      </c>
      <c r="W50" s="26">
        <f>IF(BD_ESTADISTICA_INF_B[[#This Row],[POSICION]]="portero",BD_ESTADISTICA_INF_B[[#This Row],[Lanzam.]],0)</f>
        <v>0</v>
      </c>
    </row>
    <row r="51" spans="1:23" hidden="1">
      <c r="A51" s="21" t="s">
        <v>26</v>
      </c>
      <c r="B51" s="22">
        <v>3</v>
      </c>
      <c r="C51" s="22"/>
      <c r="D51" s="22">
        <v>3</v>
      </c>
      <c r="E51" s="8">
        <f>IF(BD_ESTADISTICA_INF_B[[#This Row],[Lanzam.]]="","",IF(BD_ESTADISTICA_INF_B[[#This Row],[POSICION]]="jugador",B51/D51,C51/D51))</f>
        <v>1</v>
      </c>
      <c r="F51" s="22">
        <v>1</v>
      </c>
      <c r="G51" s="22"/>
      <c r="H51" s="22"/>
      <c r="I51" s="22"/>
      <c r="J51" s="22"/>
      <c r="K51" s="22"/>
      <c r="L51" s="22">
        <v>2</v>
      </c>
      <c r="M51" s="22"/>
      <c r="N51" s="22"/>
      <c r="O51" s="23">
        <v>1</v>
      </c>
      <c r="P51" s="24">
        <v>3</v>
      </c>
      <c r="Q51" s="25" t="s">
        <v>79</v>
      </c>
      <c r="R51" s="11" t="s">
        <v>105</v>
      </c>
      <c r="S51" s="26" t="str">
        <f>IF(OR(BD_ESTADISTICA_INF_B[[#This Row],[Jugador]]="eudald",BD_ESTADISTICA_INF_B[[#This Row],[Jugador]]="jules",BD_ESTADISTICA_INF_B[[#This Row],[Jugador]]="JAN"),"PORTERO","JUGADOR")</f>
        <v>JUGADOR</v>
      </c>
      <c r="T51" s="26">
        <f>IF(BD_ESTADISTICA_INF_B[[#This Row],[POSICION]]="jugador",BD_ESTADISTICA_INF_B[[#This Row],[Goles]],0)</f>
        <v>3</v>
      </c>
      <c r="U51" s="26">
        <f>IF(BD_ESTADISTICA_INF_B[[#This Row],[POSICION]]="portero",BD_ESTADISTICA_INF_B[[#This Row],[Lanzam.]]-BD_ESTADISTICA_INF_B[[#This Row],[Paradas]],0)</f>
        <v>0</v>
      </c>
      <c r="V51" s="26">
        <f>IF(BD_ESTADISTICA_INF_B[[#This Row],[POSICION]]="jugador",BD_ESTADISTICA_INF_B[[#This Row],[Lanzam.]],0)</f>
        <v>3</v>
      </c>
      <c r="W51" s="26">
        <f>IF(BD_ESTADISTICA_INF_B[[#This Row],[POSICION]]="portero",BD_ESTADISTICA_INF_B[[#This Row],[Lanzam.]],0)</f>
        <v>0</v>
      </c>
    </row>
    <row r="52" spans="1:23" hidden="1">
      <c r="A52" s="21" t="s">
        <v>27</v>
      </c>
      <c r="B52" s="22">
        <v>6</v>
      </c>
      <c r="C52" s="22"/>
      <c r="D52" s="22">
        <v>9</v>
      </c>
      <c r="E52" s="8">
        <f>IF(BD_ESTADISTICA_INF_B[[#This Row],[Lanzam.]]="","",IF(BD_ESTADISTICA_INF_B[[#This Row],[POSICION]]="jugador",B52/D52,C52/D52))</f>
        <v>0.66666666666666663</v>
      </c>
      <c r="F52" s="22">
        <v>1</v>
      </c>
      <c r="G52" s="22"/>
      <c r="H52" s="22"/>
      <c r="I52" s="22"/>
      <c r="J52" s="22"/>
      <c r="K52" s="22"/>
      <c r="L52" s="22">
        <v>4</v>
      </c>
      <c r="M52" s="22">
        <v>1</v>
      </c>
      <c r="N52" s="22">
        <v>1</v>
      </c>
      <c r="O52" s="23">
        <v>1</v>
      </c>
      <c r="P52" s="24">
        <v>3</v>
      </c>
      <c r="Q52" s="25" t="s">
        <v>79</v>
      </c>
      <c r="R52" s="11" t="s">
        <v>105</v>
      </c>
      <c r="S52" s="26" t="str">
        <f>IF(OR(BD_ESTADISTICA_INF_B[[#This Row],[Jugador]]="eudald",BD_ESTADISTICA_INF_B[[#This Row],[Jugador]]="jules",BD_ESTADISTICA_INF_B[[#This Row],[Jugador]]="JAN"),"PORTERO","JUGADOR")</f>
        <v>JUGADOR</v>
      </c>
      <c r="T52" s="26">
        <f>IF(BD_ESTADISTICA_INF_B[[#This Row],[POSICION]]="jugador",BD_ESTADISTICA_INF_B[[#This Row],[Goles]],0)</f>
        <v>6</v>
      </c>
      <c r="U52" s="26">
        <f>IF(BD_ESTADISTICA_INF_B[[#This Row],[POSICION]]="portero",BD_ESTADISTICA_INF_B[[#This Row],[Lanzam.]]-BD_ESTADISTICA_INF_B[[#This Row],[Paradas]],0)</f>
        <v>0</v>
      </c>
      <c r="V52" s="26">
        <f>IF(BD_ESTADISTICA_INF_B[[#This Row],[POSICION]]="jugador",BD_ESTADISTICA_INF_B[[#This Row],[Lanzam.]],0)</f>
        <v>9</v>
      </c>
      <c r="W52" s="26">
        <f>IF(BD_ESTADISTICA_INF_B[[#This Row],[POSICION]]="portero",BD_ESTADISTICA_INF_B[[#This Row],[Lanzam.]],0)</f>
        <v>0</v>
      </c>
    </row>
    <row r="53" spans="1:23" hidden="1">
      <c r="A53" s="21" t="s">
        <v>28</v>
      </c>
      <c r="B53" s="22"/>
      <c r="C53" s="22"/>
      <c r="D53" s="22"/>
      <c r="E53" s="8" t="str">
        <f>IF(BD_ESTADISTICA_INF_B[[#This Row],[Lanzam.]]="","",IF(BD_ESTADISTICA_INF_B[[#This Row],[POSICION]]="jugador",B53/D53,C53/D53))</f>
        <v/>
      </c>
      <c r="F53" s="22">
        <v>2</v>
      </c>
      <c r="G53" s="22"/>
      <c r="H53" s="22">
        <v>2</v>
      </c>
      <c r="I53" s="22"/>
      <c r="J53" s="22"/>
      <c r="K53" s="22"/>
      <c r="L53" s="22"/>
      <c r="M53" s="22">
        <v>1</v>
      </c>
      <c r="N53" s="22"/>
      <c r="O53" s="23">
        <v>1</v>
      </c>
      <c r="P53" s="24">
        <v>3</v>
      </c>
      <c r="Q53" s="25" t="s">
        <v>79</v>
      </c>
      <c r="R53" s="11" t="s">
        <v>105</v>
      </c>
      <c r="S53" s="26" t="str">
        <f>IF(OR(BD_ESTADISTICA_INF_B[[#This Row],[Jugador]]="eudald",BD_ESTADISTICA_INF_B[[#This Row],[Jugador]]="jules",BD_ESTADISTICA_INF_B[[#This Row],[Jugador]]="JAN"),"PORTERO","JUGADOR")</f>
        <v>JUGADOR</v>
      </c>
      <c r="T53" s="26">
        <f>IF(BD_ESTADISTICA_INF_B[[#This Row],[POSICION]]="jugador",BD_ESTADISTICA_INF_B[[#This Row],[Goles]],0)</f>
        <v>0</v>
      </c>
      <c r="U53" s="26">
        <f>IF(BD_ESTADISTICA_INF_B[[#This Row],[POSICION]]="portero",BD_ESTADISTICA_INF_B[[#This Row],[Lanzam.]]-BD_ESTADISTICA_INF_B[[#This Row],[Paradas]],0)</f>
        <v>0</v>
      </c>
      <c r="V53" s="26">
        <f>IF(BD_ESTADISTICA_INF_B[[#This Row],[POSICION]]="jugador",BD_ESTADISTICA_INF_B[[#This Row],[Lanzam.]],0)</f>
        <v>0</v>
      </c>
      <c r="W53" s="26">
        <f>IF(BD_ESTADISTICA_INF_B[[#This Row],[POSICION]]="portero",BD_ESTADISTICA_INF_B[[#This Row],[Lanzam.]],0)</f>
        <v>0</v>
      </c>
    </row>
    <row r="54" spans="1:23" hidden="1">
      <c r="A54" s="21" t="s">
        <v>31</v>
      </c>
      <c r="B54" s="22">
        <v>0</v>
      </c>
      <c r="C54" s="22">
        <v>0</v>
      </c>
      <c r="D54" s="22">
        <v>5</v>
      </c>
      <c r="E54" s="8">
        <f>IF(BD_ESTADISTICA_INF_B[[#This Row],[Lanzam.]]="","",IF(BD_ESTADISTICA_INF_B[[#This Row],[POSICION]]="jugador",B54/D54,C54/D54))</f>
        <v>0</v>
      </c>
      <c r="F54" s="22">
        <v>1</v>
      </c>
      <c r="G54" s="22"/>
      <c r="H54" s="22"/>
      <c r="I54" s="22"/>
      <c r="J54" s="22"/>
      <c r="K54" s="22"/>
      <c r="L54" s="22"/>
      <c r="M54" s="22"/>
      <c r="N54" s="22"/>
      <c r="O54" s="23">
        <v>1</v>
      </c>
      <c r="P54" s="24">
        <v>3</v>
      </c>
      <c r="Q54" s="25" t="s">
        <v>79</v>
      </c>
      <c r="R54" s="11" t="s">
        <v>105</v>
      </c>
      <c r="S54" s="26" t="str">
        <f>IF(OR(BD_ESTADISTICA_INF_B[[#This Row],[Jugador]]="eudald",BD_ESTADISTICA_INF_B[[#This Row],[Jugador]]="jules",BD_ESTADISTICA_INF_B[[#This Row],[Jugador]]="JAN"),"PORTERO","JUGADOR")</f>
        <v>PORTERO</v>
      </c>
      <c r="T54" s="26">
        <f>IF(BD_ESTADISTICA_INF_B[[#This Row],[POSICION]]="jugador",BD_ESTADISTICA_INF_B[[#This Row],[Goles]],0)</f>
        <v>0</v>
      </c>
      <c r="U54" s="26">
        <f>IF(BD_ESTADISTICA_INF_B[[#This Row],[POSICION]]="portero",BD_ESTADISTICA_INF_B[[#This Row],[Lanzam.]]-BD_ESTADISTICA_INF_B[[#This Row],[Paradas]],0)</f>
        <v>5</v>
      </c>
      <c r="V54" s="26">
        <f>IF(BD_ESTADISTICA_INF_B[[#This Row],[POSICION]]="jugador",BD_ESTADISTICA_INF_B[[#This Row],[Lanzam.]],0)</f>
        <v>0</v>
      </c>
      <c r="W54" s="26">
        <f>IF(BD_ESTADISTICA_INF_B[[#This Row],[POSICION]]="portero",BD_ESTADISTICA_INF_B[[#This Row],[Lanzam.]],0)</f>
        <v>5</v>
      </c>
    </row>
    <row r="55" spans="1:23" hidden="1">
      <c r="A55" s="21" t="s">
        <v>29</v>
      </c>
      <c r="B55" s="22">
        <v>9</v>
      </c>
      <c r="C55" s="22">
        <v>9</v>
      </c>
      <c r="D55" s="22">
        <v>23</v>
      </c>
      <c r="E55" s="8">
        <f>IF(BD_ESTADISTICA_INF_B[[#This Row],[Lanzam.]]="","",IF(BD_ESTADISTICA_INF_B[[#This Row],[POSICION]]="jugador",B55/D55,C55/D55))</f>
        <v>0.39130434782608697</v>
      </c>
      <c r="F55" s="22"/>
      <c r="G55" s="22"/>
      <c r="H55" s="22"/>
      <c r="I55" s="22"/>
      <c r="J55" s="22"/>
      <c r="K55" s="22"/>
      <c r="L55" s="22"/>
      <c r="M55" s="22">
        <v>1</v>
      </c>
      <c r="N55" s="22"/>
      <c r="O55" s="23">
        <v>1</v>
      </c>
      <c r="P55" s="24">
        <v>3</v>
      </c>
      <c r="Q55" s="25" t="s">
        <v>79</v>
      </c>
      <c r="R55" s="11" t="s">
        <v>105</v>
      </c>
      <c r="S55" s="26" t="str">
        <f>IF(OR(BD_ESTADISTICA_INF_B[[#This Row],[Jugador]]="eudald",BD_ESTADISTICA_INF_B[[#This Row],[Jugador]]="jules",BD_ESTADISTICA_INF_B[[#This Row],[Jugador]]="JAN"),"PORTERO","JUGADOR")</f>
        <v>PORTERO</v>
      </c>
      <c r="T55" s="26">
        <f>IF(BD_ESTADISTICA_INF_B[[#This Row],[POSICION]]="jugador",BD_ESTADISTICA_INF_B[[#This Row],[Goles]],0)</f>
        <v>0</v>
      </c>
      <c r="U55" s="26">
        <f>IF(BD_ESTADISTICA_INF_B[[#This Row],[POSICION]]="portero",BD_ESTADISTICA_INF_B[[#This Row],[Lanzam.]]-BD_ESTADISTICA_INF_B[[#This Row],[Paradas]],0)</f>
        <v>14</v>
      </c>
      <c r="V55" s="26">
        <f>IF(BD_ESTADISTICA_INF_B[[#This Row],[POSICION]]="jugador",BD_ESTADISTICA_INF_B[[#This Row],[Lanzam.]],0)</f>
        <v>0</v>
      </c>
      <c r="W55" s="26">
        <f>IF(BD_ESTADISTICA_INF_B[[#This Row],[POSICION]]="portero",BD_ESTADISTICA_INF_B[[#This Row],[Lanzam.]],0)</f>
        <v>23</v>
      </c>
    </row>
    <row r="56" spans="1:23" hidden="1">
      <c r="A56" s="33" t="s">
        <v>30</v>
      </c>
      <c r="B56" s="22"/>
      <c r="C56" s="22"/>
      <c r="D56" s="22"/>
      <c r="E56" s="8" t="str">
        <f>IF(BD_ESTADISTICA_INF_B[[#This Row],[Lanzam.]]="","",IF(BD_ESTADISTICA_INF_B[[#This Row],[POSICION]]="jugador",B56/D56,C56/D56))</f>
        <v/>
      </c>
      <c r="F56" s="22"/>
      <c r="G56" s="22"/>
      <c r="H56" s="22"/>
      <c r="I56" s="22"/>
      <c r="J56" s="22"/>
      <c r="K56" s="22"/>
      <c r="L56" s="22"/>
      <c r="M56" s="22"/>
      <c r="N56" s="22"/>
      <c r="O56" s="23">
        <v>1</v>
      </c>
      <c r="P56" s="24">
        <v>3</v>
      </c>
      <c r="Q56" s="25" t="s">
        <v>79</v>
      </c>
      <c r="R56" s="11" t="s">
        <v>105</v>
      </c>
      <c r="S56" s="26" t="str">
        <f>IF(OR(BD_ESTADISTICA_INF_B[[#This Row],[Jugador]]="eudald",BD_ESTADISTICA_INF_B[[#This Row],[Jugador]]="jules",BD_ESTADISTICA_INF_B[[#This Row],[Jugador]]="JAN"),"PORTERO","JUGADOR")</f>
        <v>PORTERO</v>
      </c>
      <c r="T56" s="26">
        <f>IF(BD_ESTADISTICA_INF_B[[#This Row],[POSICION]]="jugador",BD_ESTADISTICA_INF_B[[#This Row],[Goles]],0)</f>
        <v>0</v>
      </c>
      <c r="U56" s="26">
        <f>IF(BD_ESTADISTICA_INF_B[[#This Row],[POSICION]]="portero",BD_ESTADISTICA_INF_B[[#This Row],[Lanzam.]]-BD_ESTADISTICA_INF_B[[#This Row],[Paradas]],0)</f>
        <v>0</v>
      </c>
      <c r="V56" s="26">
        <f>IF(BD_ESTADISTICA_INF_B[[#This Row],[POSICION]]="jugador",BD_ESTADISTICA_INF_B[[#This Row],[Lanzam.]],0)</f>
        <v>0</v>
      </c>
      <c r="W56" s="26">
        <f>IF(BD_ESTADISTICA_INF_B[[#This Row],[POSICION]]="portero",BD_ESTADISTICA_INF_B[[#This Row],[Lanzam.]],0)</f>
        <v>0</v>
      </c>
    </row>
    <row r="57" spans="1:23" hidden="1">
      <c r="A57" s="21" t="s">
        <v>42</v>
      </c>
      <c r="B57" s="22">
        <v>2</v>
      </c>
      <c r="C57" s="22"/>
      <c r="D57" s="22">
        <v>2</v>
      </c>
      <c r="E57" s="8">
        <f>IF(BD_ESTADISTICA_INF_B[[#This Row],[Lanzam.]]="","",IF(BD_ESTADISTICA_INF_B[[#This Row],[POSICION]]="jugador",B57/D57,C57/D57))</f>
        <v>1</v>
      </c>
      <c r="F57" s="22"/>
      <c r="G57" s="22"/>
      <c r="H57" s="22"/>
      <c r="I57" s="22"/>
      <c r="J57" s="22"/>
      <c r="K57" s="22"/>
      <c r="L57" s="22">
        <v>2</v>
      </c>
      <c r="M57" s="22"/>
      <c r="N57" s="22"/>
      <c r="O57" s="23">
        <v>1</v>
      </c>
      <c r="P57" s="24">
        <v>3</v>
      </c>
      <c r="Q57" s="25" t="s">
        <v>79</v>
      </c>
      <c r="R57" s="11" t="s">
        <v>105</v>
      </c>
      <c r="S57" s="26" t="str">
        <f>IF(OR(BD_ESTADISTICA_INF_B[[#This Row],[Jugador]]="eudald",BD_ESTADISTICA_INF_B[[#This Row],[Jugador]]="jules",BD_ESTADISTICA_INF_B[[#This Row],[Jugador]]="JAN"),"PORTERO","JUGADOR")</f>
        <v>JUGADOR</v>
      </c>
      <c r="T57" s="26">
        <f>IF(BD_ESTADISTICA_INF_B[[#This Row],[POSICION]]="jugador",BD_ESTADISTICA_INF_B[[#This Row],[Goles]],0)</f>
        <v>2</v>
      </c>
      <c r="U57" s="26">
        <f>IF(BD_ESTADISTICA_INF_B[[#This Row],[POSICION]]="portero",BD_ESTADISTICA_INF_B[[#This Row],[Lanzam.]]-BD_ESTADISTICA_INF_B[[#This Row],[Paradas]],0)</f>
        <v>0</v>
      </c>
      <c r="V57" s="26">
        <f>IF(BD_ESTADISTICA_INF_B[[#This Row],[POSICION]]="jugador",BD_ESTADISTICA_INF_B[[#This Row],[Lanzam.]],0)</f>
        <v>2</v>
      </c>
      <c r="W57" s="26">
        <f>IF(BD_ESTADISTICA_INF_B[[#This Row],[POSICION]]="portero",BD_ESTADISTICA_INF_B[[#This Row],[Lanzam.]],0)</f>
        <v>0</v>
      </c>
    </row>
    <row r="58" spans="1:23" hidden="1">
      <c r="A58" s="33" t="s">
        <v>22</v>
      </c>
      <c r="B58" s="22"/>
      <c r="C58" s="22"/>
      <c r="D58" s="22"/>
      <c r="E58" s="8" t="str">
        <f>IF(BD_ESTADISTICA_INF_B[[#This Row],[Lanzam.]]="","",IF(BD_ESTADISTICA_INF_B[[#This Row],[POSICION]]="jugador",B58/D58,C58/D58))</f>
        <v/>
      </c>
      <c r="F58" s="22"/>
      <c r="G58" s="22"/>
      <c r="H58" s="22"/>
      <c r="I58" s="22"/>
      <c r="J58" s="22"/>
      <c r="K58" s="22"/>
      <c r="L58" s="22"/>
      <c r="M58" s="22"/>
      <c r="N58" s="22"/>
      <c r="O58" s="23">
        <v>1</v>
      </c>
      <c r="P58" s="24">
        <v>3</v>
      </c>
      <c r="Q58" s="25" t="s">
        <v>79</v>
      </c>
      <c r="R58" s="11" t="s">
        <v>105</v>
      </c>
      <c r="S58" s="26" t="str">
        <f>IF(OR(BD_ESTADISTICA_INF_B[[#This Row],[Jugador]]="eudald",BD_ESTADISTICA_INF_B[[#This Row],[Jugador]]="jules",BD_ESTADISTICA_INF_B[[#This Row],[Jugador]]="JAN"),"PORTERO","JUGADOR")</f>
        <v>JUGADOR</v>
      </c>
      <c r="T58" s="26">
        <f>IF(BD_ESTADISTICA_INF_B[[#This Row],[POSICION]]="jugador",BD_ESTADISTICA_INF_B[[#This Row],[Goles]],0)</f>
        <v>0</v>
      </c>
      <c r="U58" s="26">
        <f>IF(BD_ESTADISTICA_INF_B[[#This Row],[POSICION]]="portero",BD_ESTADISTICA_INF_B[[#This Row],[Lanzam.]]-BD_ESTADISTICA_INF_B[[#This Row],[Paradas]],0)</f>
        <v>0</v>
      </c>
      <c r="V58" s="26">
        <f>IF(BD_ESTADISTICA_INF_B[[#This Row],[POSICION]]="jugador",BD_ESTADISTICA_INF_B[[#This Row],[Lanzam.]],0)</f>
        <v>0</v>
      </c>
      <c r="W58" s="26">
        <f>IF(BD_ESTADISTICA_INF_B[[#This Row],[POSICION]]="portero",BD_ESTADISTICA_INF_B[[#This Row],[Lanzam.]],0)</f>
        <v>0</v>
      </c>
    </row>
    <row r="59" spans="1:23" hidden="1">
      <c r="A59" s="21" t="s">
        <v>16</v>
      </c>
      <c r="B59" s="22">
        <v>5</v>
      </c>
      <c r="C59" s="22"/>
      <c r="D59" s="22">
        <v>5</v>
      </c>
      <c r="E59" s="8">
        <f>IF(BD_ESTADISTICA_INF_B[[#This Row],[Lanzam.]]="","",IF(BD_ESTADISTICA_INF_B[[#This Row],[POSICION]]="jugador",B59/D59,C59/D59))</f>
        <v>1</v>
      </c>
      <c r="F59" s="22">
        <v>3</v>
      </c>
      <c r="G59" s="22"/>
      <c r="H59" s="22">
        <v>1</v>
      </c>
      <c r="I59" s="22"/>
      <c r="J59" s="22"/>
      <c r="K59" s="22"/>
      <c r="L59" s="22">
        <v>4</v>
      </c>
      <c r="M59" s="22"/>
      <c r="N59" s="22"/>
      <c r="O59" s="23">
        <v>6</v>
      </c>
      <c r="P59" s="24">
        <v>3</v>
      </c>
      <c r="Q59" s="25" t="s">
        <v>103</v>
      </c>
      <c r="R59" s="11" t="s">
        <v>106</v>
      </c>
      <c r="S59" s="26" t="str">
        <f>IF(OR(BD_ESTADISTICA_INF_B[[#This Row],[Jugador]]="eudald",BD_ESTADISTICA_INF_B[[#This Row],[Jugador]]="jules",BD_ESTADISTICA_INF_B[[#This Row],[Jugador]]="JAN"),"PORTERO","JUGADOR")</f>
        <v>JUGADOR</v>
      </c>
      <c r="T59" s="26">
        <f>IF(BD_ESTADISTICA_INF_B[[#This Row],[POSICION]]="jugador",BD_ESTADISTICA_INF_B[[#This Row],[Goles]],0)</f>
        <v>5</v>
      </c>
      <c r="U59" s="26">
        <f>IF(BD_ESTADISTICA_INF_B[[#This Row],[POSICION]]="portero",BD_ESTADISTICA_INF_B[[#This Row],[Lanzam.]]-BD_ESTADISTICA_INF_B[[#This Row],[Paradas]],0)</f>
        <v>0</v>
      </c>
      <c r="V59" s="26">
        <f>IF(BD_ESTADISTICA_INF_B[[#This Row],[POSICION]]="jugador",BD_ESTADISTICA_INF_B[[#This Row],[Lanzam.]],0)</f>
        <v>5</v>
      </c>
      <c r="W59" s="26">
        <f>IF(BD_ESTADISTICA_INF_B[[#This Row],[POSICION]]="portero",BD_ESTADISTICA_INF_B[[#This Row],[Lanzam.]],0)</f>
        <v>0</v>
      </c>
    </row>
    <row r="60" spans="1:23" hidden="1">
      <c r="A60" s="33" t="s">
        <v>17</v>
      </c>
      <c r="B60" s="22"/>
      <c r="C60" s="22"/>
      <c r="D60" s="22"/>
      <c r="E60" s="8" t="str">
        <f>IF(BD_ESTADISTICA_INF_B[[#This Row],[Lanzam.]]="","",IF(BD_ESTADISTICA_INF_B[[#This Row],[POSICION]]="jugador",B60/D60,C60/D60))</f>
        <v/>
      </c>
      <c r="F60" s="22"/>
      <c r="G60" s="22"/>
      <c r="H60" s="22"/>
      <c r="I60" s="22"/>
      <c r="J60" s="22"/>
      <c r="K60" s="22"/>
      <c r="L60" s="22"/>
      <c r="M60" s="22"/>
      <c r="N60" s="22"/>
      <c r="O60" s="23">
        <v>6</v>
      </c>
      <c r="P60" s="24">
        <v>3</v>
      </c>
      <c r="Q60" s="25" t="s">
        <v>103</v>
      </c>
      <c r="R60" s="11" t="s">
        <v>106</v>
      </c>
      <c r="S60" s="26" t="str">
        <f>IF(OR(BD_ESTADISTICA_INF_B[[#This Row],[Jugador]]="eudald",BD_ESTADISTICA_INF_B[[#This Row],[Jugador]]="jules",BD_ESTADISTICA_INF_B[[#This Row],[Jugador]]="JAN"),"PORTERO","JUGADOR")</f>
        <v>JUGADOR</v>
      </c>
      <c r="T60" s="26">
        <f>IF(BD_ESTADISTICA_INF_B[[#This Row],[POSICION]]="jugador",BD_ESTADISTICA_INF_B[[#This Row],[Goles]],0)</f>
        <v>0</v>
      </c>
      <c r="U60" s="26">
        <f>IF(BD_ESTADISTICA_INF_B[[#This Row],[POSICION]]="portero",BD_ESTADISTICA_INF_B[[#This Row],[Lanzam.]]-BD_ESTADISTICA_INF_B[[#This Row],[Paradas]],0)</f>
        <v>0</v>
      </c>
      <c r="V60" s="26">
        <f>IF(BD_ESTADISTICA_INF_B[[#This Row],[POSICION]]="jugador",BD_ESTADISTICA_INF_B[[#This Row],[Lanzam.]],0)</f>
        <v>0</v>
      </c>
      <c r="W60" s="26">
        <f>IF(BD_ESTADISTICA_INF_B[[#This Row],[POSICION]]="portero",BD_ESTADISTICA_INF_B[[#This Row],[Lanzam.]],0)</f>
        <v>0</v>
      </c>
    </row>
    <row r="61" spans="1:23" hidden="1">
      <c r="A61" s="21" t="s">
        <v>18</v>
      </c>
      <c r="B61" s="22"/>
      <c r="C61" s="22"/>
      <c r="D61" s="22"/>
      <c r="E61" s="8" t="str">
        <f>IF(BD_ESTADISTICA_INF_B[[#This Row],[Lanzam.]]="","",IF(BD_ESTADISTICA_INF_B[[#This Row],[POSICION]]="jugador",B61/D61,C61/D61))</f>
        <v/>
      </c>
      <c r="F61" s="22">
        <v>8</v>
      </c>
      <c r="G61" s="22"/>
      <c r="H61" s="22"/>
      <c r="I61" s="22"/>
      <c r="J61" s="22"/>
      <c r="K61" s="22"/>
      <c r="L61" s="22"/>
      <c r="M61" s="22"/>
      <c r="N61" s="22"/>
      <c r="O61" s="23">
        <v>6</v>
      </c>
      <c r="P61" s="24">
        <v>3</v>
      </c>
      <c r="Q61" s="25" t="s">
        <v>103</v>
      </c>
      <c r="R61" s="11" t="s">
        <v>106</v>
      </c>
      <c r="S61" s="26" t="str">
        <f>IF(OR(BD_ESTADISTICA_INF_B[[#This Row],[Jugador]]="eudald",BD_ESTADISTICA_INF_B[[#This Row],[Jugador]]="jules",BD_ESTADISTICA_INF_B[[#This Row],[Jugador]]="JAN"),"PORTERO","JUGADOR")</f>
        <v>JUGADOR</v>
      </c>
      <c r="T61" s="26">
        <f>IF(BD_ESTADISTICA_INF_B[[#This Row],[POSICION]]="jugador",BD_ESTADISTICA_INF_B[[#This Row],[Goles]],0)</f>
        <v>0</v>
      </c>
      <c r="U61" s="26">
        <f>IF(BD_ESTADISTICA_INF_B[[#This Row],[POSICION]]="portero",BD_ESTADISTICA_INF_B[[#This Row],[Lanzam.]]-BD_ESTADISTICA_INF_B[[#This Row],[Paradas]],0)</f>
        <v>0</v>
      </c>
      <c r="V61" s="26">
        <f>IF(BD_ESTADISTICA_INF_B[[#This Row],[POSICION]]="jugador",BD_ESTADISTICA_INF_B[[#This Row],[Lanzam.]],0)</f>
        <v>0</v>
      </c>
      <c r="W61" s="26">
        <f>IF(BD_ESTADISTICA_INF_B[[#This Row],[POSICION]]="portero",BD_ESTADISTICA_INF_B[[#This Row],[Lanzam.]],0)</f>
        <v>0</v>
      </c>
    </row>
    <row r="62" spans="1:23" hidden="1">
      <c r="A62" s="21" t="s">
        <v>19</v>
      </c>
      <c r="B62" s="22"/>
      <c r="C62" s="22"/>
      <c r="D62" s="22"/>
      <c r="E62" s="8" t="str">
        <f>IF(BD_ESTADISTICA_INF_B[[#This Row],[Lanzam.]]="","",IF(BD_ESTADISTICA_INF_B[[#This Row],[POSICION]]="jugador",B62/D62,C62/D62))</f>
        <v/>
      </c>
      <c r="F62" s="22"/>
      <c r="G62" s="22"/>
      <c r="H62" s="22"/>
      <c r="I62" s="22"/>
      <c r="J62" s="22"/>
      <c r="K62" s="22"/>
      <c r="L62" s="22"/>
      <c r="M62" s="22"/>
      <c r="N62" s="22"/>
      <c r="O62" s="23">
        <v>6</v>
      </c>
      <c r="P62" s="24">
        <v>3</v>
      </c>
      <c r="Q62" s="25" t="s">
        <v>103</v>
      </c>
      <c r="R62" s="11" t="s">
        <v>106</v>
      </c>
      <c r="S62" s="26" t="str">
        <f>IF(OR(BD_ESTADISTICA_INF_B[[#This Row],[Jugador]]="eudald",BD_ESTADISTICA_INF_B[[#This Row],[Jugador]]="jules",BD_ESTADISTICA_INF_B[[#This Row],[Jugador]]="JAN"),"PORTERO","JUGADOR")</f>
        <v>JUGADOR</v>
      </c>
      <c r="T62" s="26">
        <f>IF(BD_ESTADISTICA_INF_B[[#This Row],[POSICION]]="jugador",BD_ESTADISTICA_INF_B[[#This Row],[Goles]],0)</f>
        <v>0</v>
      </c>
      <c r="U62" s="26">
        <f>IF(BD_ESTADISTICA_INF_B[[#This Row],[POSICION]]="portero",BD_ESTADISTICA_INF_B[[#This Row],[Lanzam.]]-BD_ESTADISTICA_INF_B[[#This Row],[Paradas]],0)</f>
        <v>0</v>
      </c>
      <c r="V62" s="26">
        <f>IF(BD_ESTADISTICA_INF_B[[#This Row],[POSICION]]="jugador",BD_ESTADISTICA_INF_B[[#This Row],[Lanzam.]],0)</f>
        <v>0</v>
      </c>
      <c r="W62" s="26">
        <f>IF(BD_ESTADISTICA_INF_B[[#This Row],[POSICION]]="portero",BD_ESTADISTICA_INF_B[[#This Row],[Lanzam.]],0)</f>
        <v>0</v>
      </c>
    </row>
    <row r="63" spans="1:23" hidden="1">
      <c r="A63" s="21" t="s">
        <v>20</v>
      </c>
      <c r="B63" s="22">
        <v>2</v>
      </c>
      <c r="C63" s="22"/>
      <c r="D63" s="22">
        <v>2</v>
      </c>
      <c r="E63" s="8">
        <f>IF(BD_ESTADISTICA_INF_B[[#This Row],[Lanzam.]]="","",IF(BD_ESTADISTICA_INF_B[[#This Row],[POSICION]]="jugador",B63/D63,C63/D63))</f>
        <v>1</v>
      </c>
      <c r="F63" s="22"/>
      <c r="G63" s="22"/>
      <c r="H63" s="22"/>
      <c r="I63" s="22">
        <v>1</v>
      </c>
      <c r="J63" s="22"/>
      <c r="K63" s="22"/>
      <c r="L63" s="22"/>
      <c r="M63" s="22"/>
      <c r="N63" s="22"/>
      <c r="O63" s="23">
        <v>6</v>
      </c>
      <c r="P63" s="24">
        <v>3</v>
      </c>
      <c r="Q63" s="25" t="s">
        <v>103</v>
      </c>
      <c r="R63" s="11" t="s">
        <v>106</v>
      </c>
      <c r="S63" s="26" t="str">
        <f>IF(OR(BD_ESTADISTICA_INF_B[[#This Row],[Jugador]]="eudald",BD_ESTADISTICA_INF_B[[#This Row],[Jugador]]="jules",BD_ESTADISTICA_INF_B[[#This Row],[Jugador]]="JAN"),"PORTERO","JUGADOR")</f>
        <v>JUGADOR</v>
      </c>
      <c r="T63" s="26">
        <f>IF(BD_ESTADISTICA_INF_B[[#This Row],[POSICION]]="jugador",BD_ESTADISTICA_INF_B[[#This Row],[Goles]],0)</f>
        <v>2</v>
      </c>
      <c r="U63" s="26">
        <f>IF(BD_ESTADISTICA_INF_B[[#This Row],[POSICION]]="portero",BD_ESTADISTICA_INF_B[[#This Row],[Lanzam.]]-BD_ESTADISTICA_INF_B[[#This Row],[Paradas]],0)</f>
        <v>0</v>
      </c>
      <c r="V63" s="26">
        <f>IF(BD_ESTADISTICA_INF_B[[#This Row],[POSICION]]="jugador",BD_ESTADISTICA_INF_B[[#This Row],[Lanzam.]],0)</f>
        <v>2</v>
      </c>
      <c r="W63" s="26">
        <f>IF(BD_ESTADISTICA_INF_B[[#This Row],[POSICION]]="portero",BD_ESTADISTICA_INF_B[[#This Row],[Lanzam.]],0)</f>
        <v>0</v>
      </c>
    </row>
    <row r="64" spans="1:23" hidden="1">
      <c r="A64" s="21" t="s">
        <v>21</v>
      </c>
      <c r="B64" s="22">
        <v>2</v>
      </c>
      <c r="C64" s="22"/>
      <c r="D64" s="22">
        <v>4</v>
      </c>
      <c r="E64" s="8">
        <f>IF(BD_ESTADISTICA_INF_B[[#This Row],[Lanzam.]]="","",IF(BD_ESTADISTICA_INF_B[[#This Row],[POSICION]]="jugador",B64/D64,C64/D64))</f>
        <v>0.5</v>
      </c>
      <c r="F64" s="22"/>
      <c r="G64" s="22"/>
      <c r="H64" s="22"/>
      <c r="I64" s="22"/>
      <c r="J64" s="22"/>
      <c r="K64" s="22"/>
      <c r="L64" s="22"/>
      <c r="M64" s="22"/>
      <c r="N64" s="22"/>
      <c r="O64" s="23">
        <v>6</v>
      </c>
      <c r="P64" s="24">
        <v>3</v>
      </c>
      <c r="Q64" s="25" t="s">
        <v>103</v>
      </c>
      <c r="R64" s="11" t="s">
        <v>106</v>
      </c>
      <c r="S64" s="26" t="str">
        <f>IF(OR(BD_ESTADISTICA_INF_B[[#This Row],[Jugador]]="eudald",BD_ESTADISTICA_INF_B[[#This Row],[Jugador]]="jules",BD_ESTADISTICA_INF_B[[#This Row],[Jugador]]="JAN"),"PORTERO","JUGADOR")</f>
        <v>JUGADOR</v>
      </c>
      <c r="T64" s="26">
        <f>IF(BD_ESTADISTICA_INF_B[[#This Row],[POSICION]]="jugador",BD_ESTADISTICA_INF_B[[#This Row],[Goles]],0)</f>
        <v>2</v>
      </c>
      <c r="U64" s="26">
        <f>IF(BD_ESTADISTICA_INF_B[[#This Row],[POSICION]]="portero",BD_ESTADISTICA_INF_B[[#This Row],[Lanzam.]]-BD_ESTADISTICA_INF_B[[#This Row],[Paradas]],0)</f>
        <v>0</v>
      </c>
      <c r="V64" s="26">
        <f>IF(BD_ESTADISTICA_INF_B[[#This Row],[POSICION]]="jugador",BD_ESTADISTICA_INF_B[[#This Row],[Lanzam.]],0)</f>
        <v>4</v>
      </c>
      <c r="W64" s="26">
        <f>IF(BD_ESTADISTICA_INF_B[[#This Row],[POSICION]]="portero",BD_ESTADISTICA_INF_B[[#This Row],[Lanzam.]],0)</f>
        <v>0</v>
      </c>
    </row>
    <row r="65" spans="1:23" hidden="1">
      <c r="A65" s="21" t="s">
        <v>40</v>
      </c>
      <c r="B65" s="22">
        <v>4</v>
      </c>
      <c r="C65" s="22"/>
      <c r="D65" s="22">
        <v>5</v>
      </c>
      <c r="E65" s="8">
        <f>IF(BD_ESTADISTICA_INF_B[[#This Row],[Lanzam.]]="","",IF(BD_ESTADISTICA_INF_B[[#This Row],[POSICION]]="jugador",B65/D65,C65/D65))</f>
        <v>0.8</v>
      </c>
      <c r="F65" s="22">
        <v>4</v>
      </c>
      <c r="G65" s="22"/>
      <c r="H65" s="22">
        <v>1</v>
      </c>
      <c r="I65" s="22"/>
      <c r="J65" s="22"/>
      <c r="K65" s="22"/>
      <c r="L65" s="22">
        <v>1</v>
      </c>
      <c r="M65" s="22"/>
      <c r="N65" s="22"/>
      <c r="O65" s="23">
        <v>6</v>
      </c>
      <c r="P65" s="24">
        <v>3</v>
      </c>
      <c r="Q65" s="25" t="s">
        <v>103</v>
      </c>
      <c r="R65" s="11" t="s">
        <v>106</v>
      </c>
      <c r="S65" s="26" t="str">
        <f>IF(OR(BD_ESTADISTICA_INF_B[[#This Row],[Jugador]]="eudald",BD_ESTADISTICA_INF_B[[#This Row],[Jugador]]="jules",BD_ESTADISTICA_INF_B[[#This Row],[Jugador]]="JAN"),"PORTERO","JUGADOR")</f>
        <v>JUGADOR</v>
      </c>
      <c r="T65" s="26">
        <f>IF(BD_ESTADISTICA_INF_B[[#This Row],[POSICION]]="jugador",BD_ESTADISTICA_INF_B[[#This Row],[Goles]],0)</f>
        <v>4</v>
      </c>
      <c r="U65" s="26">
        <f>IF(BD_ESTADISTICA_INF_B[[#This Row],[POSICION]]="portero",BD_ESTADISTICA_INF_B[[#This Row],[Lanzam.]]-BD_ESTADISTICA_INF_B[[#This Row],[Paradas]],0)</f>
        <v>0</v>
      </c>
      <c r="V65" s="26">
        <f>IF(BD_ESTADISTICA_INF_B[[#This Row],[POSICION]]="jugador",BD_ESTADISTICA_INF_B[[#This Row],[Lanzam.]],0)</f>
        <v>5</v>
      </c>
      <c r="W65" s="26">
        <f>IF(BD_ESTADISTICA_INF_B[[#This Row],[POSICION]]="portero",BD_ESTADISTICA_INF_B[[#This Row],[Lanzam.]],0)</f>
        <v>0</v>
      </c>
    </row>
    <row r="66" spans="1:23" hidden="1">
      <c r="A66" s="21" t="s">
        <v>41</v>
      </c>
      <c r="B66" s="22">
        <v>1</v>
      </c>
      <c r="C66" s="22"/>
      <c r="D66" s="22">
        <v>1</v>
      </c>
      <c r="E66" s="8">
        <f>IF(BD_ESTADISTICA_INF_B[[#This Row],[Lanzam.]]="","",IF(BD_ESTADISTICA_INF_B[[#This Row],[POSICION]]="jugador",B66/D66,C66/D66))</f>
        <v>1</v>
      </c>
      <c r="F66" s="22"/>
      <c r="G66" s="22"/>
      <c r="H66" s="22"/>
      <c r="I66" s="22"/>
      <c r="J66" s="22"/>
      <c r="K66" s="22"/>
      <c r="L66" s="22"/>
      <c r="M66" s="22"/>
      <c r="N66" s="22"/>
      <c r="O66" s="23">
        <v>6</v>
      </c>
      <c r="P66" s="24">
        <v>3</v>
      </c>
      <c r="Q66" s="25" t="s">
        <v>103</v>
      </c>
      <c r="R66" s="11" t="s">
        <v>106</v>
      </c>
      <c r="S66" s="26" t="str">
        <f>IF(OR(BD_ESTADISTICA_INF_B[[#This Row],[Jugador]]="eudald",BD_ESTADISTICA_INF_B[[#This Row],[Jugador]]="jules",BD_ESTADISTICA_INF_B[[#This Row],[Jugador]]="JAN"),"PORTERO","JUGADOR")</f>
        <v>JUGADOR</v>
      </c>
      <c r="T66" s="26">
        <f>IF(BD_ESTADISTICA_INF_B[[#This Row],[POSICION]]="jugador",BD_ESTADISTICA_INF_B[[#This Row],[Goles]],0)</f>
        <v>1</v>
      </c>
      <c r="U66" s="26">
        <f>IF(BD_ESTADISTICA_INF_B[[#This Row],[POSICION]]="portero",BD_ESTADISTICA_INF_B[[#This Row],[Lanzam.]]-BD_ESTADISTICA_INF_B[[#This Row],[Paradas]],0)</f>
        <v>0</v>
      </c>
      <c r="V66" s="26">
        <f>IF(BD_ESTADISTICA_INF_B[[#This Row],[POSICION]]="jugador",BD_ESTADISTICA_INF_B[[#This Row],[Lanzam.]],0)</f>
        <v>1</v>
      </c>
      <c r="W66" s="26">
        <f>IF(BD_ESTADISTICA_INF_B[[#This Row],[POSICION]]="portero",BD_ESTADISTICA_INF_B[[#This Row],[Lanzam.]],0)</f>
        <v>0</v>
      </c>
    </row>
    <row r="67" spans="1:23" hidden="1">
      <c r="A67" s="33" t="s">
        <v>23</v>
      </c>
      <c r="B67" s="22"/>
      <c r="C67" s="22"/>
      <c r="D67" s="22"/>
      <c r="E67" s="8" t="str">
        <f>IF(BD_ESTADISTICA_INF_B[[#This Row],[Lanzam.]]="","",IF(BD_ESTADISTICA_INF_B[[#This Row],[POSICION]]="jugador",B67/D67,C67/D67))</f>
        <v/>
      </c>
      <c r="F67" s="22"/>
      <c r="G67" s="22"/>
      <c r="H67" s="22"/>
      <c r="I67" s="22"/>
      <c r="J67" s="22"/>
      <c r="K67" s="22"/>
      <c r="L67" s="22"/>
      <c r="M67" s="22"/>
      <c r="N67" s="22"/>
      <c r="O67" s="23">
        <v>6</v>
      </c>
      <c r="P67" s="24">
        <v>3</v>
      </c>
      <c r="Q67" s="25" t="s">
        <v>103</v>
      </c>
      <c r="R67" s="11" t="s">
        <v>106</v>
      </c>
      <c r="S67" s="26" t="str">
        <f>IF(OR(BD_ESTADISTICA_INF_B[[#This Row],[Jugador]]="eudald",BD_ESTADISTICA_INF_B[[#This Row],[Jugador]]="jules",BD_ESTADISTICA_INF_B[[#This Row],[Jugador]]="JAN"),"PORTERO","JUGADOR")</f>
        <v>JUGADOR</v>
      </c>
      <c r="T67" s="26">
        <f>IF(BD_ESTADISTICA_INF_B[[#This Row],[POSICION]]="jugador",BD_ESTADISTICA_INF_B[[#This Row],[Goles]],0)</f>
        <v>0</v>
      </c>
      <c r="U67" s="26">
        <f>IF(BD_ESTADISTICA_INF_B[[#This Row],[POSICION]]="portero",BD_ESTADISTICA_INF_B[[#This Row],[Lanzam.]]-BD_ESTADISTICA_INF_B[[#This Row],[Paradas]],0)</f>
        <v>0</v>
      </c>
      <c r="V67" s="26">
        <f>IF(BD_ESTADISTICA_INF_B[[#This Row],[POSICION]]="jugador",BD_ESTADISTICA_INF_B[[#This Row],[Lanzam.]],0)</f>
        <v>0</v>
      </c>
      <c r="W67" s="26">
        <f>IF(BD_ESTADISTICA_INF_B[[#This Row],[POSICION]]="portero",BD_ESTADISTICA_INF_B[[#This Row],[Lanzam.]],0)</f>
        <v>0</v>
      </c>
    </row>
    <row r="68" spans="1:23" hidden="1">
      <c r="A68" s="21" t="s">
        <v>24</v>
      </c>
      <c r="B68" s="22">
        <v>6</v>
      </c>
      <c r="C68" s="22"/>
      <c r="D68" s="22">
        <v>7</v>
      </c>
      <c r="E68" s="8">
        <f>IF(BD_ESTADISTICA_INF_B[[#This Row],[Lanzam.]]="","",IF(BD_ESTADISTICA_INF_B[[#This Row],[POSICION]]="jugador",B68/D68,C68/D68))</f>
        <v>0.8571428571428571</v>
      </c>
      <c r="F68" s="22"/>
      <c r="G68" s="22">
        <v>1</v>
      </c>
      <c r="H68" s="22"/>
      <c r="I68" s="22"/>
      <c r="J68" s="22"/>
      <c r="K68" s="22"/>
      <c r="L68" s="22">
        <v>1</v>
      </c>
      <c r="M68" s="22"/>
      <c r="N68" s="22"/>
      <c r="O68" s="23">
        <v>6</v>
      </c>
      <c r="P68" s="24">
        <v>3</v>
      </c>
      <c r="Q68" s="25" t="s">
        <v>103</v>
      </c>
      <c r="R68" s="11" t="s">
        <v>106</v>
      </c>
      <c r="S68" s="26" t="str">
        <f>IF(OR(BD_ESTADISTICA_INF_B[[#This Row],[Jugador]]="eudald",BD_ESTADISTICA_INF_B[[#This Row],[Jugador]]="jules",BD_ESTADISTICA_INF_B[[#This Row],[Jugador]]="JAN"),"PORTERO","JUGADOR")</f>
        <v>JUGADOR</v>
      </c>
      <c r="T68" s="26">
        <f>IF(BD_ESTADISTICA_INF_B[[#This Row],[POSICION]]="jugador",BD_ESTADISTICA_INF_B[[#This Row],[Goles]],0)</f>
        <v>6</v>
      </c>
      <c r="U68" s="26">
        <f>IF(BD_ESTADISTICA_INF_B[[#This Row],[POSICION]]="portero",BD_ESTADISTICA_INF_B[[#This Row],[Lanzam.]]-BD_ESTADISTICA_INF_B[[#This Row],[Paradas]],0)</f>
        <v>0</v>
      </c>
      <c r="V68" s="26">
        <f>IF(BD_ESTADISTICA_INF_B[[#This Row],[POSICION]]="jugador",BD_ESTADISTICA_INF_B[[#This Row],[Lanzam.]],0)</f>
        <v>7</v>
      </c>
      <c r="W68" s="26">
        <f>IF(BD_ESTADISTICA_INF_B[[#This Row],[POSICION]]="portero",BD_ESTADISTICA_INF_B[[#This Row],[Lanzam.]],0)</f>
        <v>0</v>
      </c>
    </row>
    <row r="69" spans="1:23" hidden="1">
      <c r="A69" s="21" t="s">
        <v>25</v>
      </c>
      <c r="B69" s="22">
        <v>3</v>
      </c>
      <c r="C69" s="22"/>
      <c r="D69" s="22">
        <v>4</v>
      </c>
      <c r="E69" s="8">
        <f>IF(BD_ESTADISTICA_INF_B[[#This Row],[Lanzam.]]="","",IF(BD_ESTADISTICA_INF_B[[#This Row],[POSICION]]="jugador",B69/D69,C69/D69))</f>
        <v>0.75</v>
      </c>
      <c r="F69" s="22">
        <v>1</v>
      </c>
      <c r="G69" s="22"/>
      <c r="H69" s="22">
        <v>2</v>
      </c>
      <c r="I69" s="22"/>
      <c r="J69" s="22"/>
      <c r="K69" s="22"/>
      <c r="L69" s="22"/>
      <c r="M69" s="22"/>
      <c r="N69" s="22"/>
      <c r="O69" s="23">
        <v>6</v>
      </c>
      <c r="P69" s="24">
        <v>3</v>
      </c>
      <c r="Q69" s="25" t="s">
        <v>103</v>
      </c>
      <c r="R69" s="11" t="s">
        <v>106</v>
      </c>
      <c r="S69" s="26" t="str">
        <f>IF(OR(BD_ESTADISTICA_INF_B[[#This Row],[Jugador]]="eudald",BD_ESTADISTICA_INF_B[[#This Row],[Jugador]]="jules",BD_ESTADISTICA_INF_B[[#This Row],[Jugador]]="JAN"),"PORTERO","JUGADOR")</f>
        <v>JUGADOR</v>
      </c>
      <c r="T69" s="26">
        <f>IF(BD_ESTADISTICA_INF_B[[#This Row],[POSICION]]="jugador",BD_ESTADISTICA_INF_B[[#This Row],[Goles]],0)</f>
        <v>3</v>
      </c>
      <c r="U69" s="26">
        <f>IF(BD_ESTADISTICA_INF_B[[#This Row],[POSICION]]="portero",BD_ESTADISTICA_INF_B[[#This Row],[Lanzam.]]-BD_ESTADISTICA_INF_B[[#This Row],[Paradas]],0)</f>
        <v>0</v>
      </c>
      <c r="V69" s="26">
        <f>IF(BD_ESTADISTICA_INF_B[[#This Row],[POSICION]]="jugador",BD_ESTADISTICA_INF_B[[#This Row],[Lanzam.]],0)</f>
        <v>4</v>
      </c>
      <c r="W69" s="26">
        <f>IF(BD_ESTADISTICA_INF_B[[#This Row],[POSICION]]="portero",BD_ESTADISTICA_INF_B[[#This Row],[Lanzam.]],0)</f>
        <v>0</v>
      </c>
    </row>
    <row r="70" spans="1:23" hidden="1">
      <c r="A70" s="21" t="s">
        <v>26</v>
      </c>
      <c r="B70" s="22">
        <v>2</v>
      </c>
      <c r="C70" s="22"/>
      <c r="D70" s="22">
        <v>3</v>
      </c>
      <c r="E70" s="8">
        <f>IF(BD_ESTADISTICA_INF_B[[#This Row],[Lanzam.]]="","",IF(BD_ESTADISTICA_INF_B[[#This Row],[POSICION]]="jugador",B70/D70,C70/D70))</f>
        <v>0.66666666666666663</v>
      </c>
      <c r="F70" s="22">
        <v>1</v>
      </c>
      <c r="G70" s="22">
        <v>1</v>
      </c>
      <c r="H70" s="22">
        <v>1</v>
      </c>
      <c r="I70" s="22"/>
      <c r="J70" s="22"/>
      <c r="K70" s="22"/>
      <c r="L70" s="22"/>
      <c r="M70" s="22"/>
      <c r="N70" s="22">
        <v>1</v>
      </c>
      <c r="O70" s="23">
        <v>6</v>
      </c>
      <c r="P70" s="24">
        <v>3</v>
      </c>
      <c r="Q70" s="25" t="s">
        <v>103</v>
      </c>
      <c r="R70" s="11" t="s">
        <v>106</v>
      </c>
      <c r="S70" s="26" t="str">
        <f>IF(OR(BD_ESTADISTICA_INF_B[[#This Row],[Jugador]]="eudald",BD_ESTADISTICA_INF_B[[#This Row],[Jugador]]="jules",BD_ESTADISTICA_INF_B[[#This Row],[Jugador]]="JAN"),"PORTERO","JUGADOR")</f>
        <v>JUGADOR</v>
      </c>
      <c r="T70" s="26">
        <f>IF(BD_ESTADISTICA_INF_B[[#This Row],[POSICION]]="jugador",BD_ESTADISTICA_INF_B[[#This Row],[Goles]],0)</f>
        <v>2</v>
      </c>
      <c r="U70" s="26">
        <f>IF(BD_ESTADISTICA_INF_B[[#This Row],[POSICION]]="portero",BD_ESTADISTICA_INF_B[[#This Row],[Lanzam.]]-BD_ESTADISTICA_INF_B[[#This Row],[Paradas]],0)</f>
        <v>0</v>
      </c>
      <c r="V70" s="26">
        <f>IF(BD_ESTADISTICA_INF_B[[#This Row],[POSICION]]="jugador",BD_ESTADISTICA_INF_B[[#This Row],[Lanzam.]],0)</f>
        <v>3</v>
      </c>
      <c r="W70" s="26">
        <f>IF(BD_ESTADISTICA_INF_B[[#This Row],[POSICION]]="portero",BD_ESTADISTICA_INF_B[[#This Row],[Lanzam.]],0)</f>
        <v>0</v>
      </c>
    </row>
    <row r="71" spans="1:23" hidden="1">
      <c r="A71" s="21" t="s">
        <v>27</v>
      </c>
      <c r="B71" s="22">
        <v>5</v>
      </c>
      <c r="C71" s="22"/>
      <c r="D71" s="22">
        <v>5</v>
      </c>
      <c r="E71" s="8">
        <f>IF(BD_ESTADISTICA_INF_B[[#This Row],[Lanzam.]]="","",IF(BD_ESTADISTICA_INF_B[[#This Row],[POSICION]]="jugador",B71/D71,C71/D71))</f>
        <v>1</v>
      </c>
      <c r="F71" s="22">
        <v>3</v>
      </c>
      <c r="G71" s="22"/>
      <c r="H71" s="22"/>
      <c r="I71" s="22"/>
      <c r="J71" s="22"/>
      <c r="K71" s="22"/>
      <c r="L71" s="22">
        <v>4</v>
      </c>
      <c r="M71" s="22"/>
      <c r="N71" s="22"/>
      <c r="O71" s="23">
        <v>6</v>
      </c>
      <c r="P71" s="24">
        <v>3</v>
      </c>
      <c r="Q71" s="25" t="s">
        <v>103</v>
      </c>
      <c r="R71" s="11" t="s">
        <v>106</v>
      </c>
      <c r="S71" s="26" t="str">
        <f>IF(OR(BD_ESTADISTICA_INF_B[[#This Row],[Jugador]]="eudald",BD_ESTADISTICA_INF_B[[#This Row],[Jugador]]="jules",BD_ESTADISTICA_INF_B[[#This Row],[Jugador]]="JAN"),"PORTERO","JUGADOR")</f>
        <v>JUGADOR</v>
      </c>
      <c r="T71" s="26">
        <f>IF(BD_ESTADISTICA_INF_B[[#This Row],[POSICION]]="jugador",BD_ESTADISTICA_INF_B[[#This Row],[Goles]],0)</f>
        <v>5</v>
      </c>
      <c r="U71" s="26">
        <f>IF(BD_ESTADISTICA_INF_B[[#This Row],[POSICION]]="portero",BD_ESTADISTICA_INF_B[[#This Row],[Lanzam.]]-BD_ESTADISTICA_INF_B[[#This Row],[Paradas]],0)</f>
        <v>0</v>
      </c>
      <c r="V71" s="26">
        <f>IF(BD_ESTADISTICA_INF_B[[#This Row],[POSICION]]="jugador",BD_ESTADISTICA_INF_B[[#This Row],[Lanzam.]],0)</f>
        <v>5</v>
      </c>
      <c r="W71" s="26">
        <f>IF(BD_ESTADISTICA_INF_B[[#This Row],[POSICION]]="portero",BD_ESTADISTICA_INF_B[[#This Row],[Lanzam.]],0)</f>
        <v>0</v>
      </c>
    </row>
    <row r="72" spans="1:23" hidden="1">
      <c r="A72" s="21" t="s">
        <v>28</v>
      </c>
      <c r="B72" s="22">
        <v>1</v>
      </c>
      <c r="C72" s="22"/>
      <c r="D72" s="22">
        <v>1</v>
      </c>
      <c r="E72" s="8">
        <f>IF(BD_ESTADISTICA_INF_B[[#This Row],[Lanzam.]]="","",IF(BD_ESTADISTICA_INF_B[[#This Row],[POSICION]]="jugador",B72/D72,C72/D72))</f>
        <v>1</v>
      </c>
      <c r="F72" s="22">
        <v>5</v>
      </c>
      <c r="G72" s="22"/>
      <c r="H72" s="22">
        <v>1</v>
      </c>
      <c r="I72" s="22"/>
      <c r="J72" s="22"/>
      <c r="K72" s="22"/>
      <c r="L72" s="22">
        <v>1</v>
      </c>
      <c r="M72" s="22"/>
      <c r="N72" s="22"/>
      <c r="O72" s="23">
        <v>6</v>
      </c>
      <c r="P72" s="24">
        <v>3</v>
      </c>
      <c r="Q72" s="25" t="s">
        <v>103</v>
      </c>
      <c r="R72" s="11" t="s">
        <v>106</v>
      </c>
      <c r="S72" s="26" t="str">
        <f>IF(OR(BD_ESTADISTICA_INF_B[[#This Row],[Jugador]]="eudald",BD_ESTADISTICA_INF_B[[#This Row],[Jugador]]="jules",BD_ESTADISTICA_INF_B[[#This Row],[Jugador]]="JAN"),"PORTERO","JUGADOR")</f>
        <v>JUGADOR</v>
      </c>
      <c r="T72" s="26">
        <f>IF(BD_ESTADISTICA_INF_B[[#This Row],[POSICION]]="jugador",BD_ESTADISTICA_INF_B[[#This Row],[Goles]],0)</f>
        <v>1</v>
      </c>
      <c r="U72" s="26">
        <f>IF(BD_ESTADISTICA_INF_B[[#This Row],[POSICION]]="portero",BD_ESTADISTICA_INF_B[[#This Row],[Lanzam.]]-BD_ESTADISTICA_INF_B[[#This Row],[Paradas]],0)</f>
        <v>0</v>
      </c>
      <c r="V72" s="26">
        <f>IF(BD_ESTADISTICA_INF_B[[#This Row],[POSICION]]="jugador",BD_ESTADISTICA_INF_B[[#This Row],[Lanzam.]],0)</f>
        <v>1</v>
      </c>
      <c r="W72" s="26">
        <f>IF(BD_ESTADISTICA_INF_B[[#This Row],[POSICION]]="portero",BD_ESTADISTICA_INF_B[[#This Row],[Lanzam.]],0)</f>
        <v>0</v>
      </c>
    </row>
    <row r="73" spans="1:23" hidden="1">
      <c r="A73" s="33" t="s">
        <v>31</v>
      </c>
      <c r="B73" s="22"/>
      <c r="C73" s="22"/>
      <c r="D73" s="22"/>
      <c r="E73" s="8" t="str">
        <f>IF(BD_ESTADISTICA_INF_B[[#This Row],[Lanzam.]]="","",IF(BD_ESTADISTICA_INF_B[[#This Row],[POSICION]]="jugador",B73/D73,C73/D73))</f>
        <v/>
      </c>
      <c r="F73" s="22"/>
      <c r="G73" s="22"/>
      <c r="H73" s="22"/>
      <c r="I73" s="22"/>
      <c r="J73" s="22"/>
      <c r="K73" s="22"/>
      <c r="L73" s="22"/>
      <c r="M73" s="22"/>
      <c r="N73" s="22"/>
      <c r="O73" s="23">
        <v>6</v>
      </c>
      <c r="P73" s="24">
        <v>3</v>
      </c>
      <c r="Q73" s="25" t="s">
        <v>103</v>
      </c>
      <c r="R73" s="11" t="s">
        <v>106</v>
      </c>
      <c r="S73" s="26" t="str">
        <f>IF(OR(BD_ESTADISTICA_INF_B[[#This Row],[Jugador]]="eudald",BD_ESTADISTICA_INF_B[[#This Row],[Jugador]]="jules",BD_ESTADISTICA_INF_B[[#This Row],[Jugador]]="JAN"),"PORTERO","JUGADOR")</f>
        <v>PORTERO</v>
      </c>
      <c r="T73" s="26">
        <f>IF(BD_ESTADISTICA_INF_B[[#This Row],[POSICION]]="jugador",BD_ESTADISTICA_INF_B[[#This Row],[Goles]],0)</f>
        <v>0</v>
      </c>
      <c r="U73" s="26">
        <f>IF(BD_ESTADISTICA_INF_B[[#This Row],[POSICION]]="portero",BD_ESTADISTICA_INF_B[[#This Row],[Lanzam.]]-BD_ESTADISTICA_INF_B[[#This Row],[Paradas]],0)</f>
        <v>0</v>
      </c>
      <c r="V73" s="26">
        <f>IF(BD_ESTADISTICA_INF_B[[#This Row],[POSICION]]="jugador",BD_ESTADISTICA_INF_B[[#This Row],[Lanzam.]],0)</f>
        <v>0</v>
      </c>
      <c r="W73" s="26">
        <f>IF(BD_ESTADISTICA_INF_B[[#This Row],[POSICION]]="portero",BD_ESTADISTICA_INF_B[[#This Row],[Lanzam.]],0)</f>
        <v>0</v>
      </c>
    </row>
    <row r="74" spans="1:23" hidden="1">
      <c r="A74" s="21" t="s">
        <v>29</v>
      </c>
      <c r="B74" s="39">
        <v>3</v>
      </c>
      <c r="C74" s="22">
        <v>3</v>
      </c>
      <c r="D74" s="22">
        <v>12</v>
      </c>
      <c r="E74" s="8">
        <f>IF(BD_ESTADISTICA_INF_B[[#This Row],[Lanzam.]]="","",IF(BD_ESTADISTICA_INF_B[[#This Row],[POSICION]]="jugador",B74/D74,C74/D74))</f>
        <v>0.25</v>
      </c>
      <c r="F74" s="22">
        <v>1</v>
      </c>
      <c r="G74" s="22"/>
      <c r="H74" s="22"/>
      <c r="I74" s="22"/>
      <c r="J74" s="22"/>
      <c r="K74" s="22"/>
      <c r="L74" s="22"/>
      <c r="M74" s="22"/>
      <c r="N74" s="22"/>
      <c r="O74" s="23">
        <v>6</v>
      </c>
      <c r="P74" s="24">
        <v>3</v>
      </c>
      <c r="Q74" s="25" t="s">
        <v>103</v>
      </c>
      <c r="R74" s="11" t="s">
        <v>106</v>
      </c>
      <c r="S74" s="26" t="str">
        <f>IF(OR(BD_ESTADISTICA_INF_B[[#This Row],[Jugador]]="eudald",BD_ESTADISTICA_INF_B[[#This Row],[Jugador]]="jules",BD_ESTADISTICA_INF_B[[#This Row],[Jugador]]="JAN"),"PORTERO","JUGADOR")</f>
        <v>PORTERO</v>
      </c>
      <c r="T74" s="26">
        <f>IF(BD_ESTADISTICA_INF_B[[#This Row],[POSICION]]="jugador",BD_ESTADISTICA_INF_B[[#This Row],[Goles]],0)</f>
        <v>0</v>
      </c>
      <c r="U74" s="26">
        <f>IF(BD_ESTADISTICA_INF_B[[#This Row],[POSICION]]="portero",BD_ESTADISTICA_INF_B[[#This Row],[Lanzam.]]-BD_ESTADISTICA_INF_B[[#This Row],[Paradas]],0)</f>
        <v>9</v>
      </c>
      <c r="V74" s="26">
        <f>IF(BD_ESTADISTICA_INF_B[[#This Row],[POSICION]]="jugador",BD_ESTADISTICA_INF_B[[#This Row],[Lanzam.]],0)</f>
        <v>0</v>
      </c>
      <c r="W74" s="26">
        <f>IF(BD_ESTADISTICA_INF_B[[#This Row],[POSICION]]="portero",BD_ESTADISTICA_INF_B[[#This Row],[Lanzam.]],0)</f>
        <v>12</v>
      </c>
    </row>
    <row r="75" spans="1:23" hidden="1">
      <c r="A75" s="21" t="s">
        <v>30</v>
      </c>
      <c r="B75" s="28">
        <v>7</v>
      </c>
      <c r="C75" s="22">
        <v>7</v>
      </c>
      <c r="D75" s="22">
        <v>15</v>
      </c>
      <c r="E75" s="8">
        <f>IF(BD_ESTADISTICA_INF_B[[#This Row],[Lanzam.]]="","",IF(BD_ESTADISTICA_INF_B[[#This Row],[POSICION]]="jugador",B75/D75,C75/D75))</f>
        <v>0.46666666666666667</v>
      </c>
      <c r="F75" s="22">
        <v>1</v>
      </c>
      <c r="G75" s="22"/>
      <c r="H75" s="22"/>
      <c r="I75" s="22"/>
      <c r="J75" s="22"/>
      <c r="K75" s="22"/>
      <c r="L75" s="22"/>
      <c r="M75" s="22"/>
      <c r="N75" s="22"/>
      <c r="O75" s="23">
        <v>6</v>
      </c>
      <c r="P75" s="24">
        <v>3</v>
      </c>
      <c r="Q75" s="25" t="s">
        <v>103</v>
      </c>
      <c r="R75" s="11" t="s">
        <v>106</v>
      </c>
      <c r="S75" s="26" t="str">
        <f>IF(OR(BD_ESTADISTICA_INF_B[[#This Row],[Jugador]]="eudald",BD_ESTADISTICA_INF_B[[#This Row],[Jugador]]="jules",BD_ESTADISTICA_INF_B[[#This Row],[Jugador]]="JAN"),"PORTERO","JUGADOR")</f>
        <v>PORTERO</v>
      </c>
      <c r="T75" s="26">
        <f>IF(BD_ESTADISTICA_INF_B[[#This Row],[POSICION]]="jugador",BD_ESTADISTICA_INF_B[[#This Row],[Goles]],0)</f>
        <v>0</v>
      </c>
      <c r="U75" s="26">
        <f>IF(BD_ESTADISTICA_INF_B[[#This Row],[POSICION]]="portero",BD_ESTADISTICA_INF_B[[#This Row],[Lanzam.]]-BD_ESTADISTICA_INF_B[[#This Row],[Paradas]],0)</f>
        <v>8</v>
      </c>
      <c r="V75" s="26">
        <f>IF(BD_ESTADISTICA_INF_B[[#This Row],[POSICION]]="jugador",BD_ESTADISTICA_INF_B[[#This Row],[Lanzam.]],0)</f>
        <v>0</v>
      </c>
      <c r="W75" s="26">
        <f>IF(BD_ESTADISTICA_INF_B[[#This Row],[POSICION]]="portero",BD_ESTADISTICA_INF_B[[#This Row],[Lanzam.]],0)</f>
        <v>15</v>
      </c>
    </row>
    <row r="76" spans="1:23" hidden="1">
      <c r="A76" s="21" t="s">
        <v>42</v>
      </c>
      <c r="B76" s="22">
        <v>6</v>
      </c>
      <c r="C76" s="22"/>
      <c r="D76" s="22">
        <v>6</v>
      </c>
      <c r="E76" s="8">
        <f>IF(BD_ESTADISTICA_INF_B[[#This Row],[Lanzam.]]="","",IF(BD_ESTADISTICA_INF_B[[#This Row],[POSICION]]="jugador",B76/D76,C76/D76))</f>
        <v>1</v>
      </c>
      <c r="F76" s="22"/>
      <c r="G76" s="22"/>
      <c r="H76" s="22"/>
      <c r="I76" s="22"/>
      <c r="J76" s="22"/>
      <c r="K76" s="22"/>
      <c r="L76" s="22">
        <v>1</v>
      </c>
      <c r="M76" s="22"/>
      <c r="N76" s="22"/>
      <c r="O76" s="23">
        <v>6</v>
      </c>
      <c r="P76" s="24">
        <v>3</v>
      </c>
      <c r="Q76" s="25" t="s">
        <v>103</v>
      </c>
      <c r="R76" s="11" t="s">
        <v>106</v>
      </c>
      <c r="S76" s="26" t="str">
        <f>IF(OR(BD_ESTADISTICA_INF_B[[#This Row],[Jugador]]="eudald",BD_ESTADISTICA_INF_B[[#This Row],[Jugador]]="jules",BD_ESTADISTICA_INF_B[[#This Row],[Jugador]]="JAN"),"PORTERO","JUGADOR")</f>
        <v>JUGADOR</v>
      </c>
      <c r="T76" s="26">
        <f>IF(BD_ESTADISTICA_INF_B[[#This Row],[POSICION]]="jugador",BD_ESTADISTICA_INF_B[[#This Row],[Goles]],0)</f>
        <v>6</v>
      </c>
      <c r="U76" s="26">
        <f>IF(BD_ESTADISTICA_INF_B[[#This Row],[POSICION]]="portero",BD_ESTADISTICA_INF_B[[#This Row],[Lanzam.]]-BD_ESTADISTICA_INF_B[[#This Row],[Paradas]],0)</f>
        <v>0</v>
      </c>
      <c r="V76" s="26">
        <f>IF(BD_ESTADISTICA_INF_B[[#This Row],[POSICION]]="jugador",BD_ESTADISTICA_INF_B[[#This Row],[Lanzam.]],0)</f>
        <v>6</v>
      </c>
      <c r="W76" s="26">
        <f>IF(BD_ESTADISTICA_INF_B[[#This Row],[POSICION]]="portero",BD_ESTADISTICA_INF_B[[#This Row],[Lanzam.]],0)</f>
        <v>0</v>
      </c>
    </row>
    <row r="77" spans="1:23" hidden="1">
      <c r="A77" s="21" t="s">
        <v>22</v>
      </c>
      <c r="B77" s="22"/>
      <c r="C77" s="22"/>
      <c r="D77" s="22"/>
      <c r="E77" s="8" t="str">
        <f>IF(BD_ESTADISTICA_INF_B[[#This Row],[Lanzam.]]="","",IF(BD_ESTADISTICA_INF_B[[#This Row],[POSICION]]="jugador",B77/D77,C77/D77))</f>
        <v/>
      </c>
      <c r="F77" s="22"/>
      <c r="G77" s="22"/>
      <c r="H77" s="22"/>
      <c r="I77" s="22"/>
      <c r="J77" s="22"/>
      <c r="K77" s="22"/>
      <c r="L77" s="22"/>
      <c r="M77" s="22"/>
      <c r="N77" s="22"/>
      <c r="O77" s="23">
        <v>6</v>
      </c>
      <c r="P77" s="24">
        <v>3</v>
      </c>
      <c r="Q77" s="25" t="s">
        <v>103</v>
      </c>
      <c r="R77" s="11" t="s">
        <v>106</v>
      </c>
      <c r="S77" s="26" t="str">
        <f>IF(OR(BD_ESTADISTICA_INF_B[[#This Row],[Jugador]]="eudald",BD_ESTADISTICA_INF_B[[#This Row],[Jugador]]="jules",BD_ESTADISTICA_INF_B[[#This Row],[Jugador]]="JAN"),"PORTERO","JUGADOR")</f>
        <v>JUGADOR</v>
      </c>
      <c r="T77" s="26">
        <f>IF(BD_ESTADISTICA_INF_B[[#This Row],[POSICION]]="jugador",BD_ESTADISTICA_INF_B[[#This Row],[Goles]],0)</f>
        <v>0</v>
      </c>
      <c r="U77" s="26">
        <f>IF(BD_ESTADISTICA_INF_B[[#This Row],[POSICION]]="portero",BD_ESTADISTICA_INF_B[[#This Row],[Lanzam.]]-BD_ESTADISTICA_INF_B[[#This Row],[Paradas]],0)</f>
        <v>0</v>
      </c>
      <c r="V77" s="26">
        <f>IF(BD_ESTADISTICA_INF_B[[#This Row],[POSICION]]="jugador",BD_ESTADISTICA_INF_B[[#This Row],[Lanzam.]],0)</f>
        <v>0</v>
      </c>
      <c r="W77" s="26">
        <f>IF(BD_ESTADISTICA_INF_B[[#This Row],[POSICION]]="portero",BD_ESTADISTICA_INF_B[[#This Row],[Lanzam.]],0)</f>
        <v>0</v>
      </c>
    </row>
    <row r="78" spans="1:23" hidden="1">
      <c r="A78" s="21" t="s">
        <v>16</v>
      </c>
      <c r="B78" s="22">
        <v>3</v>
      </c>
      <c r="C78" s="22"/>
      <c r="D78" s="22">
        <v>4</v>
      </c>
      <c r="E78" s="8">
        <f>IF(BD_ESTADISTICA_INF_B[[#This Row],[Lanzam.]]="","",IF(BD_ESTADISTICA_INF_B[[#This Row],[POSICION]]="jugador",B78/D78,C78/D78))</f>
        <v>0.75</v>
      </c>
      <c r="F78" s="22"/>
      <c r="G78" s="22">
        <v>1</v>
      </c>
      <c r="H78" s="22"/>
      <c r="I78" s="22"/>
      <c r="J78" s="22"/>
      <c r="K78" s="22"/>
      <c r="L78" s="22"/>
      <c r="M78" s="22"/>
      <c r="N78" s="22"/>
      <c r="O78" s="23">
        <v>5</v>
      </c>
      <c r="P78" s="24">
        <v>3</v>
      </c>
      <c r="Q78" s="25" t="s">
        <v>79</v>
      </c>
      <c r="R78" s="11" t="s">
        <v>107</v>
      </c>
      <c r="S78" s="26" t="str">
        <f>IF(OR(BD_ESTADISTICA_INF_B[[#This Row],[Jugador]]="eudald",BD_ESTADISTICA_INF_B[[#This Row],[Jugador]]="jules",BD_ESTADISTICA_INF_B[[#This Row],[Jugador]]="JAN"),"PORTERO","JUGADOR")</f>
        <v>JUGADOR</v>
      </c>
      <c r="T78" s="26">
        <f>IF(BD_ESTADISTICA_INF_B[[#This Row],[POSICION]]="jugador",BD_ESTADISTICA_INF_B[[#This Row],[Goles]],0)</f>
        <v>3</v>
      </c>
      <c r="U78" s="26">
        <f>IF(BD_ESTADISTICA_INF_B[[#This Row],[POSICION]]="portero",BD_ESTADISTICA_INF_B[[#This Row],[Lanzam.]]-BD_ESTADISTICA_INF_B[[#This Row],[Paradas]],0)</f>
        <v>0</v>
      </c>
      <c r="V78" s="26">
        <f>IF(BD_ESTADISTICA_INF_B[[#This Row],[POSICION]]="jugador",BD_ESTADISTICA_INF_B[[#This Row],[Lanzam.]],0)</f>
        <v>4</v>
      </c>
      <c r="W78" s="26">
        <f>IF(BD_ESTADISTICA_INF_B[[#This Row],[POSICION]]="portero",BD_ESTADISTICA_INF_B[[#This Row],[Lanzam.]],0)</f>
        <v>0</v>
      </c>
    </row>
    <row r="79" spans="1:23" hidden="1">
      <c r="A79" s="21" t="s">
        <v>17</v>
      </c>
      <c r="B79" s="22">
        <v>4</v>
      </c>
      <c r="C79" s="22"/>
      <c r="D79" s="22">
        <v>5</v>
      </c>
      <c r="E79" s="8">
        <f>IF(BD_ESTADISTICA_INF_B[[#This Row],[Lanzam.]]="","",IF(BD_ESTADISTICA_INF_B[[#This Row],[POSICION]]="jugador",B79/D79,C79/D79))</f>
        <v>0.8</v>
      </c>
      <c r="F79" s="22">
        <v>2</v>
      </c>
      <c r="G79" s="22">
        <v>1</v>
      </c>
      <c r="H79" s="22"/>
      <c r="I79" s="22"/>
      <c r="J79" s="22"/>
      <c r="K79" s="22"/>
      <c r="L79" s="22">
        <v>1</v>
      </c>
      <c r="M79" s="22"/>
      <c r="N79" s="22"/>
      <c r="O79" s="23">
        <v>5</v>
      </c>
      <c r="P79" s="24">
        <v>3</v>
      </c>
      <c r="Q79" s="25" t="s">
        <v>79</v>
      </c>
      <c r="R79" s="11" t="s">
        <v>107</v>
      </c>
      <c r="S79" s="26" t="str">
        <f>IF(OR(BD_ESTADISTICA_INF_B[[#This Row],[Jugador]]="eudald",BD_ESTADISTICA_INF_B[[#This Row],[Jugador]]="jules",BD_ESTADISTICA_INF_B[[#This Row],[Jugador]]="JAN"),"PORTERO","JUGADOR")</f>
        <v>JUGADOR</v>
      </c>
      <c r="T79" s="26">
        <f>IF(BD_ESTADISTICA_INF_B[[#This Row],[POSICION]]="jugador",BD_ESTADISTICA_INF_B[[#This Row],[Goles]],0)</f>
        <v>4</v>
      </c>
      <c r="U79" s="26">
        <f>IF(BD_ESTADISTICA_INF_B[[#This Row],[POSICION]]="portero",BD_ESTADISTICA_INF_B[[#This Row],[Lanzam.]]-BD_ESTADISTICA_INF_B[[#This Row],[Paradas]],0)</f>
        <v>0</v>
      </c>
      <c r="V79" s="26">
        <f>IF(BD_ESTADISTICA_INF_B[[#This Row],[POSICION]]="jugador",BD_ESTADISTICA_INF_B[[#This Row],[Lanzam.]],0)</f>
        <v>5</v>
      </c>
      <c r="W79" s="26">
        <f>IF(BD_ESTADISTICA_INF_B[[#This Row],[POSICION]]="portero",BD_ESTADISTICA_INF_B[[#This Row],[Lanzam.]],0)</f>
        <v>0</v>
      </c>
    </row>
    <row r="80" spans="1:23" hidden="1">
      <c r="A80" s="21" t="s">
        <v>18</v>
      </c>
      <c r="B80" s="22">
        <v>1</v>
      </c>
      <c r="C80" s="22"/>
      <c r="D80" s="22">
        <v>1</v>
      </c>
      <c r="E80" s="8">
        <f>IF(BD_ESTADISTICA_INF_B[[#This Row],[Lanzam.]]="","",IF(BD_ESTADISTICA_INF_B[[#This Row],[POSICION]]="jugador",B80/D80,C80/D80))</f>
        <v>1</v>
      </c>
      <c r="F80" s="22">
        <v>6</v>
      </c>
      <c r="G80" s="22"/>
      <c r="H80" s="22"/>
      <c r="I80" s="22"/>
      <c r="J80" s="22"/>
      <c r="K80" s="22"/>
      <c r="L80" s="22"/>
      <c r="M80" s="22">
        <v>1</v>
      </c>
      <c r="N80" s="22">
        <v>1</v>
      </c>
      <c r="O80" s="23">
        <v>5</v>
      </c>
      <c r="P80" s="24">
        <v>3</v>
      </c>
      <c r="Q80" s="25" t="s">
        <v>79</v>
      </c>
      <c r="R80" s="11" t="s">
        <v>107</v>
      </c>
      <c r="S80" s="26" t="str">
        <f>IF(OR(BD_ESTADISTICA_INF_B[[#This Row],[Jugador]]="eudald",BD_ESTADISTICA_INF_B[[#This Row],[Jugador]]="jules",BD_ESTADISTICA_INF_B[[#This Row],[Jugador]]="JAN"),"PORTERO","JUGADOR")</f>
        <v>JUGADOR</v>
      </c>
      <c r="T80" s="26">
        <f>IF(BD_ESTADISTICA_INF_B[[#This Row],[POSICION]]="jugador",BD_ESTADISTICA_INF_B[[#This Row],[Goles]],0)</f>
        <v>1</v>
      </c>
      <c r="U80" s="26">
        <f>IF(BD_ESTADISTICA_INF_B[[#This Row],[POSICION]]="portero",BD_ESTADISTICA_INF_B[[#This Row],[Lanzam.]]-BD_ESTADISTICA_INF_B[[#This Row],[Paradas]],0)</f>
        <v>0</v>
      </c>
      <c r="V80" s="26">
        <f>IF(BD_ESTADISTICA_INF_B[[#This Row],[POSICION]]="jugador",BD_ESTADISTICA_INF_B[[#This Row],[Lanzam.]],0)</f>
        <v>1</v>
      </c>
      <c r="W80" s="26">
        <f>IF(BD_ESTADISTICA_INF_B[[#This Row],[POSICION]]="portero",BD_ESTADISTICA_INF_B[[#This Row],[Lanzam.]],0)</f>
        <v>0</v>
      </c>
    </row>
    <row r="81" spans="1:23" hidden="1">
      <c r="A81" s="33" t="s">
        <v>19</v>
      </c>
      <c r="B81" s="22"/>
      <c r="C81" s="22"/>
      <c r="D81" s="22"/>
      <c r="E81" s="8" t="str">
        <f>IF(BD_ESTADISTICA_INF_B[[#This Row],[Lanzam.]]="","",IF(BD_ESTADISTICA_INF_B[[#This Row],[POSICION]]="jugador",B81/D81,C81/D81))</f>
        <v/>
      </c>
      <c r="F81" s="22"/>
      <c r="G81" s="22"/>
      <c r="H81" s="22"/>
      <c r="I81" s="22"/>
      <c r="J81" s="22"/>
      <c r="K81" s="22"/>
      <c r="L81" s="22"/>
      <c r="M81" s="22"/>
      <c r="N81" s="22"/>
      <c r="O81" s="23">
        <v>5</v>
      </c>
      <c r="P81" s="24">
        <v>3</v>
      </c>
      <c r="Q81" s="25" t="s">
        <v>79</v>
      </c>
      <c r="R81" s="11" t="s">
        <v>107</v>
      </c>
      <c r="S81" s="26" t="str">
        <f>IF(OR(BD_ESTADISTICA_INF_B[[#This Row],[Jugador]]="eudald",BD_ESTADISTICA_INF_B[[#This Row],[Jugador]]="jules",BD_ESTADISTICA_INF_B[[#This Row],[Jugador]]="JAN"),"PORTERO","JUGADOR")</f>
        <v>JUGADOR</v>
      </c>
      <c r="T81" s="26">
        <f>IF(BD_ESTADISTICA_INF_B[[#This Row],[POSICION]]="jugador",BD_ESTADISTICA_INF_B[[#This Row],[Goles]],0)</f>
        <v>0</v>
      </c>
      <c r="U81" s="26">
        <f>IF(BD_ESTADISTICA_INF_B[[#This Row],[POSICION]]="portero",BD_ESTADISTICA_INF_B[[#This Row],[Lanzam.]]-BD_ESTADISTICA_INF_B[[#This Row],[Paradas]],0)</f>
        <v>0</v>
      </c>
      <c r="V81" s="26">
        <f>IF(BD_ESTADISTICA_INF_B[[#This Row],[POSICION]]="jugador",BD_ESTADISTICA_INF_B[[#This Row],[Lanzam.]],0)</f>
        <v>0</v>
      </c>
      <c r="W81" s="26">
        <f>IF(BD_ESTADISTICA_INF_B[[#This Row],[POSICION]]="portero",BD_ESTADISTICA_INF_B[[#This Row],[Lanzam.]],0)</f>
        <v>0</v>
      </c>
    </row>
    <row r="82" spans="1:23" hidden="1">
      <c r="A82" s="33" t="s">
        <v>20</v>
      </c>
      <c r="B82" s="22"/>
      <c r="C82" s="22"/>
      <c r="D82" s="22"/>
      <c r="E82" s="8" t="str">
        <f>IF(BD_ESTADISTICA_INF_B[[#This Row],[Lanzam.]]="","",IF(BD_ESTADISTICA_INF_B[[#This Row],[POSICION]]="jugador",B82/D82,C82/D82))</f>
        <v/>
      </c>
      <c r="F82" s="22"/>
      <c r="G82" s="22"/>
      <c r="H82" s="22"/>
      <c r="I82" s="22"/>
      <c r="J82" s="22"/>
      <c r="K82" s="22"/>
      <c r="L82" s="22"/>
      <c r="M82" s="22"/>
      <c r="N82" s="22"/>
      <c r="O82" s="23">
        <v>5</v>
      </c>
      <c r="P82" s="24">
        <v>3</v>
      </c>
      <c r="Q82" s="25" t="s">
        <v>79</v>
      </c>
      <c r="R82" s="11" t="s">
        <v>107</v>
      </c>
      <c r="S82" s="26" t="str">
        <f>IF(OR(BD_ESTADISTICA_INF_B[[#This Row],[Jugador]]="eudald",BD_ESTADISTICA_INF_B[[#This Row],[Jugador]]="jules",BD_ESTADISTICA_INF_B[[#This Row],[Jugador]]="JAN"),"PORTERO","JUGADOR")</f>
        <v>JUGADOR</v>
      </c>
      <c r="T82" s="26">
        <f>IF(BD_ESTADISTICA_INF_B[[#This Row],[POSICION]]="jugador",BD_ESTADISTICA_INF_B[[#This Row],[Goles]],0)</f>
        <v>0</v>
      </c>
      <c r="U82" s="26">
        <f>IF(BD_ESTADISTICA_INF_B[[#This Row],[POSICION]]="portero",BD_ESTADISTICA_INF_B[[#This Row],[Lanzam.]]-BD_ESTADISTICA_INF_B[[#This Row],[Paradas]],0)</f>
        <v>0</v>
      </c>
      <c r="V82" s="26">
        <f>IF(BD_ESTADISTICA_INF_B[[#This Row],[POSICION]]="jugador",BD_ESTADISTICA_INF_B[[#This Row],[Lanzam.]],0)</f>
        <v>0</v>
      </c>
      <c r="W82" s="26">
        <f>IF(BD_ESTADISTICA_INF_B[[#This Row],[POSICION]]="portero",BD_ESTADISTICA_INF_B[[#This Row],[Lanzam.]],0)</f>
        <v>0</v>
      </c>
    </row>
    <row r="83" spans="1:23" hidden="1">
      <c r="A83" s="21" t="s">
        <v>21</v>
      </c>
      <c r="B83" s="22">
        <v>6</v>
      </c>
      <c r="C83" s="22"/>
      <c r="D83" s="22">
        <v>7</v>
      </c>
      <c r="E83" s="8">
        <f>IF(BD_ESTADISTICA_INF_B[[#This Row],[Lanzam.]]="","",IF(BD_ESTADISTICA_INF_B[[#This Row],[POSICION]]="jugador",B83/D83,C83/D83))</f>
        <v>0.8571428571428571</v>
      </c>
      <c r="F83" s="22">
        <v>1</v>
      </c>
      <c r="G83" s="22"/>
      <c r="H83" s="22"/>
      <c r="I83" s="22"/>
      <c r="J83" s="22"/>
      <c r="K83" s="22"/>
      <c r="L83" s="22">
        <v>3</v>
      </c>
      <c r="M83" s="22"/>
      <c r="N83" s="22"/>
      <c r="O83" s="23">
        <v>5</v>
      </c>
      <c r="P83" s="24">
        <v>3</v>
      </c>
      <c r="Q83" s="25" t="s">
        <v>79</v>
      </c>
      <c r="R83" s="11" t="s">
        <v>107</v>
      </c>
      <c r="S83" s="26" t="str">
        <f>IF(OR(BD_ESTADISTICA_INF_B[[#This Row],[Jugador]]="eudald",BD_ESTADISTICA_INF_B[[#This Row],[Jugador]]="jules",BD_ESTADISTICA_INF_B[[#This Row],[Jugador]]="JAN"),"PORTERO","JUGADOR")</f>
        <v>JUGADOR</v>
      </c>
      <c r="T83" s="26">
        <f>IF(BD_ESTADISTICA_INF_B[[#This Row],[POSICION]]="jugador",BD_ESTADISTICA_INF_B[[#This Row],[Goles]],0)</f>
        <v>6</v>
      </c>
      <c r="U83" s="26">
        <f>IF(BD_ESTADISTICA_INF_B[[#This Row],[POSICION]]="portero",BD_ESTADISTICA_INF_B[[#This Row],[Lanzam.]]-BD_ESTADISTICA_INF_B[[#This Row],[Paradas]],0)</f>
        <v>0</v>
      </c>
      <c r="V83" s="26">
        <f>IF(BD_ESTADISTICA_INF_B[[#This Row],[POSICION]]="jugador",BD_ESTADISTICA_INF_B[[#This Row],[Lanzam.]],0)</f>
        <v>7</v>
      </c>
      <c r="W83" s="26">
        <f>IF(BD_ESTADISTICA_INF_B[[#This Row],[POSICION]]="portero",BD_ESTADISTICA_INF_B[[#This Row],[Lanzam.]],0)</f>
        <v>0</v>
      </c>
    </row>
    <row r="84" spans="1:23" hidden="1">
      <c r="A84" s="21" t="s">
        <v>40</v>
      </c>
      <c r="B84" s="22">
        <v>4</v>
      </c>
      <c r="C84" s="22"/>
      <c r="D84" s="22">
        <v>4</v>
      </c>
      <c r="E84" s="8">
        <f>IF(BD_ESTADISTICA_INF_B[[#This Row],[Lanzam.]]="","",IF(BD_ESTADISTICA_INF_B[[#This Row],[POSICION]]="jugador",B84/D84,C84/D84))</f>
        <v>1</v>
      </c>
      <c r="F84" s="22">
        <v>3</v>
      </c>
      <c r="G84" s="22"/>
      <c r="H84" s="22"/>
      <c r="I84" s="22"/>
      <c r="J84" s="22"/>
      <c r="K84" s="22"/>
      <c r="L84" s="22">
        <v>1</v>
      </c>
      <c r="M84" s="22"/>
      <c r="N84" s="22"/>
      <c r="O84" s="23">
        <v>5</v>
      </c>
      <c r="P84" s="24">
        <v>3</v>
      </c>
      <c r="Q84" s="25" t="s">
        <v>79</v>
      </c>
      <c r="R84" s="11" t="s">
        <v>107</v>
      </c>
      <c r="S84" s="26" t="str">
        <f>IF(OR(BD_ESTADISTICA_INF_B[[#This Row],[Jugador]]="eudald",BD_ESTADISTICA_INF_B[[#This Row],[Jugador]]="jules",BD_ESTADISTICA_INF_B[[#This Row],[Jugador]]="JAN"),"PORTERO","JUGADOR")</f>
        <v>JUGADOR</v>
      </c>
      <c r="T84" s="26">
        <f>IF(BD_ESTADISTICA_INF_B[[#This Row],[POSICION]]="jugador",BD_ESTADISTICA_INF_B[[#This Row],[Goles]],0)</f>
        <v>4</v>
      </c>
      <c r="U84" s="26">
        <f>IF(BD_ESTADISTICA_INF_B[[#This Row],[POSICION]]="portero",BD_ESTADISTICA_INF_B[[#This Row],[Lanzam.]]-BD_ESTADISTICA_INF_B[[#This Row],[Paradas]],0)</f>
        <v>0</v>
      </c>
      <c r="V84" s="26">
        <f>IF(BD_ESTADISTICA_INF_B[[#This Row],[POSICION]]="jugador",BD_ESTADISTICA_INF_B[[#This Row],[Lanzam.]],0)</f>
        <v>4</v>
      </c>
      <c r="W84" s="26">
        <f>IF(BD_ESTADISTICA_INF_B[[#This Row],[POSICION]]="portero",BD_ESTADISTICA_INF_B[[#This Row],[Lanzam.]],0)</f>
        <v>0</v>
      </c>
    </row>
    <row r="85" spans="1:23" hidden="1">
      <c r="A85" s="21" t="s">
        <v>41</v>
      </c>
      <c r="B85" s="22">
        <v>1</v>
      </c>
      <c r="C85" s="22"/>
      <c r="D85" s="22">
        <v>2</v>
      </c>
      <c r="E85" s="8">
        <f>IF(BD_ESTADISTICA_INF_B[[#This Row],[Lanzam.]]="","",IF(BD_ESTADISTICA_INF_B[[#This Row],[POSICION]]="jugador",B85/D85,C85/D85))</f>
        <v>0.5</v>
      </c>
      <c r="F85" s="22">
        <v>1</v>
      </c>
      <c r="G85" s="22"/>
      <c r="H85" s="22"/>
      <c r="I85" s="22"/>
      <c r="J85" s="22"/>
      <c r="K85" s="22"/>
      <c r="L85" s="22"/>
      <c r="M85" s="22"/>
      <c r="N85" s="22">
        <v>1</v>
      </c>
      <c r="O85" s="23">
        <v>5</v>
      </c>
      <c r="P85" s="24">
        <v>3</v>
      </c>
      <c r="Q85" s="25" t="s">
        <v>79</v>
      </c>
      <c r="R85" s="11" t="s">
        <v>107</v>
      </c>
      <c r="S85" s="26" t="str">
        <f>IF(OR(BD_ESTADISTICA_INF_B[[#This Row],[Jugador]]="eudald",BD_ESTADISTICA_INF_B[[#This Row],[Jugador]]="jules",BD_ESTADISTICA_INF_B[[#This Row],[Jugador]]="JAN"),"PORTERO","JUGADOR")</f>
        <v>JUGADOR</v>
      </c>
      <c r="T85" s="26">
        <f>IF(BD_ESTADISTICA_INF_B[[#This Row],[POSICION]]="jugador",BD_ESTADISTICA_INF_B[[#This Row],[Goles]],0)</f>
        <v>1</v>
      </c>
      <c r="U85" s="26">
        <f>IF(BD_ESTADISTICA_INF_B[[#This Row],[POSICION]]="portero",BD_ESTADISTICA_INF_B[[#This Row],[Lanzam.]]-BD_ESTADISTICA_INF_B[[#This Row],[Paradas]],0)</f>
        <v>0</v>
      </c>
      <c r="V85" s="26">
        <f>IF(BD_ESTADISTICA_INF_B[[#This Row],[POSICION]]="jugador",BD_ESTADISTICA_INF_B[[#This Row],[Lanzam.]],0)</f>
        <v>2</v>
      </c>
      <c r="W85" s="26">
        <f>IF(BD_ESTADISTICA_INF_B[[#This Row],[POSICION]]="portero",BD_ESTADISTICA_INF_B[[#This Row],[Lanzam.]],0)</f>
        <v>0</v>
      </c>
    </row>
    <row r="86" spans="1:23" hidden="1">
      <c r="A86" s="21" t="s">
        <v>23</v>
      </c>
      <c r="B86" s="22">
        <v>6</v>
      </c>
      <c r="C86" s="22"/>
      <c r="D86" s="22">
        <v>7</v>
      </c>
      <c r="E86" s="8">
        <f>IF(BD_ESTADISTICA_INF_B[[#This Row],[Lanzam.]]="","",IF(BD_ESTADISTICA_INF_B[[#This Row],[POSICION]]="jugador",B86/D86,C86/D86))</f>
        <v>0.8571428571428571</v>
      </c>
      <c r="F86" s="22">
        <v>3</v>
      </c>
      <c r="G86" s="22"/>
      <c r="H86" s="22">
        <v>1</v>
      </c>
      <c r="I86" s="22"/>
      <c r="J86" s="22"/>
      <c r="K86" s="22"/>
      <c r="L86" s="22">
        <v>4</v>
      </c>
      <c r="M86" s="22">
        <v>1</v>
      </c>
      <c r="N86" s="22"/>
      <c r="O86" s="23">
        <v>5</v>
      </c>
      <c r="P86" s="24">
        <v>3</v>
      </c>
      <c r="Q86" s="25" t="s">
        <v>79</v>
      </c>
      <c r="R86" s="11" t="s">
        <v>107</v>
      </c>
      <c r="S86" s="26" t="str">
        <f>IF(OR(BD_ESTADISTICA_INF_B[[#This Row],[Jugador]]="eudald",BD_ESTADISTICA_INF_B[[#This Row],[Jugador]]="jules",BD_ESTADISTICA_INF_B[[#This Row],[Jugador]]="JAN"),"PORTERO","JUGADOR")</f>
        <v>JUGADOR</v>
      </c>
      <c r="T86" s="26">
        <f>IF(BD_ESTADISTICA_INF_B[[#This Row],[POSICION]]="jugador",BD_ESTADISTICA_INF_B[[#This Row],[Goles]],0)</f>
        <v>6</v>
      </c>
      <c r="U86" s="26">
        <f>IF(BD_ESTADISTICA_INF_B[[#This Row],[POSICION]]="portero",BD_ESTADISTICA_INF_B[[#This Row],[Lanzam.]]-BD_ESTADISTICA_INF_B[[#This Row],[Paradas]],0)</f>
        <v>0</v>
      </c>
      <c r="V86" s="26">
        <f>IF(BD_ESTADISTICA_INF_B[[#This Row],[POSICION]]="jugador",BD_ESTADISTICA_INF_B[[#This Row],[Lanzam.]],0)</f>
        <v>7</v>
      </c>
      <c r="W86" s="26">
        <f>IF(BD_ESTADISTICA_INF_B[[#This Row],[POSICION]]="portero",BD_ESTADISTICA_INF_B[[#This Row],[Lanzam.]],0)</f>
        <v>0</v>
      </c>
    </row>
    <row r="87" spans="1:23" hidden="1">
      <c r="A87" s="21" t="s">
        <v>24</v>
      </c>
      <c r="B87" s="22">
        <v>0</v>
      </c>
      <c r="C87" s="22"/>
      <c r="D87" s="22">
        <v>1</v>
      </c>
      <c r="E87" s="8">
        <f>IF(BD_ESTADISTICA_INF_B[[#This Row],[Lanzam.]]="","",IF(BD_ESTADISTICA_INF_B[[#This Row],[POSICION]]="jugador",B87/D87,C87/D87))</f>
        <v>0</v>
      </c>
      <c r="F87" s="22"/>
      <c r="G87" s="22">
        <v>1</v>
      </c>
      <c r="H87" s="22">
        <v>1</v>
      </c>
      <c r="I87" s="22"/>
      <c r="J87" s="22"/>
      <c r="K87" s="22"/>
      <c r="L87" s="22"/>
      <c r="M87" s="22"/>
      <c r="N87" s="22"/>
      <c r="O87" s="23">
        <v>5</v>
      </c>
      <c r="P87" s="24">
        <v>3</v>
      </c>
      <c r="Q87" s="25" t="s">
        <v>79</v>
      </c>
      <c r="R87" s="11" t="s">
        <v>107</v>
      </c>
      <c r="S87" s="26" t="str">
        <f>IF(OR(BD_ESTADISTICA_INF_B[[#This Row],[Jugador]]="eudald",BD_ESTADISTICA_INF_B[[#This Row],[Jugador]]="jules",BD_ESTADISTICA_INF_B[[#This Row],[Jugador]]="JAN"),"PORTERO","JUGADOR")</f>
        <v>JUGADOR</v>
      </c>
      <c r="T87" s="26">
        <f>IF(BD_ESTADISTICA_INF_B[[#This Row],[POSICION]]="jugador",BD_ESTADISTICA_INF_B[[#This Row],[Goles]],0)</f>
        <v>0</v>
      </c>
      <c r="U87" s="26">
        <f>IF(BD_ESTADISTICA_INF_B[[#This Row],[POSICION]]="portero",BD_ESTADISTICA_INF_B[[#This Row],[Lanzam.]]-BD_ESTADISTICA_INF_B[[#This Row],[Paradas]],0)</f>
        <v>0</v>
      </c>
      <c r="V87" s="26">
        <f>IF(BD_ESTADISTICA_INF_B[[#This Row],[POSICION]]="jugador",BD_ESTADISTICA_INF_B[[#This Row],[Lanzam.]],0)</f>
        <v>1</v>
      </c>
      <c r="W87" s="26">
        <f>IF(BD_ESTADISTICA_INF_B[[#This Row],[POSICION]]="portero",BD_ESTADISTICA_INF_B[[#This Row],[Lanzam.]],0)</f>
        <v>0</v>
      </c>
    </row>
    <row r="88" spans="1:23" hidden="1">
      <c r="A88" s="21" t="s">
        <v>25</v>
      </c>
      <c r="B88" s="22">
        <v>3</v>
      </c>
      <c r="C88" s="22"/>
      <c r="D88" s="22">
        <v>6</v>
      </c>
      <c r="E88" s="8">
        <f>IF(BD_ESTADISTICA_INF_B[[#This Row],[Lanzam.]]="","",IF(BD_ESTADISTICA_INF_B[[#This Row],[POSICION]]="jugador",B88/D88,C88/D88))</f>
        <v>0.5</v>
      </c>
      <c r="F88" s="22">
        <v>3</v>
      </c>
      <c r="G88" s="22"/>
      <c r="H88" s="22">
        <v>1</v>
      </c>
      <c r="I88" s="22"/>
      <c r="J88" s="22">
        <v>1</v>
      </c>
      <c r="K88" s="22"/>
      <c r="L88" s="22">
        <v>1</v>
      </c>
      <c r="M88" s="22"/>
      <c r="N88" s="22">
        <v>1</v>
      </c>
      <c r="O88" s="23">
        <v>5</v>
      </c>
      <c r="P88" s="24">
        <v>3</v>
      </c>
      <c r="Q88" s="25" t="s">
        <v>79</v>
      </c>
      <c r="R88" s="11" t="s">
        <v>107</v>
      </c>
      <c r="S88" s="26" t="str">
        <f>IF(OR(BD_ESTADISTICA_INF_B[[#This Row],[Jugador]]="eudald",BD_ESTADISTICA_INF_B[[#This Row],[Jugador]]="jules",BD_ESTADISTICA_INF_B[[#This Row],[Jugador]]="JAN"),"PORTERO","JUGADOR")</f>
        <v>JUGADOR</v>
      </c>
      <c r="T88" s="26">
        <f>IF(BD_ESTADISTICA_INF_B[[#This Row],[POSICION]]="jugador",BD_ESTADISTICA_INF_B[[#This Row],[Goles]],0)</f>
        <v>3</v>
      </c>
      <c r="U88" s="26">
        <f>IF(BD_ESTADISTICA_INF_B[[#This Row],[POSICION]]="portero",BD_ESTADISTICA_INF_B[[#This Row],[Lanzam.]]-BD_ESTADISTICA_INF_B[[#This Row],[Paradas]],0)</f>
        <v>0</v>
      </c>
      <c r="V88" s="26">
        <f>IF(BD_ESTADISTICA_INF_B[[#This Row],[POSICION]]="jugador",BD_ESTADISTICA_INF_B[[#This Row],[Lanzam.]],0)</f>
        <v>6</v>
      </c>
      <c r="W88" s="26">
        <f>IF(BD_ESTADISTICA_INF_B[[#This Row],[POSICION]]="portero",BD_ESTADISTICA_INF_B[[#This Row],[Lanzam.]],0)</f>
        <v>0</v>
      </c>
    </row>
    <row r="89" spans="1:23" hidden="1">
      <c r="A89" s="21" t="s">
        <v>26</v>
      </c>
      <c r="B89" s="22">
        <v>6</v>
      </c>
      <c r="C89" s="22"/>
      <c r="D89" s="22">
        <v>6</v>
      </c>
      <c r="E89" s="8">
        <f>IF(BD_ESTADISTICA_INF_B[[#This Row],[Lanzam.]]="","",IF(BD_ESTADISTICA_INF_B[[#This Row],[POSICION]]="jugador",B89/D89,C89/D89))</f>
        <v>1</v>
      </c>
      <c r="F89" s="22">
        <v>1</v>
      </c>
      <c r="G89" s="22"/>
      <c r="H89" s="22"/>
      <c r="I89" s="22"/>
      <c r="J89" s="22">
        <v>1</v>
      </c>
      <c r="K89" s="22"/>
      <c r="L89" s="22">
        <v>1</v>
      </c>
      <c r="M89" s="22"/>
      <c r="N89" s="22">
        <v>1</v>
      </c>
      <c r="O89" s="23">
        <v>5</v>
      </c>
      <c r="P89" s="24">
        <v>3</v>
      </c>
      <c r="Q89" s="25" t="s">
        <v>79</v>
      </c>
      <c r="R89" s="11" t="s">
        <v>107</v>
      </c>
      <c r="S89" s="26" t="str">
        <f>IF(OR(BD_ESTADISTICA_INF_B[[#This Row],[Jugador]]="eudald",BD_ESTADISTICA_INF_B[[#This Row],[Jugador]]="jules",BD_ESTADISTICA_INF_B[[#This Row],[Jugador]]="JAN"),"PORTERO","JUGADOR")</f>
        <v>JUGADOR</v>
      </c>
      <c r="T89" s="26">
        <f>IF(BD_ESTADISTICA_INF_B[[#This Row],[POSICION]]="jugador",BD_ESTADISTICA_INF_B[[#This Row],[Goles]],0)</f>
        <v>6</v>
      </c>
      <c r="U89" s="26">
        <f>IF(BD_ESTADISTICA_INF_B[[#This Row],[POSICION]]="portero",BD_ESTADISTICA_INF_B[[#This Row],[Lanzam.]]-BD_ESTADISTICA_INF_B[[#This Row],[Paradas]],0)</f>
        <v>0</v>
      </c>
      <c r="V89" s="26">
        <f>IF(BD_ESTADISTICA_INF_B[[#This Row],[POSICION]]="jugador",BD_ESTADISTICA_INF_B[[#This Row],[Lanzam.]],0)</f>
        <v>6</v>
      </c>
      <c r="W89" s="26">
        <f>IF(BD_ESTADISTICA_INF_B[[#This Row],[POSICION]]="portero",BD_ESTADISTICA_INF_B[[#This Row],[Lanzam.]],0)</f>
        <v>0</v>
      </c>
    </row>
    <row r="90" spans="1:23" hidden="1">
      <c r="A90" s="21" t="s">
        <v>27</v>
      </c>
      <c r="B90" s="22">
        <v>14</v>
      </c>
      <c r="C90" s="22"/>
      <c r="D90" s="22">
        <v>17</v>
      </c>
      <c r="E90" s="8">
        <f>IF(BD_ESTADISTICA_INF_B[[#This Row],[Lanzam.]]="","",IF(BD_ESTADISTICA_INF_B[[#This Row],[POSICION]]="jugador",B90/D90,C90/D90))</f>
        <v>0.82352941176470584</v>
      </c>
      <c r="F90" s="22">
        <v>4</v>
      </c>
      <c r="G90" s="22"/>
      <c r="H90" s="22">
        <v>1</v>
      </c>
      <c r="I90" s="22"/>
      <c r="J90" s="22"/>
      <c r="K90" s="22"/>
      <c r="L90" s="22">
        <v>9</v>
      </c>
      <c r="M90" s="22"/>
      <c r="N90" s="22"/>
      <c r="O90" s="23">
        <v>5</v>
      </c>
      <c r="P90" s="24">
        <v>3</v>
      </c>
      <c r="Q90" s="25" t="s">
        <v>79</v>
      </c>
      <c r="R90" s="11" t="s">
        <v>107</v>
      </c>
      <c r="S90" s="26" t="str">
        <f>IF(OR(BD_ESTADISTICA_INF_B[[#This Row],[Jugador]]="eudald",BD_ESTADISTICA_INF_B[[#This Row],[Jugador]]="jules",BD_ESTADISTICA_INF_B[[#This Row],[Jugador]]="JAN"),"PORTERO","JUGADOR")</f>
        <v>JUGADOR</v>
      </c>
      <c r="T90" s="26">
        <f>IF(BD_ESTADISTICA_INF_B[[#This Row],[POSICION]]="jugador",BD_ESTADISTICA_INF_B[[#This Row],[Goles]],0)</f>
        <v>14</v>
      </c>
      <c r="U90" s="26">
        <f>IF(BD_ESTADISTICA_INF_B[[#This Row],[POSICION]]="portero",BD_ESTADISTICA_INF_B[[#This Row],[Lanzam.]]-BD_ESTADISTICA_INF_B[[#This Row],[Paradas]],0)</f>
        <v>0</v>
      </c>
      <c r="V90" s="26">
        <f>IF(BD_ESTADISTICA_INF_B[[#This Row],[POSICION]]="jugador",BD_ESTADISTICA_INF_B[[#This Row],[Lanzam.]],0)</f>
        <v>17</v>
      </c>
      <c r="W90" s="26">
        <f>IF(BD_ESTADISTICA_INF_B[[#This Row],[POSICION]]="portero",BD_ESTADISTICA_INF_B[[#This Row],[Lanzam.]],0)</f>
        <v>0</v>
      </c>
    </row>
    <row r="91" spans="1:23" hidden="1">
      <c r="A91" s="21" t="s">
        <v>28</v>
      </c>
      <c r="B91" s="22"/>
      <c r="C91" s="22"/>
      <c r="D91" s="22"/>
      <c r="E91" s="8" t="str">
        <f>IF(BD_ESTADISTICA_INF_B[[#This Row],[Lanzam.]]="","",IF(BD_ESTADISTICA_INF_B[[#This Row],[POSICION]]="jugador",B91/D91,C91/D91))</f>
        <v/>
      </c>
      <c r="F91" s="22"/>
      <c r="G91" s="22">
        <v>1</v>
      </c>
      <c r="H91" s="22"/>
      <c r="I91" s="22"/>
      <c r="J91" s="22"/>
      <c r="K91" s="22"/>
      <c r="L91" s="22"/>
      <c r="M91" s="22"/>
      <c r="N91" s="22"/>
      <c r="O91" s="23">
        <v>5</v>
      </c>
      <c r="P91" s="24">
        <v>3</v>
      </c>
      <c r="Q91" s="25" t="s">
        <v>79</v>
      </c>
      <c r="R91" s="11" t="s">
        <v>107</v>
      </c>
      <c r="S91" s="26" t="str">
        <f>IF(OR(BD_ESTADISTICA_INF_B[[#This Row],[Jugador]]="eudald",BD_ESTADISTICA_INF_B[[#This Row],[Jugador]]="jules",BD_ESTADISTICA_INF_B[[#This Row],[Jugador]]="JAN"),"PORTERO","JUGADOR")</f>
        <v>JUGADOR</v>
      </c>
      <c r="T91" s="26">
        <f>IF(BD_ESTADISTICA_INF_B[[#This Row],[POSICION]]="jugador",BD_ESTADISTICA_INF_B[[#This Row],[Goles]],0)</f>
        <v>0</v>
      </c>
      <c r="U91" s="26">
        <f>IF(BD_ESTADISTICA_INF_B[[#This Row],[POSICION]]="portero",BD_ESTADISTICA_INF_B[[#This Row],[Lanzam.]]-BD_ESTADISTICA_INF_B[[#This Row],[Paradas]],0)</f>
        <v>0</v>
      </c>
      <c r="V91" s="26">
        <f>IF(BD_ESTADISTICA_INF_B[[#This Row],[POSICION]]="jugador",BD_ESTADISTICA_INF_B[[#This Row],[Lanzam.]],0)</f>
        <v>0</v>
      </c>
      <c r="W91" s="26">
        <f>IF(BD_ESTADISTICA_INF_B[[#This Row],[POSICION]]="portero",BD_ESTADISTICA_INF_B[[#This Row],[Lanzam.]],0)</f>
        <v>0</v>
      </c>
    </row>
    <row r="92" spans="1:23" hidden="1">
      <c r="A92" s="33" t="s">
        <v>31</v>
      </c>
      <c r="B92" s="22"/>
      <c r="C92" s="22"/>
      <c r="D92" s="22"/>
      <c r="E92" s="8" t="str">
        <f>IF(BD_ESTADISTICA_INF_B[[#This Row],[Lanzam.]]="","",IF(BD_ESTADISTICA_INF_B[[#This Row],[POSICION]]="jugador",B92/D92,C92/D92))</f>
        <v/>
      </c>
      <c r="F92" s="22"/>
      <c r="G92" s="22"/>
      <c r="H92" s="22"/>
      <c r="I92" s="22"/>
      <c r="J92" s="22"/>
      <c r="K92" s="22"/>
      <c r="L92" s="22"/>
      <c r="M92" s="22"/>
      <c r="N92" s="22"/>
      <c r="O92" s="23">
        <v>5</v>
      </c>
      <c r="P92" s="24">
        <v>3</v>
      </c>
      <c r="Q92" s="25" t="s">
        <v>79</v>
      </c>
      <c r="R92" s="11" t="s">
        <v>107</v>
      </c>
      <c r="S92" s="26" t="str">
        <f>IF(OR(BD_ESTADISTICA_INF_B[[#This Row],[Jugador]]="eudald",BD_ESTADISTICA_INF_B[[#This Row],[Jugador]]="jules",BD_ESTADISTICA_INF_B[[#This Row],[Jugador]]="JAN"),"PORTERO","JUGADOR")</f>
        <v>PORTERO</v>
      </c>
      <c r="T92" s="26">
        <f>IF(BD_ESTADISTICA_INF_B[[#This Row],[POSICION]]="jugador",BD_ESTADISTICA_INF_B[[#This Row],[Goles]],0)</f>
        <v>0</v>
      </c>
      <c r="U92" s="26">
        <f>IF(BD_ESTADISTICA_INF_B[[#This Row],[POSICION]]="portero",BD_ESTADISTICA_INF_B[[#This Row],[Lanzam.]]-BD_ESTADISTICA_INF_B[[#This Row],[Paradas]],0)</f>
        <v>0</v>
      </c>
      <c r="V92" s="26">
        <f>IF(BD_ESTADISTICA_INF_B[[#This Row],[POSICION]]="jugador",BD_ESTADISTICA_INF_B[[#This Row],[Lanzam.]],0)</f>
        <v>0</v>
      </c>
      <c r="W92" s="26">
        <f>IF(BD_ESTADISTICA_INF_B[[#This Row],[POSICION]]="portero",BD_ESTADISTICA_INF_B[[#This Row],[Lanzam.]],0)</f>
        <v>0</v>
      </c>
    </row>
    <row r="93" spans="1:23" hidden="1">
      <c r="A93" s="21" t="s">
        <v>29</v>
      </c>
      <c r="B93" s="22">
        <v>7</v>
      </c>
      <c r="C93" s="22">
        <v>7</v>
      </c>
      <c r="D93" s="22">
        <v>22</v>
      </c>
      <c r="E93" s="8">
        <f>IF(BD_ESTADISTICA_INF_B[[#This Row],[Lanzam.]]="","",IF(BD_ESTADISTICA_INF_B[[#This Row],[POSICION]]="jugador",B93/D93,C93/D93))</f>
        <v>0.31818181818181818</v>
      </c>
      <c r="F93" s="22">
        <v>1</v>
      </c>
      <c r="G93" s="22"/>
      <c r="H93" s="22"/>
      <c r="I93" s="22"/>
      <c r="J93" s="22"/>
      <c r="K93" s="22"/>
      <c r="L93" s="22"/>
      <c r="M93" s="22"/>
      <c r="N93" s="22"/>
      <c r="O93" s="23">
        <v>5</v>
      </c>
      <c r="P93" s="24">
        <v>3</v>
      </c>
      <c r="Q93" s="25" t="s">
        <v>79</v>
      </c>
      <c r="R93" s="11" t="s">
        <v>107</v>
      </c>
      <c r="S93" s="26" t="str">
        <f>IF(OR(BD_ESTADISTICA_INF_B[[#This Row],[Jugador]]="eudald",BD_ESTADISTICA_INF_B[[#This Row],[Jugador]]="jules",BD_ESTADISTICA_INF_B[[#This Row],[Jugador]]="JAN"),"PORTERO","JUGADOR")</f>
        <v>PORTERO</v>
      </c>
      <c r="T93" s="26">
        <f>IF(BD_ESTADISTICA_INF_B[[#This Row],[POSICION]]="jugador",BD_ESTADISTICA_INF_B[[#This Row],[Goles]],0)</f>
        <v>0</v>
      </c>
      <c r="U93" s="26">
        <f>IF(BD_ESTADISTICA_INF_B[[#This Row],[POSICION]]="portero",BD_ESTADISTICA_INF_B[[#This Row],[Lanzam.]]-BD_ESTADISTICA_INF_B[[#This Row],[Paradas]],0)</f>
        <v>15</v>
      </c>
      <c r="V93" s="26">
        <f>IF(BD_ESTADISTICA_INF_B[[#This Row],[POSICION]]="jugador",BD_ESTADISTICA_INF_B[[#This Row],[Lanzam.]],0)</f>
        <v>0</v>
      </c>
      <c r="W93" s="26">
        <f>IF(BD_ESTADISTICA_INF_B[[#This Row],[POSICION]]="portero",BD_ESTADISTICA_INF_B[[#This Row],[Lanzam.]],0)</f>
        <v>22</v>
      </c>
    </row>
    <row r="94" spans="1:23" hidden="1">
      <c r="A94" s="21" t="s">
        <v>30</v>
      </c>
      <c r="B94" s="22">
        <v>7</v>
      </c>
      <c r="C94" s="22">
        <v>7</v>
      </c>
      <c r="D94" s="22">
        <v>16</v>
      </c>
      <c r="E94" s="8">
        <f>IF(BD_ESTADISTICA_INF_B[[#This Row],[Lanzam.]]="","",IF(BD_ESTADISTICA_INF_B[[#This Row],[POSICION]]="jugador",B94/D94,C94/D94))</f>
        <v>0.4375</v>
      </c>
      <c r="F94" s="22"/>
      <c r="G94" s="22"/>
      <c r="H94" s="22"/>
      <c r="I94" s="22"/>
      <c r="J94" s="22"/>
      <c r="K94" s="22"/>
      <c r="L94" s="22"/>
      <c r="M94" s="22"/>
      <c r="N94" s="22"/>
      <c r="O94" s="23">
        <v>5</v>
      </c>
      <c r="P94" s="24">
        <v>3</v>
      </c>
      <c r="Q94" s="25" t="s">
        <v>79</v>
      </c>
      <c r="R94" s="11" t="s">
        <v>107</v>
      </c>
      <c r="S94" s="26" t="str">
        <f>IF(OR(BD_ESTADISTICA_INF_B[[#This Row],[Jugador]]="eudald",BD_ESTADISTICA_INF_B[[#This Row],[Jugador]]="jules",BD_ESTADISTICA_INF_B[[#This Row],[Jugador]]="JAN"),"PORTERO","JUGADOR")</f>
        <v>PORTERO</v>
      </c>
      <c r="T94" s="26">
        <f>IF(BD_ESTADISTICA_INF_B[[#This Row],[POSICION]]="jugador",BD_ESTADISTICA_INF_B[[#This Row],[Goles]],0)</f>
        <v>0</v>
      </c>
      <c r="U94" s="26">
        <f>IF(BD_ESTADISTICA_INF_B[[#This Row],[POSICION]]="portero",BD_ESTADISTICA_INF_B[[#This Row],[Lanzam.]]-BD_ESTADISTICA_INF_B[[#This Row],[Paradas]],0)</f>
        <v>9</v>
      </c>
      <c r="V94" s="26">
        <f>IF(BD_ESTADISTICA_INF_B[[#This Row],[POSICION]]="jugador",BD_ESTADISTICA_INF_B[[#This Row],[Lanzam.]],0)</f>
        <v>0</v>
      </c>
      <c r="W94" s="26">
        <f>IF(BD_ESTADISTICA_INF_B[[#This Row],[POSICION]]="portero",BD_ESTADISTICA_INF_B[[#This Row],[Lanzam.]],0)</f>
        <v>16</v>
      </c>
    </row>
    <row r="95" spans="1:23" hidden="1">
      <c r="A95" s="21" t="s">
        <v>42</v>
      </c>
      <c r="B95" s="22">
        <v>0</v>
      </c>
      <c r="C95" s="22"/>
      <c r="D95" s="22">
        <v>3</v>
      </c>
      <c r="E95" s="8">
        <f>IF(BD_ESTADISTICA_INF_B[[#This Row],[Lanzam.]]="","",IF(BD_ESTADISTICA_INF_B[[#This Row],[POSICION]]="jugador",B95/D95,C95/D95))</f>
        <v>0</v>
      </c>
      <c r="F95" s="22"/>
      <c r="G95" s="22"/>
      <c r="H95" s="22">
        <v>1</v>
      </c>
      <c r="I95" s="22"/>
      <c r="J95" s="22"/>
      <c r="K95" s="22"/>
      <c r="L95" s="22"/>
      <c r="M95" s="22"/>
      <c r="N95" s="22"/>
      <c r="O95" s="23">
        <v>5</v>
      </c>
      <c r="P95" s="24">
        <v>3</v>
      </c>
      <c r="Q95" s="25" t="s">
        <v>79</v>
      </c>
      <c r="R95" s="11" t="s">
        <v>107</v>
      </c>
      <c r="S95" s="26" t="str">
        <f>IF(OR(BD_ESTADISTICA_INF_B[[#This Row],[Jugador]]="eudald",BD_ESTADISTICA_INF_B[[#This Row],[Jugador]]="jules",BD_ESTADISTICA_INF_B[[#This Row],[Jugador]]="JAN"),"PORTERO","JUGADOR")</f>
        <v>JUGADOR</v>
      </c>
      <c r="T95" s="26">
        <f>IF(BD_ESTADISTICA_INF_B[[#This Row],[POSICION]]="jugador",BD_ESTADISTICA_INF_B[[#This Row],[Goles]],0)</f>
        <v>0</v>
      </c>
      <c r="U95" s="26">
        <f>IF(BD_ESTADISTICA_INF_B[[#This Row],[POSICION]]="portero",BD_ESTADISTICA_INF_B[[#This Row],[Lanzam.]]-BD_ESTADISTICA_INF_B[[#This Row],[Paradas]],0)</f>
        <v>0</v>
      </c>
      <c r="V95" s="26">
        <f>IF(BD_ESTADISTICA_INF_B[[#This Row],[POSICION]]="jugador",BD_ESTADISTICA_INF_B[[#This Row],[Lanzam.]],0)</f>
        <v>3</v>
      </c>
      <c r="W95" s="26">
        <f>IF(BD_ESTADISTICA_INF_B[[#This Row],[POSICION]]="portero",BD_ESTADISTICA_INF_B[[#This Row],[Lanzam.]],0)</f>
        <v>0</v>
      </c>
    </row>
    <row r="96" spans="1:23" hidden="1">
      <c r="A96" s="21" t="s">
        <v>22</v>
      </c>
      <c r="B96" s="22">
        <v>2</v>
      </c>
      <c r="C96" s="22"/>
      <c r="D96" s="22">
        <v>3</v>
      </c>
      <c r="E96" s="8">
        <f>IF(BD_ESTADISTICA_INF_B[[#This Row],[Lanzam.]]="","",IF(BD_ESTADISTICA_INF_B[[#This Row],[POSICION]]="jugador",B96/D96,C96/D96))</f>
        <v>0.66666666666666663</v>
      </c>
      <c r="F96" s="22"/>
      <c r="G96" s="22"/>
      <c r="H96" s="22"/>
      <c r="I96" s="22"/>
      <c r="J96" s="22"/>
      <c r="K96" s="22"/>
      <c r="L96" s="22"/>
      <c r="M96" s="22"/>
      <c r="N96" s="22"/>
      <c r="O96" s="23">
        <v>5</v>
      </c>
      <c r="P96" s="24">
        <v>3</v>
      </c>
      <c r="Q96" s="25" t="s">
        <v>79</v>
      </c>
      <c r="R96" s="11" t="s">
        <v>107</v>
      </c>
      <c r="S96" s="26" t="str">
        <f>IF(OR(BD_ESTADISTICA_INF_B[[#This Row],[Jugador]]="eudald",BD_ESTADISTICA_INF_B[[#This Row],[Jugador]]="jules",BD_ESTADISTICA_INF_B[[#This Row],[Jugador]]="JAN"),"PORTERO","JUGADOR")</f>
        <v>JUGADOR</v>
      </c>
      <c r="T96" s="26">
        <f>IF(BD_ESTADISTICA_INF_B[[#This Row],[POSICION]]="jugador",BD_ESTADISTICA_INF_B[[#This Row],[Goles]],0)</f>
        <v>2</v>
      </c>
      <c r="U96" s="26">
        <f>IF(BD_ESTADISTICA_INF_B[[#This Row],[POSICION]]="portero",BD_ESTADISTICA_INF_B[[#This Row],[Lanzam.]]-BD_ESTADISTICA_INF_B[[#This Row],[Paradas]],0)</f>
        <v>0</v>
      </c>
      <c r="V96" s="26">
        <f>IF(BD_ESTADISTICA_INF_B[[#This Row],[POSICION]]="jugador",BD_ESTADISTICA_INF_B[[#This Row],[Lanzam.]],0)</f>
        <v>3</v>
      </c>
      <c r="W96" s="26">
        <f>IF(BD_ESTADISTICA_INF_B[[#This Row],[POSICION]]="portero",BD_ESTADISTICA_INF_B[[#This Row],[Lanzam.]],0)</f>
        <v>0</v>
      </c>
    </row>
    <row r="97" spans="1:23">
      <c r="A97" s="21" t="s">
        <v>16</v>
      </c>
      <c r="B97" s="22">
        <v>4</v>
      </c>
      <c r="C97" s="22"/>
      <c r="D97" s="22">
        <v>5</v>
      </c>
      <c r="E97" s="8">
        <f>IF(BD_ESTADISTICA_INF_B[[#This Row],[Lanzam.]]="","",IF(BD_ESTADISTICA_INF_B[[#This Row],[POSICION]]="jugador",B97/D97,C97/D97))</f>
        <v>0.8</v>
      </c>
      <c r="F97" s="22">
        <v>4</v>
      </c>
      <c r="G97" s="22"/>
      <c r="H97" s="22">
        <v>1</v>
      </c>
      <c r="I97" s="22"/>
      <c r="J97" s="22"/>
      <c r="K97" s="22"/>
      <c r="L97" s="22"/>
      <c r="M97" s="22"/>
      <c r="N97" s="22"/>
      <c r="O97" s="23">
        <v>7</v>
      </c>
      <c r="P97" s="24">
        <v>3</v>
      </c>
      <c r="Q97" s="25" t="s">
        <v>79</v>
      </c>
      <c r="R97" s="11" t="s">
        <v>108</v>
      </c>
      <c r="S97" s="26" t="str">
        <f>IF(OR(BD_ESTADISTICA_INF_B[[#This Row],[Jugador]]="eudald",BD_ESTADISTICA_INF_B[[#This Row],[Jugador]]="jules",BD_ESTADISTICA_INF_B[[#This Row],[Jugador]]="JAN"),"PORTERO","JUGADOR")</f>
        <v>JUGADOR</v>
      </c>
      <c r="T97" s="26">
        <f>IF(BD_ESTADISTICA_INF_B[[#This Row],[POSICION]]="jugador",BD_ESTADISTICA_INF_B[[#This Row],[Goles]],0)</f>
        <v>4</v>
      </c>
      <c r="U97" s="26">
        <f>IF(BD_ESTADISTICA_INF_B[[#This Row],[POSICION]]="portero",BD_ESTADISTICA_INF_B[[#This Row],[Lanzam.]]-BD_ESTADISTICA_INF_B[[#This Row],[Paradas]],0)</f>
        <v>0</v>
      </c>
      <c r="V97" s="26">
        <f>IF(BD_ESTADISTICA_INF_B[[#This Row],[POSICION]]="jugador",BD_ESTADISTICA_INF_B[[#This Row],[Lanzam.]],0)</f>
        <v>5</v>
      </c>
      <c r="W97" s="26">
        <f>IF(BD_ESTADISTICA_INF_B[[#This Row],[POSICION]]="portero",BD_ESTADISTICA_INF_B[[#This Row],[Lanzam.]],0)</f>
        <v>0</v>
      </c>
    </row>
    <row r="98" spans="1:23">
      <c r="A98" s="33" t="s">
        <v>17</v>
      </c>
      <c r="B98" s="22"/>
      <c r="C98" s="22"/>
      <c r="D98" s="22"/>
      <c r="E98" s="8" t="str">
        <f>IF(BD_ESTADISTICA_INF_B[[#This Row],[Lanzam.]]="","",IF(BD_ESTADISTICA_INF_B[[#This Row],[POSICION]]="jugador",B98/D98,C98/D98))</f>
        <v/>
      </c>
      <c r="F98" s="22"/>
      <c r="G98" s="22"/>
      <c r="H98" s="22"/>
      <c r="I98" s="22"/>
      <c r="J98" s="22"/>
      <c r="K98" s="22"/>
      <c r="L98" s="22"/>
      <c r="M98" s="22"/>
      <c r="N98" s="22"/>
      <c r="O98" s="23">
        <v>7</v>
      </c>
      <c r="P98" s="24">
        <v>3</v>
      </c>
      <c r="Q98" s="25" t="s">
        <v>79</v>
      </c>
      <c r="R98" s="11" t="s">
        <v>108</v>
      </c>
      <c r="S98" s="26" t="str">
        <f>IF(OR(BD_ESTADISTICA_INF_B[[#This Row],[Jugador]]="eudald",BD_ESTADISTICA_INF_B[[#This Row],[Jugador]]="jules",BD_ESTADISTICA_INF_B[[#This Row],[Jugador]]="JAN"),"PORTERO","JUGADOR")</f>
        <v>JUGADOR</v>
      </c>
      <c r="T98" s="26">
        <f>IF(BD_ESTADISTICA_INF_B[[#This Row],[POSICION]]="jugador",BD_ESTADISTICA_INF_B[[#This Row],[Goles]],0)</f>
        <v>0</v>
      </c>
      <c r="U98" s="26">
        <f>IF(BD_ESTADISTICA_INF_B[[#This Row],[POSICION]]="portero",BD_ESTADISTICA_INF_B[[#This Row],[Lanzam.]]-BD_ESTADISTICA_INF_B[[#This Row],[Paradas]],0)</f>
        <v>0</v>
      </c>
      <c r="V98" s="26">
        <f>IF(BD_ESTADISTICA_INF_B[[#This Row],[POSICION]]="jugador",BD_ESTADISTICA_INF_B[[#This Row],[Lanzam.]],0)</f>
        <v>0</v>
      </c>
      <c r="W98" s="26">
        <f>IF(BD_ESTADISTICA_INF_B[[#This Row],[POSICION]]="portero",BD_ESTADISTICA_INF_B[[#This Row],[Lanzam.]],0)</f>
        <v>0</v>
      </c>
    </row>
    <row r="99" spans="1:23">
      <c r="A99" s="21" t="s">
        <v>18</v>
      </c>
      <c r="B99" s="22">
        <v>2</v>
      </c>
      <c r="C99" s="22"/>
      <c r="D99" s="22">
        <v>2</v>
      </c>
      <c r="E99" s="8">
        <f>IF(BD_ESTADISTICA_INF_B[[#This Row],[Lanzam.]]="","",IF(BD_ESTADISTICA_INF_B[[#This Row],[POSICION]]="jugador",B99/D99,C99/D99))</f>
        <v>1</v>
      </c>
      <c r="F99" s="22">
        <v>8</v>
      </c>
      <c r="G99" s="22"/>
      <c r="H99" s="22">
        <v>1</v>
      </c>
      <c r="I99" s="22"/>
      <c r="J99" s="22"/>
      <c r="K99" s="22"/>
      <c r="L99" s="22">
        <v>1</v>
      </c>
      <c r="M99" s="22"/>
      <c r="N99" s="22"/>
      <c r="O99" s="23">
        <v>7</v>
      </c>
      <c r="P99" s="24">
        <v>3</v>
      </c>
      <c r="Q99" s="25" t="s">
        <v>79</v>
      </c>
      <c r="R99" s="11" t="s">
        <v>108</v>
      </c>
      <c r="S99" s="26" t="str">
        <f>IF(OR(BD_ESTADISTICA_INF_B[[#This Row],[Jugador]]="eudald",BD_ESTADISTICA_INF_B[[#This Row],[Jugador]]="jules",BD_ESTADISTICA_INF_B[[#This Row],[Jugador]]="JAN"),"PORTERO","JUGADOR")</f>
        <v>JUGADOR</v>
      </c>
      <c r="T99" s="26">
        <f>IF(BD_ESTADISTICA_INF_B[[#This Row],[POSICION]]="jugador",BD_ESTADISTICA_INF_B[[#This Row],[Goles]],0)</f>
        <v>2</v>
      </c>
      <c r="U99" s="26">
        <f>IF(BD_ESTADISTICA_INF_B[[#This Row],[POSICION]]="portero",BD_ESTADISTICA_INF_B[[#This Row],[Lanzam.]]-BD_ESTADISTICA_INF_B[[#This Row],[Paradas]],0)</f>
        <v>0</v>
      </c>
      <c r="V99" s="26">
        <f>IF(BD_ESTADISTICA_INF_B[[#This Row],[POSICION]]="jugador",BD_ESTADISTICA_INF_B[[#This Row],[Lanzam.]],0)</f>
        <v>2</v>
      </c>
      <c r="W99" s="26">
        <f>IF(BD_ESTADISTICA_INF_B[[#This Row],[POSICION]]="portero",BD_ESTADISTICA_INF_B[[#This Row],[Lanzam.]],0)</f>
        <v>0</v>
      </c>
    </row>
    <row r="100" spans="1:23">
      <c r="A100" s="33" t="s">
        <v>19</v>
      </c>
      <c r="B100" s="22"/>
      <c r="C100" s="22"/>
      <c r="D100" s="22"/>
      <c r="E100" s="8" t="str">
        <f>IF(BD_ESTADISTICA_INF_B[[#This Row],[Lanzam.]]="","",IF(BD_ESTADISTICA_INF_B[[#This Row],[POSICION]]="jugador",B100/D100,C100/D100))</f>
        <v/>
      </c>
      <c r="F100" s="22"/>
      <c r="G100" s="22"/>
      <c r="H100" s="22"/>
      <c r="I100" s="22"/>
      <c r="J100" s="22"/>
      <c r="K100" s="22"/>
      <c r="L100" s="22"/>
      <c r="M100" s="22"/>
      <c r="N100" s="22"/>
      <c r="O100" s="23">
        <v>7</v>
      </c>
      <c r="P100" s="24">
        <v>3</v>
      </c>
      <c r="Q100" s="25" t="s">
        <v>79</v>
      </c>
      <c r="R100" s="11" t="s">
        <v>108</v>
      </c>
      <c r="S100" s="26" t="str">
        <f>IF(OR(BD_ESTADISTICA_INF_B[[#This Row],[Jugador]]="eudald",BD_ESTADISTICA_INF_B[[#This Row],[Jugador]]="jules",BD_ESTADISTICA_INF_B[[#This Row],[Jugador]]="JAN"),"PORTERO","JUGADOR")</f>
        <v>JUGADOR</v>
      </c>
      <c r="T100" s="26">
        <f>IF(BD_ESTADISTICA_INF_B[[#This Row],[POSICION]]="jugador",BD_ESTADISTICA_INF_B[[#This Row],[Goles]],0)</f>
        <v>0</v>
      </c>
      <c r="U100" s="26">
        <f>IF(BD_ESTADISTICA_INF_B[[#This Row],[POSICION]]="portero",BD_ESTADISTICA_INF_B[[#This Row],[Lanzam.]]-BD_ESTADISTICA_INF_B[[#This Row],[Paradas]],0)</f>
        <v>0</v>
      </c>
      <c r="V100" s="26">
        <f>IF(BD_ESTADISTICA_INF_B[[#This Row],[POSICION]]="jugador",BD_ESTADISTICA_INF_B[[#This Row],[Lanzam.]],0)</f>
        <v>0</v>
      </c>
      <c r="W100" s="26">
        <f>IF(BD_ESTADISTICA_INF_B[[#This Row],[POSICION]]="portero",BD_ESTADISTICA_INF_B[[#This Row],[Lanzam.]],0)</f>
        <v>0</v>
      </c>
    </row>
    <row r="101" spans="1:23">
      <c r="A101" s="21" t="s">
        <v>20</v>
      </c>
      <c r="B101" s="22">
        <v>2</v>
      </c>
      <c r="C101" s="22"/>
      <c r="D101" s="22">
        <v>2</v>
      </c>
      <c r="E101" s="8">
        <f>IF(BD_ESTADISTICA_INF_B[[#This Row],[Lanzam.]]="","",IF(BD_ESTADISTICA_INF_B[[#This Row],[POSICION]]="jugador",B101/D101,C101/D101))</f>
        <v>1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3">
        <v>7</v>
      </c>
      <c r="P101" s="24">
        <v>3</v>
      </c>
      <c r="Q101" s="25" t="s">
        <v>79</v>
      </c>
      <c r="R101" s="11" t="s">
        <v>108</v>
      </c>
      <c r="S101" s="26" t="str">
        <f>IF(OR(BD_ESTADISTICA_INF_B[[#This Row],[Jugador]]="eudald",BD_ESTADISTICA_INF_B[[#This Row],[Jugador]]="jules",BD_ESTADISTICA_INF_B[[#This Row],[Jugador]]="JAN"),"PORTERO","JUGADOR")</f>
        <v>JUGADOR</v>
      </c>
      <c r="T101" s="26">
        <f>IF(BD_ESTADISTICA_INF_B[[#This Row],[POSICION]]="jugador",BD_ESTADISTICA_INF_B[[#This Row],[Goles]],0)</f>
        <v>2</v>
      </c>
      <c r="U101" s="26">
        <f>IF(BD_ESTADISTICA_INF_B[[#This Row],[POSICION]]="portero",BD_ESTADISTICA_INF_B[[#This Row],[Lanzam.]]-BD_ESTADISTICA_INF_B[[#This Row],[Paradas]],0)</f>
        <v>0</v>
      </c>
      <c r="V101" s="26">
        <f>IF(BD_ESTADISTICA_INF_B[[#This Row],[POSICION]]="jugador",BD_ESTADISTICA_INF_B[[#This Row],[Lanzam.]],0)</f>
        <v>2</v>
      </c>
      <c r="W101" s="26">
        <f>IF(BD_ESTADISTICA_INF_B[[#This Row],[POSICION]]="portero",BD_ESTADISTICA_INF_B[[#This Row],[Lanzam.]],0)</f>
        <v>0</v>
      </c>
    </row>
    <row r="102" spans="1:23">
      <c r="A102" s="21" t="s">
        <v>21</v>
      </c>
      <c r="B102" s="22">
        <v>6</v>
      </c>
      <c r="C102" s="22"/>
      <c r="D102" s="22">
        <v>7</v>
      </c>
      <c r="E102" s="8">
        <f>IF(BD_ESTADISTICA_INF_B[[#This Row],[Lanzam.]]="","",IF(BD_ESTADISTICA_INF_B[[#This Row],[POSICION]]="jugador",B102/D102,C102/D102))</f>
        <v>0.8571428571428571</v>
      </c>
      <c r="F102" s="22"/>
      <c r="G102" s="22"/>
      <c r="H102" s="22">
        <v>1</v>
      </c>
      <c r="I102" s="22"/>
      <c r="J102" s="22">
        <v>1</v>
      </c>
      <c r="K102" s="22">
        <v>1</v>
      </c>
      <c r="L102" s="22">
        <v>1</v>
      </c>
      <c r="M102" s="22"/>
      <c r="N102" s="22">
        <v>1</v>
      </c>
      <c r="O102" s="23">
        <v>7</v>
      </c>
      <c r="P102" s="24">
        <v>3</v>
      </c>
      <c r="Q102" s="25" t="s">
        <v>79</v>
      </c>
      <c r="R102" s="11" t="s">
        <v>108</v>
      </c>
      <c r="S102" s="26" t="str">
        <f>IF(OR(BD_ESTADISTICA_INF_B[[#This Row],[Jugador]]="eudald",BD_ESTADISTICA_INF_B[[#This Row],[Jugador]]="jules",BD_ESTADISTICA_INF_B[[#This Row],[Jugador]]="JAN"),"PORTERO","JUGADOR")</f>
        <v>JUGADOR</v>
      </c>
      <c r="T102" s="26">
        <f>IF(BD_ESTADISTICA_INF_B[[#This Row],[POSICION]]="jugador",BD_ESTADISTICA_INF_B[[#This Row],[Goles]],0)</f>
        <v>6</v>
      </c>
      <c r="U102" s="26">
        <f>IF(BD_ESTADISTICA_INF_B[[#This Row],[POSICION]]="portero",BD_ESTADISTICA_INF_B[[#This Row],[Lanzam.]]-BD_ESTADISTICA_INF_B[[#This Row],[Paradas]],0)</f>
        <v>0</v>
      </c>
      <c r="V102" s="26">
        <f>IF(BD_ESTADISTICA_INF_B[[#This Row],[POSICION]]="jugador",BD_ESTADISTICA_INF_B[[#This Row],[Lanzam.]],0)</f>
        <v>7</v>
      </c>
      <c r="W102" s="26">
        <f>IF(BD_ESTADISTICA_INF_B[[#This Row],[POSICION]]="portero",BD_ESTADISTICA_INF_B[[#This Row],[Lanzam.]],0)</f>
        <v>0</v>
      </c>
    </row>
    <row r="103" spans="1:23">
      <c r="A103" s="21" t="s">
        <v>40</v>
      </c>
      <c r="B103" s="22">
        <v>2</v>
      </c>
      <c r="C103" s="22"/>
      <c r="D103" s="22">
        <v>2</v>
      </c>
      <c r="E103" s="8">
        <f>IF(BD_ESTADISTICA_INF_B[[#This Row],[Lanzam.]]="","",IF(BD_ESTADISTICA_INF_B[[#This Row],[POSICION]]="jugador",B103/D103,C103/D103))</f>
        <v>1</v>
      </c>
      <c r="F103" s="22">
        <v>2</v>
      </c>
      <c r="G103" s="22"/>
      <c r="H103" s="22">
        <v>1</v>
      </c>
      <c r="I103" s="22"/>
      <c r="J103" s="22"/>
      <c r="K103" s="22"/>
      <c r="L103" s="22"/>
      <c r="M103" s="22"/>
      <c r="N103" s="22"/>
      <c r="O103" s="23">
        <v>7</v>
      </c>
      <c r="P103" s="24">
        <v>3</v>
      </c>
      <c r="Q103" s="25" t="s">
        <v>79</v>
      </c>
      <c r="R103" s="11" t="s">
        <v>108</v>
      </c>
      <c r="S103" s="26" t="str">
        <f>IF(OR(BD_ESTADISTICA_INF_B[[#This Row],[Jugador]]="eudald",BD_ESTADISTICA_INF_B[[#This Row],[Jugador]]="jules",BD_ESTADISTICA_INF_B[[#This Row],[Jugador]]="JAN"),"PORTERO","JUGADOR")</f>
        <v>JUGADOR</v>
      </c>
      <c r="T103" s="26">
        <f>IF(BD_ESTADISTICA_INF_B[[#This Row],[POSICION]]="jugador",BD_ESTADISTICA_INF_B[[#This Row],[Goles]],0)</f>
        <v>2</v>
      </c>
      <c r="U103" s="26">
        <f>IF(BD_ESTADISTICA_INF_B[[#This Row],[POSICION]]="portero",BD_ESTADISTICA_INF_B[[#This Row],[Lanzam.]]-BD_ESTADISTICA_INF_B[[#This Row],[Paradas]],0)</f>
        <v>0</v>
      </c>
      <c r="V103" s="26">
        <f>IF(BD_ESTADISTICA_INF_B[[#This Row],[POSICION]]="jugador",BD_ESTADISTICA_INF_B[[#This Row],[Lanzam.]],0)</f>
        <v>2</v>
      </c>
      <c r="W103" s="26">
        <f>IF(BD_ESTADISTICA_INF_B[[#This Row],[POSICION]]="portero",BD_ESTADISTICA_INF_B[[#This Row],[Lanzam.]],0)</f>
        <v>0</v>
      </c>
    </row>
    <row r="104" spans="1:23">
      <c r="A104" s="21" t="s">
        <v>41</v>
      </c>
      <c r="B104" s="22">
        <v>3</v>
      </c>
      <c r="C104" s="22"/>
      <c r="D104" s="22">
        <v>3</v>
      </c>
      <c r="E104" s="8">
        <f>IF(BD_ESTADISTICA_INF_B[[#This Row],[Lanzam.]]="","",IF(BD_ESTADISTICA_INF_B[[#This Row],[POSICION]]="jugador",B104/D104,C104/D104))</f>
        <v>1</v>
      </c>
      <c r="F104" s="22"/>
      <c r="G104" s="22"/>
      <c r="H104" s="22"/>
      <c r="I104" s="22"/>
      <c r="J104" s="22"/>
      <c r="K104" s="22"/>
      <c r="L104" s="22">
        <v>1</v>
      </c>
      <c r="M104" s="22"/>
      <c r="N104" s="22"/>
      <c r="O104" s="23">
        <v>7</v>
      </c>
      <c r="P104" s="24">
        <v>3</v>
      </c>
      <c r="Q104" s="25" t="s">
        <v>79</v>
      </c>
      <c r="R104" s="11" t="s">
        <v>108</v>
      </c>
      <c r="S104" s="26" t="str">
        <f>IF(OR(BD_ESTADISTICA_INF_B[[#This Row],[Jugador]]="eudald",BD_ESTADISTICA_INF_B[[#This Row],[Jugador]]="jules",BD_ESTADISTICA_INF_B[[#This Row],[Jugador]]="JAN"),"PORTERO","JUGADOR")</f>
        <v>JUGADOR</v>
      </c>
      <c r="T104" s="26">
        <f>IF(BD_ESTADISTICA_INF_B[[#This Row],[POSICION]]="jugador",BD_ESTADISTICA_INF_B[[#This Row],[Goles]],0)</f>
        <v>3</v>
      </c>
      <c r="U104" s="26">
        <f>IF(BD_ESTADISTICA_INF_B[[#This Row],[POSICION]]="portero",BD_ESTADISTICA_INF_B[[#This Row],[Lanzam.]]-BD_ESTADISTICA_INF_B[[#This Row],[Paradas]],0)</f>
        <v>0</v>
      </c>
      <c r="V104" s="26">
        <f>IF(BD_ESTADISTICA_INF_B[[#This Row],[POSICION]]="jugador",BD_ESTADISTICA_INF_B[[#This Row],[Lanzam.]],0)</f>
        <v>3</v>
      </c>
      <c r="W104" s="26">
        <f>IF(BD_ESTADISTICA_INF_B[[#This Row],[POSICION]]="portero",BD_ESTADISTICA_INF_B[[#This Row],[Lanzam.]],0)</f>
        <v>0</v>
      </c>
    </row>
    <row r="105" spans="1:23">
      <c r="A105" s="21" t="s">
        <v>23</v>
      </c>
      <c r="B105" s="22">
        <v>2</v>
      </c>
      <c r="C105" s="22"/>
      <c r="D105" s="22">
        <v>2</v>
      </c>
      <c r="E105" s="8">
        <f>IF(BD_ESTADISTICA_INF_B[[#This Row],[Lanzam.]]="","",IF(BD_ESTADISTICA_INF_B[[#This Row],[POSICION]]="jugador",B105/D105,C105/D105))</f>
        <v>1</v>
      </c>
      <c r="F105" s="22">
        <v>2</v>
      </c>
      <c r="G105" s="22"/>
      <c r="H105" s="22"/>
      <c r="I105" s="22"/>
      <c r="J105" s="22"/>
      <c r="K105" s="22"/>
      <c r="L105" s="22">
        <v>1</v>
      </c>
      <c r="M105" s="22"/>
      <c r="N105" s="22"/>
      <c r="O105" s="23">
        <v>7</v>
      </c>
      <c r="P105" s="24">
        <v>3</v>
      </c>
      <c r="Q105" s="25" t="s">
        <v>79</v>
      </c>
      <c r="R105" s="11" t="s">
        <v>108</v>
      </c>
      <c r="S105" s="26" t="str">
        <f>IF(OR(BD_ESTADISTICA_INF_B[[#This Row],[Jugador]]="eudald",BD_ESTADISTICA_INF_B[[#This Row],[Jugador]]="jules",BD_ESTADISTICA_INF_B[[#This Row],[Jugador]]="JAN"),"PORTERO","JUGADOR")</f>
        <v>JUGADOR</v>
      </c>
      <c r="T105" s="26">
        <f>IF(BD_ESTADISTICA_INF_B[[#This Row],[POSICION]]="jugador",BD_ESTADISTICA_INF_B[[#This Row],[Goles]],0)</f>
        <v>2</v>
      </c>
      <c r="U105" s="26">
        <f>IF(BD_ESTADISTICA_INF_B[[#This Row],[POSICION]]="portero",BD_ESTADISTICA_INF_B[[#This Row],[Lanzam.]]-BD_ESTADISTICA_INF_B[[#This Row],[Paradas]],0)</f>
        <v>0</v>
      </c>
      <c r="V105" s="26">
        <f>IF(BD_ESTADISTICA_INF_B[[#This Row],[POSICION]]="jugador",BD_ESTADISTICA_INF_B[[#This Row],[Lanzam.]],0)</f>
        <v>2</v>
      </c>
      <c r="W105" s="26">
        <f>IF(BD_ESTADISTICA_INF_B[[#This Row],[POSICION]]="portero",BD_ESTADISTICA_INF_B[[#This Row],[Lanzam.]],0)</f>
        <v>0</v>
      </c>
    </row>
    <row r="106" spans="1:23">
      <c r="A106" s="21" t="s">
        <v>24</v>
      </c>
      <c r="B106" s="22">
        <v>5</v>
      </c>
      <c r="C106" s="22"/>
      <c r="D106" s="22">
        <v>7</v>
      </c>
      <c r="E106" s="8">
        <f>IF(BD_ESTADISTICA_INF_B[[#This Row],[Lanzam.]]="","",IF(BD_ESTADISTICA_INF_B[[#This Row],[POSICION]]="jugador",B106/D106,C106/D106))</f>
        <v>0.7142857142857143</v>
      </c>
      <c r="F106" s="22"/>
      <c r="G106" s="22">
        <v>1</v>
      </c>
      <c r="H106" s="22">
        <v>1</v>
      </c>
      <c r="I106" s="22"/>
      <c r="J106" s="22"/>
      <c r="K106" s="22"/>
      <c r="L106" s="22">
        <v>2</v>
      </c>
      <c r="M106" s="22"/>
      <c r="N106" s="22"/>
      <c r="O106" s="23">
        <v>7</v>
      </c>
      <c r="P106" s="24">
        <v>3</v>
      </c>
      <c r="Q106" s="25" t="s">
        <v>79</v>
      </c>
      <c r="R106" s="11" t="s">
        <v>108</v>
      </c>
      <c r="S106" s="26" t="str">
        <f>IF(OR(BD_ESTADISTICA_INF_B[[#This Row],[Jugador]]="eudald",BD_ESTADISTICA_INF_B[[#This Row],[Jugador]]="jules",BD_ESTADISTICA_INF_B[[#This Row],[Jugador]]="JAN"),"PORTERO","JUGADOR")</f>
        <v>JUGADOR</v>
      </c>
      <c r="T106" s="26">
        <f>IF(BD_ESTADISTICA_INF_B[[#This Row],[POSICION]]="jugador",BD_ESTADISTICA_INF_B[[#This Row],[Goles]],0)</f>
        <v>5</v>
      </c>
      <c r="U106" s="26">
        <f>IF(BD_ESTADISTICA_INF_B[[#This Row],[POSICION]]="portero",BD_ESTADISTICA_INF_B[[#This Row],[Lanzam.]]-BD_ESTADISTICA_INF_B[[#This Row],[Paradas]],0)</f>
        <v>0</v>
      </c>
      <c r="V106" s="26">
        <f>IF(BD_ESTADISTICA_INF_B[[#This Row],[POSICION]]="jugador",BD_ESTADISTICA_INF_B[[#This Row],[Lanzam.]],0)</f>
        <v>7</v>
      </c>
      <c r="W106" s="26">
        <f>IF(BD_ESTADISTICA_INF_B[[#This Row],[POSICION]]="portero",BD_ESTADISTICA_INF_B[[#This Row],[Lanzam.]],0)</f>
        <v>0</v>
      </c>
    </row>
    <row r="107" spans="1:23">
      <c r="A107" s="21" t="s">
        <v>25</v>
      </c>
      <c r="B107" s="22">
        <v>3</v>
      </c>
      <c r="C107" s="22"/>
      <c r="D107" s="22">
        <v>3</v>
      </c>
      <c r="E107" s="8">
        <f>IF(BD_ESTADISTICA_INF_B[[#This Row],[Lanzam.]]="","",IF(BD_ESTADISTICA_INF_B[[#This Row],[POSICION]]="jugador",B107/D107,C107/D107))</f>
        <v>1</v>
      </c>
      <c r="F107" s="22">
        <v>3</v>
      </c>
      <c r="G107" s="22">
        <v>1</v>
      </c>
      <c r="H107" s="22">
        <v>2</v>
      </c>
      <c r="I107" s="22"/>
      <c r="J107" s="22">
        <v>1</v>
      </c>
      <c r="K107" s="22"/>
      <c r="L107" s="22"/>
      <c r="M107" s="22"/>
      <c r="N107" s="22"/>
      <c r="O107" s="23">
        <v>7</v>
      </c>
      <c r="P107" s="24">
        <v>3</v>
      </c>
      <c r="Q107" s="25" t="s">
        <v>79</v>
      </c>
      <c r="R107" s="11" t="s">
        <v>108</v>
      </c>
      <c r="S107" s="26" t="str">
        <f>IF(OR(BD_ESTADISTICA_INF_B[[#This Row],[Jugador]]="eudald",BD_ESTADISTICA_INF_B[[#This Row],[Jugador]]="jules",BD_ESTADISTICA_INF_B[[#This Row],[Jugador]]="JAN"),"PORTERO","JUGADOR")</f>
        <v>JUGADOR</v>
      </c>
      <c r="T107" s="26">
        <f>IF(BD_ESTADISTICA_INF_B[[#This Row],[POSICION]]="jugador",BD_ESTADISTICA_INF_B[[#This Row],[Goles]],0)</f>
        <v>3</v>
      </c>
      <c r="U107" s="26">
        <f>IF(BD_ESTADISTICA_INF_B[[#This Row],[POSICION]]="portero",BD_ESTADISTICA_INF_B[[#This Row],[Lanzam.]]-BD_ESTADISTICA_INF_B[[#This Row],[Paradas]],0)</f>
        <v>0</v>
      </c>
      <c r="V107" s="26">
        <f>IF(BD_ESTADISTICA_INF_B[[#This Row],[POSICION]]="jugador",BD_ESTADISTICA_INF_B[[#This Row],[Lanzam.]],0)</f>
        <v>3</v>
      </c>
      <c r="W107" s="26">
        <f>IF(BD_ESTADISTICA_INF_B[[#This Row],[POSICION]]="portero",BD_ESTADISTICA_INF_B[[#This Row],[Lanzam.]],0)</f>
        <v>0</v>
      </c>
    </row>
    <row r="108" spans="1:23">
      <c r="A108" s="21" t="s">
        <v>26</v>
      </c>
      <c r="B108" s="22">
        <v>4</v>
      </c>
      <c r="C108" s="22"/>
      <c r="D108" s="22">
        <v>4</v>
      </c>
      <c r="E108" s="8">
        <f>IF(BD_ESTADISTICA_INF_B[[#This Row],[Lanzam.]]="","",IF(BD_ESTADISTICA_INF_B[[#This Row],[POSICION]]="jugador",B108/D108,C108/D108))</f>
        <v>1</v>
      </c>
      <c r="F108" s="22">
        <v>1</v>
      </c>
      <c r="G108" s="22"/>
      <c r="H108" s="22"/>
      <c r="I108" s="22"/>
      <c r="J108" s="22"/>
      <c r="K108" s="22"/>
      <c r="L108" s="22">
        <v>1</v>
      </c>
      <c r="M108" s="22"/>
      <c r="N108" s="22"/>
      <c r="O108" s="23">
        <v>7</v>
      </c>
      <c r="P108" s="24">
        <v>3</v>
      </c>
      <c r="Q108" s="25" t="s">
        <v>79</v>
      </c>
      <c r="R108" s="11" t="s">
        <v>108</v>
      </c>
      <c r="S108" s="26" t="str">
        <f>IF(OR(BD_ESTADISTICA_INF_B[[#This Row],[Jugador]]="eudald",BD_ESTADISTICA_INF_B[[#This Row],[Jugador]]="jules",BD_ESTADISTICA_INF_B[[#This Row],[Jugador]]="JAN"),"PORTERO","JUGADOR")</f>
        <v>JUGADOR</v>
      </c>
      <c r="T108" s="26">
        <f>IF(BD_ESTADISTICA_INF_B[[#This Row],[POSICION]]="jugador",BD_ESTADISTICA_INF_B[[#This Row],[Goles]],0)</f>
        <v>4</v>
      </c>
      <c r="U108" s="26">
        <f>IF(BD_ESTADISTICA_INF_B[[#This Row],[POSICION]]="portero",BD_ESTADISTICA_INF_B[[#This Row],[Lanzam.]]-BD_ESTADISTICA_INF_B[[#This Row],[Paradas]],0)</f>
        <v>0</v>
      </c>
      <c r="V108" s="26">
        <f>IF(BD_ESTADISTICA_INF_B[[#This Row],[POSICION]]="jugador",BD_ESTADISTICA_INF_B[[#This Row],[Lanzam.]],0)</f>
        <v>4</v>
      </c>
      <c r="W108" s="26">
        <f>IF(BD_ESTADISTICA_INF_B[[#This Row],[POSICION]]="portero",BD_ESTADISTICA_INF_B[[#This Row],[Lanzam.]],0)</f>
        <v>0</v>
      </c>
    </row>
    <row r="109" spans="1:23">
      <c r="A109" s="21" t="s">
        <v>27</v>
      </c>
      <c r="B109" s="22">
        <v>8</v>
      </c>
      <c r="C109" s="22"/>
      <c r="D109" s="22">
        <v>8</v>
      </c>
      <c r="E109" s="8">
        <f>IF(BD_ESTADISTICA_INF_B[[#This Row],[Lanzam.]]="","",IF(BD_ESTADISTICA_INF_B[[#This Row],[POSICION]]="jugador",B109/D109,C109/D109))</f>
        <v>1</v>
      </c>
      <c r="F109" s="22">
        <v>2</v>
      </c>
      <c r="G109" s="22"/>
      <c r="H109" s="22"/>
      <c r="I109" s="22"/>
      <c r="J109" s="22"/>
      <c r="K109" s="22"/>
      <c r="L109" s="22">
        <v>7</v>
      </c>
      <c r="M109" s="22"/>
      <c r="N109" s="22"/>
      <c r="O109" s="23">
        <v>7</v>
      </c>
      <c r="P109" s="24">
        <v>3</v>
      </c>
      <c r="Q109" s="25" t="s">
        <v>79</v>
      </c>
      <c r="R109" s="11" t="s">
        <v>108</v>
      </c>
      <c r="S109" s="26" t="str">
        <f>IF(OR(BD_ESTADISTICA_INF_B[[#This Row],[Jugador]]="eudald",BD_ESTADISTICA_INF_B[[#This Row],[Jugador]]="jules",BD_ESTADISTICA_INF_B[[#This Row],[Jugador]]="JAN"),"PORTERO","JUGADOR")</f>
        <v>JUGADOR</v>
      </c>
      <c r="T109" s="26">
        <f>IF(BD_ESTADISTICA_INF_B[[#This Row],[POSICION]]="jugador",BD_ESTADISTICA_INF_B[[#This Row],[Goles]],0)</f>
        <v>8</v>
      </c>
      <c r="U109" s="26">
        <f>IF(BD_ESTADISTICA_INF_B[[#This Row],[POSICION]]="portero",BD_ESTADISTICA_INF_B[[#This Row],[Lanzam.]]-BD_ESTADISTICA_INF_B[[#This Row],[Paradas]],0)</f>
        <v>0</v>
      </c>
      <c r="V109" s="26">
        <f>IF(BD_ESTADISTICA_INF_B[[#This Row],[POSICION]]="jugador",BD_ESTADISTICA_INF_B[[#This Row],[Lanzam.]],0)</f>
        <v>8</v>
      </c>
      <c r="W109" s="26">
        <f>IF(BD_ESTADISTICA_INF_B[[#This Row],[POSICION]]="portero",BD_ESTADISTICA_INF_B[[#This Row],[Lanzam.]],0)</f>
        <v>0</v>
      </c>
    </row>
    <row r="110" spans="1:23">
      <c r="A110" s="21" t="s">
        <v>28</v>
      </c>
      <c r="B110" s="22">
        <v>1</v>
      </c>
      <c r="C110" s="22"/>
      <c r="D110" s="22">
        <v>1</v>
      </c>
      <c r="E110" s="8">
        <f>IF(BD_ESTADISTICA_INF_B[[#This Row],[Lanzam.]]="","",IF(BD_ESTADISTICA_INF_B[[#This Row],[POSICION]]="jugador",B110/D110,C110/D110))</f>
        <v>1</v>
      </c>
      <c r="F110" s="22">
        <v>1</v>
      </c>
      <c r="G110" s="22"/>
      <c r="H110" s="22"/>
      <c r="I110" s="22"/>
      <c r="J110" s="22"/>
      <c r="K110" s="22"/>
      <c r="L110" s="22"/>
      <c r="M110" s="22"/>
      <c r="N110" s="22"/>
      <c r="O110" s="23">
        <v>7</v>
      </c>
      <c r="P110" s="24">
        <v>3</v>
      </c>
      <c r="Q110" s="25" t="s">
        <v>79</v>
      </c>
      <c r="R110" s="11" t="s">
        <v>108</v>
      </c>
      <c r="S110" s="26" t="str">
        <f>IF(OR(BD_ESTADISTICA_INF_B[[#This Row],[Jugador]]="eudald",BD_ESTADISTICA_INF_B[[#This Row],[Jugador]]="jules",BD_ESTADISTICA_INF_B[[#This Row],[Jugador]]="JAN"),"PORTERO","JUGADOR")</f>
        <v>JUGADOR</v>
      </c>
      <c r="T110" s="26">
        <f>IF(BD_ESTADISTICA_INF_B[[#This Row],[POSICION]]="jugador",BD_ESTADISTICA_INF_B[[#This Row],[Goles]],0)</f>
        <v>1</v>
      </c>
      <c r="U110" s="26">
        <f>IF(BD_ESTADISTICA_INF_B[[#This Row],[POSICION]]="portero",BD_ESTADISTICA_INF_B[[#This Row],[Lanzam.]]-BD_ESTADISTICA_INF_B[[#This Row],[Paradas]],0)</f>
        <v>0</v>
      </c>
      <c r="V110" s="26">
        <f>IF(BD_ESTADISTICA_INF_B[[#This Row],[POSICION]]="jugador",BD_ESTADISTICA_INF_B[[#This Row],[Lanzam.]],0)</f>
        <v>1</v>
      </c>
      <c r="W110" s="26">
        <f>IF(BD_ESTADISTICA_INF_B[[#This Row],[POSICION]]="portero",BD_ESTADISTICA_INF_B[[#This Row],[Lanzam.]],0)</f>
        <v>0</v>
      </c>
    </row>
    <row r="111" spans="1:23">
      <c r="A111" s="33" t="s">
        <v>31</v>
      </c>
      <c r="B111" s="22"/>
      <c r="C111" s="22"/>
      <c r="D111" s="22"/>
      <c r="E111" s="8" t="str">
        <f>IF(BD_ESTADISTICA_INF_B[[#This Row],[Lanzam.]]="","",IF(BD_ESTADISTICA_INF_B[[#This Row],[POSICION]]="jugador",B111/D111,C111/D111))</f>
        <v/>
      </c>
      <c r="F111" s="22"/>
      <c r="G111" s="22"/>
      <c r="H111" s="22"/>
      <c r="I111" s="22"/>
      <c r="J111" s="22"/>
      <c r="K111" s="22"/>
      <c r="L111" s="22"/>
      <c r="M111" s="22"/>
      <c r="N111" s="22"/>
      <c r="O111" s="23">
        <v>7</v>
      </c>
      <c r="P111" s="24">
        <v>3</v>
      </c>
      <c r="Q111" s="25" t="s">
        <v>79</v>
      </c>
      <c r="R111" s="11" t="s">
        <v>108</v>
      </c>
      <c r="S111" s="26" t="str">
        <f>IF(OR(BD_ESTADISTICA_INF_B[[#This Row],[Jugador]]="eudald",BD_ESTADISTICA_INF_B[[#This Row],[Jugador]]="jules",BD_ESTADISTICA_INF_B[[#This Row],[Jugador]]="JAN"),"PORTERO","JUGADOR")</f>
        <v>PORTERO</v>
      </c>
      <c r="T111" s="26">
        <f>IF(BD_ESTADISTICA_INF_B[[#This Row],[POSICION]]="jugador",BD_ESTADISTICA_INF_B[[#This Row],[Goles]],0)</f>
        <v>0</v>
      </c>
      <c r="U111" s="26">
        <f>IF(BD_ESTADISTICA_INF_B[[#This Row],[POSICION]]="portero",BD_ESTADISTICA_INF_B[[#This Row],[Lanzam.]]-BD_ESTADISTICA_INF_B[[#This Row],[Paradas]],0)</f>
        <v>0</v>
      </c>
      <c r="V111" s="26">
        <f>IF(BD_ESTADISTICA_INF_B[[#This Row],[POSICION]]="jugador",BD_ESTADISTICA_INF_B[[#This Row],[Lanzam.]],0)</f>
        <v>0</v>
      </c>
      <c r="W111" s="26">
        <f>IF(BD_ESTADISTICA_INF_B[[#This Row],[POSICION]]="portero",BD_ESTADISTICA_INF_B[[#This Row],[Lanzam.]],0)</f>
        <v>0</v>
      </c>
    </row>
    <row r="112" spans="1:23">
      <c r="A112" s="21" t="s">
        <v>29</v>
      </c>
      <c r="B112" s="22">
        <v>0</v>
      </c>
      <c r="C112" s="22">
        <v>0</v>
      </c>
      <c r="D112" s="22">
        <v>5</v>
      </c>
      <c r="E112" s="8">
        <f>IF(BD_ESTADISTICA_INF_B[[#This Row],[Lanzam.]]="","",IF(BD_ESTADISTICA_INF_B[[#This Row],[POSICION]]="jugador",B112/D112,C112/D112))</f>
        <v>0</v>
      </c>
      <c r="F112" s="22"/>
      <c r="G112" s="22"/>
      <c r="H112" s="22"/>
      <c r="I112" s="22"/>
      <c r="J112" s="22"/>
      <c r="K112" s="22"/>
      <c r="L112" s="22"/>
      <c r="M112" s="22"/>
      <c r="N112" s="22"/>
      <c r="O112" s="23">
        <v>7</v>
      </c>
      <c r="P112" s="24">
        <v>3</v>
      </c>
      <c r="Q112" s="25" t="s">
        <v>79</v>
      </c>
      <c r="R112" s="11" t="s">
        <v>108</v>
      </c>
      <c r="S112" s="26" t="str">
        <f>IF(OR(BD_ESTADISTICA_INF_B[[#This Row],[Jugador]]="eudald",BD_ESTADISTICA_INF_B[[#This Row],[Jugador]]="jules",BD_ESTADISTICA_INF_B[[#This Row],[Jugador]]="JAN"),"PORTERO","JUGADOR")</f>
        <v>PORTERO</v>
      </c>
      <c r="T112" s="26">
        <f>IF(BD_ESTADISTICA_INF_B[[#This Row],[POSICION]]="jugador",BD_ESTADISTICA_INF_B[[#This Row],[Goles]],0)</f>
        <v>0</v>
      </c>
      <c r="U112" s="26">
        <f>IF(BD_ESTADISTICA_INF_B[[#This Row],[POSICION]]="portero",BD_ESTADISTICA_INF_B[[#This Row],[Lanzam.]]-BD_ESTADISTICA_INF_B[[#This Row],[Paradas]],0)</f>
        <v>5</v>
      </c>
      <c r="V112" s="26">
        <f>IF(BD_ESTADISTICA_INF_B[[#This Row],[POSICION]]="jugador",BD_ESTADISTICA_INF_B[[#This Row],[Lanzam.]],0)</f>
        <v>0</v>
      </c>
      <c r="W112" s="26">
        <f>IF(BD_ESTADISTICA_INF_B[[#This Row],[POSICION]]="portero",BD_ESTADISTICA_INF_B[[#This Row],[Lanzam.]],0)</f>
        <v>5</v>
      </c>
    </row>
    <row r="113" spans="1:23">
      <c r="A113" s="21" t="s">
        <v>30</v>
      </c>
      <c r="B113" s="22">
        <v>6</v>
      </c>
      <c r="C113" s="22">
        <v>6</v>
      </c>
      <c r="D113" s="22">
        <v>16</v>
      </c>
      <c r="E113" s="8">
        <f>IF(BD_ESTADISTICA_INF_B[[#This Row],[Lanzam.]]="","",IF(BD_ESTADISTICA_INF_B[[#This Row],[POSICION]]="jugador",B113/D113,C113/D113))</f>
        <v>0.375</v>
      </c>
      <c r="F113" s="22">
        <v>1</v>
      </c>
      <c r="G113" s="22"/>
      <c r="H113" s="22"/>
      <c r="I113" s="22"/>
      <c r="J113" s="22"/>
      <c r="K113" s="22"/>
      <c r="L113" s="22"/>
      <c r="M113" s="22"/>
      <c r="N113" s="22"/>
      <c r="O113" s="23">
        <v>7</v>
      </c>
      <c r="P113" s="24">
        <v>3</v>
      </c>
      <c r="Q113" s="25" t="s">
        <v>79</v>
      </c>
      <c r="R113" s="11" t="s">
        <v>108</v>
      </c>
      <c r="S113" s="26" t="str">
        <f>IF(OR(BD_ESTADISTICA_INF_B[[#This Row],[Jugador]]="eudald",BD_ESTADISTICA_INF_B[[#This Row],[Jugador]]="jules",BD_ESTADISTICA_INF_B[[#This Row],[Jugador]]="JAN"),"PORTERO","JUGADOR")</f>
        <v>PORTERO</v>
      </c>
      <c r="T113" s="26">
        <f>IF(BD_ESTADISTICA_INF_B[[#This Row],[POSICION]]="jugador",BD_ESTADISTICA_INF_B[[#This Row],[Goles]],0)</f>
        <v>0</v>
      </c>
      <c r="U113" s="26">
        <f>IF(BD_ESTADISTICA_INF_B[[#This Row],[POSICION]]="portero",BD_ESTADISTICA_INF_B[[#This Row],[Lanzam.]]-BD_ESTADISTICA_INF_B[[#This Row],[Paradas]],0)</f>
        <v>10</v>
      </c>
      <c r="V113" s="26">
        <f>IF(BD_ESTADISTICA_INF_B[[#This Row],[POSICION]]="jugador",BD_ESTADISTICA_INF_B[[#This Row],[Lanzam.]],0)</f>
        <v>0</v>
      </c>
      <c r="W113" s="26">
        <f>IF(BD_ESTADISTICA_INF_B[[#This Row],[POSICION]]="portero",BD_ESTADISTICA_INF_B[[#This Row],[Lanzam.]],0)</f>
        <v>16</v>
      </c>
    </row>
    <row r="114" spans="1:23">
      <c r="A114" s="21" t="s">
        <v>42</v>
      </c>
      <c r="B114" s="22"/>
      <c r="C114" s="22"/>
      <c r="D114" s="22"/>
      <c r="E114" s="8" t="str">
        <f>IF(BD_ESTADISTICA_INF_B[[#This Row],[Lanzam.]]="","",IF(BD_ESTADISTICA_INF_B[[#This Row],[POSICION]]="jugador",B114/D114,C114/D114))</f>
        <v/>
      </c>
      <c r="F114" s="22"/>
      <c r="G114" s="22"/>
      <c r="H114" s="22"/>
      <c r="I114" s="22"/>
      <c r="J114" s="22"/>
      <c r="K114" s="22"/>
      <c r="L114" s="22"/>
      <c r="M114" s="22"/>
      <c r="N114" s="22"/>
      <c r="O114" s="23">
        <v>7</v>
      </c>
      <c r="P114" s="24">
        <v>3</v>
      </c>
      <c r="Q114" s="25" t="s">
        <v>79</v>
      </c>
      <c r="R114" s="11" t="s">
        <v>108</v>
      </c>
      <c r="S114" s="26" t="str">
        <f>IF(OR(BD_ESTADISTICA_INF_B[[#This Row],[Jugador]]="eudald",BD_ESTADISTICA_INF_B[[#This Row],[Jugador]]="jules",BD_ESTADISTICA_INF_B[[#This Row],[Jugador]]="JAN"),"PORTERO","JUGADOR")</f>
        <v>JUGADOR</v>
      </c>
      <c r="T114" s="26">
        <f>IF(BD_ESTADISTICA_INF_B[[#This Row],[POSICION]]="jugador",BD_ESTADISTICA_INF_B[[#This Row],[Goles]],0)</f>
        <v>0</v>
      </c>
      <c r="U114" s="26">
        <f>IF(BD_ESTADISTICA_INF_B[[#This Row],[POSICION]]="portero",BD_ESTADISTICA_INF_B[[#This Row],[Lanzam.]]-BD_ESTADISTICA_INF_B[[#This Row],[Paradas]],0)</f>
        <v>0</v>
      </c>
      <c r="V114" s="26">
        <f>IF(BD_ESTADISTICA_INF_B[[#This Row],[POSICION]]="jugador",BD_ESTADISTICA_INF_B[[#This Row],[Lanzam.]],0)</f>
        <v>0</v>
      </c>
      <c r="W114" s="26">
        <f>IF(BD_ESTADISTICA_INF_B[[#This Row],[POSICION]]="portero",BD_ESTADISTICA_INF_B[[#This Row],[Lanzam.]],0)</f>
        <v>0</v>
      </c>
    </row>
    <row r="115" spans="1:23">
      <c r="A115" s="21" t="s">
        <v>22</v>
      </c>
      <c r="B115" s="22"/>
      <c r="C115" s="22"/>
      <c r="D115" s="22"/>
      <c r="E115" s="8" t="str">
        <f>IF(BD_ESTADISTICA_INF_B[[#This Row],[Lanzam.]]="","",IF(BD_ESTADISTICA_INF_B[[#This Row],[POSICION]]="jugador",B115/D115,C115/D115))</f>
        <v/>
      </c>
      <c r="F115" s="22"/>
      <c r="G115" s="22"/>
      <c r="H115" s="22"/>
      <c r="I115" s="22"/>
      <c r="J115" s="22"/>
      <c r="K115" s="22"/>
      <c r="L115" s="22"/>
      <c r="M115" s="22"/>
      <c r="N115" s="22"/>
      <c r="O115" s="23">
        <v>7</v>
      </c>
      <c r="P115" s="24">
        <v>3</v>
      </c>
      <c r="Q115" s="25" t="s">
        <v>79</v>
      </c>
      <c r="R115" s="11" t="s">
        <v>108</v>
      </c>
      <c r="S115" s="26" t="str">
        <f>IF(OR(BD_ESTADISTICA_INF_B[[#This Row],[Jugador]]="eudald",BD_ESTADISTICA_INF_B[[#This Row],[Jugador]]="jules",BD_ESTADISTICA_INF_B[[#This Row],[Jugador]]="JAN"),"PORTERO","JUGADOR")</f>
        <v>JUGADOR</v>
      </c>
      <c r="T115" s="26">
        <f>IF(BD_ESTADISTICA_INF_B[[#This Row],[POSICION]]="jugador",BD_ESTADISTICA_INF_B[[#This Row],[Goles]],0)</f>
        <v>0</v>
      </c>
      <c r="U115" s="26">
        <f>IF(BD_ESTADISTICA_INF_B[[#This Row],[POSICION]]="portero",BD_ESTADISTICA_INF_B[[#This Row],[Lanzam.]]-BD_ESTADISTICA_INF_B[[#This Row],[Paradas]],0)</f>
        <v>0</v>
      </c>
      <c r="V115" s="26">
        <f>IF(BD_ESTADISTICA_INF_B[[#This Row],[POSICION]]="jugador",BD_ESTADISTICA_INF_B[[#This Row],[Lanzam.]],0)</f>
        <v>0</v>
      </c>
      <c r="W115" s="26">
        <f>IF(BD_ESTADISTICA_INF_B[[#This Row],[POSICION]]="portero",BD_ESTADISTICA_INF_B[[#This Row],[Lanzam.]],0)</f>
        <v>0</v>
      </c>
    </row>
  </sheetData>
  <phoneticPr fontId="5" type="noConversion"/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AFA5-55A8-4C23-B1EC-9E29476B05AA}">
  <sheetPr codeName="Hoja2">
    <tabColor rgb="FF002060"/>
  </sheetPr>
  <dimension ref="A1:AR16"/>
  <sheetViews>
    <sheetView zoomScale="99" zoomScaleNormal="90" workbookViewId="0">
      <selection activeCell="E24" sqref="E24"/>
    </sheetView>
  </sheetViews>
  <sheetFormatPr baseColWidth="10" defaultRowHeight="13.8"/>
  <cols>
    <col min="1" max="1" width="2.796875" customWidth="1"/>
    <col min="3" max="3" width="25.19921875" bestFit="1" customWidth="1"/>
    <col min="4" max="4" width="14.296875" bestFit="1" customWidth="1"/>
    <col min="5" max="5" width="16.69921875" bestFit="1" customWidth="1"/>
    <col min="6" max="6" width="17" bestFit="1" customWidth="1"/>
    <col min="7" max="7" width="17.09765625" bestFit="1" customWidth="1"/>
    <col min="8" max="8" width="16.59765625" bestFit="1" customWidth="1"/>
    <col min="9" max="9" width="18.69921875" bestFit="1" customWidth="1"/>
    <col min="10" max="10" width="17.09765625" bestFit="1" customWidth="1"/>
    <col min="11" max="11" width="14.296875" bestFit="1" customWidth="1"/>
    <col min="12" max="12" width="16.69921875" bestFit="1" customWidth="1"/>
    <col min="13" max="13" width="21.8984375" bestFit="1" customWidth="1"/>
    <col min="14" max="14" width="23.59765625" bestFit="1" customWidth="1"/>
    <col min="15" max="15" width="9.296875" bestFit="1" customWidth="1"/>
    <col min="16" max="16" width="24.796875" bestFit="1" customWidth="1"/>
    <col min="17" max="17" width="27.3984375" bestFit="1" customWidth="1"/>
    <col min="18" max="18" width="11.09765625" bestFit="1" customWidth="1"/>
    <col min="19" max="19" width="19" bestFit="1" customWidth="1"/>
    <col min="20" max="20" width="22.69921875" bestFit="1" customWidth="1"/>
    <col min="21" max="21" width="15.296875" bestFit="1" customWidth="1"/>
    <col min="23" max="23" width="27.3984375" bestFit="1" customWidth="1"/>
    <col min="24" max="24" width="13.296875" bestFit="1" customWidth="1"/>
    <col min="25" max="25" width="6.09765625" bestFit="1" customWidth="1"/>
    <col min="26" max="26" width="13.69921875" bestFit="1" customWidth="1"/>
    <col min="27" max="27" width="11.69921875" bestFit="1" customWidth="1"/>
    <col min="29" max="29" width="16.59765625" bestFit="1" customWidth="1"/>
    <col min="31" max="31" width="11.09765625" bestFit="1" customWidth="1"/>
    <col min="32" max="32" width="19" bestFit="1" customWidth="1"/>
    <col min="33" max="33" width="22.69921875" bestFit="1" customWidth="1"/>
    <col min="34" max="34" width="15.296875" bestFit="1" customWidth="1"/>
    <col min="35" max="35" width="15" bestFit="1" customWidth="1"/>
    <col min="36" max="36" width="18" bestFit="1" customWidth="1"/>
    <col min="37" max="37" width="13.5" bestFit="1" customWidth="1"/>
    <col min="38" max="38" width="13.296875" bestFit="1" customWidth="1"/>
    <col min="39" max="39" width="13" bestFit="1" customWidth="1"/>
    <col min="41" max="41" width="12.3984375" bestFit="1" customWidth="1"/>
    <col min="42" max="42" width="15.59765625" bestFit="1" customWidth="1"/>
    <col min="43" max="43" width="26" bestFit="1" customWidth="1"/>
    <col min="44" max="44" width="17.296875" customWidth="1"/>
  </cols>
  <sheetData>
    <row r="1" spans="1:44">
      <c r="N1" s="16" t="s">
        <v>13</v>
      </c>
      <c r="O1" t="s">
        <v>33</v>
      </c>
    </row>
    <row r="2" spans="1:44">
      <c r="A2" s="12"/>
    </row>
    <row r="3" spans="1:44">
      <c r="A3" s="13"/>
      <c r="D3" t="s">
        <v>36</v>
      </c>
      <c r="E3" t="s">
        <v>37</v>
      </c>
      <c r="G3" s="16" t="s">
        <v>34</v>
      </c>
      <c r="H3" t="s">
        <v>39</v>
      </c>
      <c r="J3" s="16" t="s">
        <v>34</v>
      </c>
      <c r="K3" t="s">
        <v>36</v>
      </c>
      <c r="L3" t="s">
        <v>37</v>
      </c>
      <c r="N3" s="16" t="s">
        <v>34</v>
      </c>
      <c r="R3" t="s">
        <v>45</v>
      </c>
      <c r="S3" t="s">
        <v>47</v>
      </c>
      <c r="T3" t="s">
        <v>46</v>
      </c>
      <c r="U3" t="s">
        <v>44</v>
      </c>
      <c r="X3" t="s">
        <v>51</v>
      </c>
      <c r="Y3" t="s">
        <v>50</v>
      </c>
      <c r="Z3" t="s">
        <v>49</v>
      </c>
      <c r="AA3" t="s">
        <v>48</v>
      </c>
      <c r="AC3" t="s">
        <v>39</v>
      </c>
    </row>
    <row r="4" spans="1:44">
      <c r="A4" s="14"/>
      <c r="C4" s="17">
        <v>1</v>
      </c>
      <c r="D4" s="40">
        <v>1</v>
      </c>
      <c r="E4" s="40">
        <v>1</v>
      </c>
      <c r="F4" s="20"/>
      <c r="G4" s="17">
        <v>1</v>
      </c>
      <c r="H4" s="18">
        <v>1</v>
      </c>
      <c r="J4" s="17" t="s">
        <v>18</v>
      </c>
      <c r="K4" s="40">
        <v>5</v>
      </c>
      <c r="L4" s="40">
        <v>5</v>
      </c>
      <c r="N4" s="17" t="s">
        <v>102</v>
      </c>
      <c r="Q4" s="17">
        <v>1</v>
      </c>
      <c r="R4" s="40">
        <v>8</v>
      </c>
      <c r="S4" s="40"/>
      <c r="T4" s="40"/>
      <c r="U4" s="40">
        <v>1</v>
      </c>
      <c r="W4" s="17">
        <v>1</v>
      </c>
      <c r="X4" s="40">
        <v>2</v>
      </c>
      <c r="Y4" s="40"/>
      <c r="Z4" s="40"/>
      <c r="AA4" s="40"/>
      <c r="AC4" s="18">
        <v>1</v>
      </c>
      <c r="AE4" t="s">
        <v>45</v>
      </c>
      <c r="AF4" t="s">
        <v>47</v>
      </c>
      <c r="AG4" t="s">
        <v>46</v>
      </c>
      <c r="AH4" t="s">
        <v>44</v>
      </c>
      <c r="AJ4" t="s">
        <v>89</v>
      </c>
      <c r="AK4" t="s">
        <v>90</v>
      </c>
      <c r="AL4" t="s">
        <v>91</v>
      </c>
      <c r="AM4" t="s">
        <v>94</v>
      </c>
      <c r="AO4" s="17">
        <v>1</v>
      </c>
      <c r="AQ4" t="s">
        <v>95</v>
      </c>
      <c r="AR4">
        <f>GETPIVOTDATA("Recuperaciones",$AE$4)/Analisis_Equipo!AI2</f>
        <v>0.2857142857142857</v>
      </c>
    </row>
    <row r="5" spans="1:44">
      <c r="C5" s="27" t="s">
        <v>105</v>
      </c>
      <c r="D5" s="40">
        <v>1</v>
      </c>
      <c r="E5" s="40">
        <v>1</v>
      </c>
      <c r="F5" s="20"/>
      <c r="G5" s="17">
        <v>3</v>
      </c>
      <c r="H5" s="18">
        <v>1</v>
      </c>
      <c r="J5" s="17" t="s">
        <v>35</v>
      </c>
      <c r="K5" s="40">
        <v>5</v>
      </c>
      <c r="L5" s="40">
        <v>5</v>
      </c>
      <c r="N5" s="17" t="s">
        <v>104</v>
      </c>
      <c r="Q5" s="27" t="s">
        <v>105</v>
      </c>
      <c r="R5" s="40">
        <v>8</v>
      </c>
      <c r="S5" s="40"/>
      <c r="T5" s="40"/>
      <c r="U5" s="40">
        <v>1</v>
      </c>
      <c r="W5" s="27" t="s">
        <v>105</v>
      </c>
      <c r="X5" s="40">
        <v>2</v>
      </c>
      <c r="Y5" s="40"/>
      <c r="Z5" s="40"/>
      <c r="AA5" s="40"/>
      <c r="AE5" s="40">
        <v>40</v>
      </c>
      <c r="AF5" s="40">
        <v>2</v>
      </c>
      <c r="AG5" s="40">
        <v>1</v>
      </c>
      <c r="AH5" s="40">
        <v>2</v>
      </c>
      <c r="AJ5" s="40"/>
      <c r="AK5" s="40">
        <v>4</v>
      </c>
      <c r="AL5" s="40"/>
      <c r="AM5" s="40"/>
      <c r="AO5" s="17">
        <v>3</v>
      </c>
      <c r="AQ5" t="s">
        <v>96</v>
      </c>
      <c r="AR5">
        <f>GETPIVOTDATA("Exclusiones provocadas",$AE$4)/Analisis_Equipo!AI2</f>
        <v>0.14285714285714285</v>
      </c>
    </row>
    <row r="6" spans="1:44">
      <c r="C6" s="17">
        <v>3</v>
      </c>
      <c r="D6" s="40">
        <v>1</v>
      </c>
      <c r="E6" s="40">
        <v>1</v>
      </c>
      <c r="F6" s="20"/>
      <c r="G6" s="17">
        <v>4</v>
      </c>
      <c r="H6" s="18" t="e">
        <v>#DIV/0!</v>
      </c>
      <c r="N6" s="17" t="s">
        <v>105</v>
      </c>
      <c r="Q6" s="17">
        <v>3</v>
      </c>
      <c r="R6" s="40">
        <v>4</v>
      </c>
      <c r="S6" s="40"/>
      <c r="T6" s="40"/>
      <c r="U6" s="40"/>
      <c r="W6" s="17">
        <v>3</v>
      </c>
      <c r="X6" s="40"/>
      <c r="Y6" s="40"/>
      <c r="Z6" s="40"/>
      <c r="AA6" s="40"/>
      <c r="AO6" s="17">
        <v>4</v>
      </c>
      <c r="AQ6" t="s">
        <v>97</v>
      </c>
      <c r="AR6">
        <f>GETPIVOTDATA("Penaltis provocados",$AE$4)/Analisis_Equipo!AI2</f>
        <v>0.2857142857142857</v>
      </c>
    </row>
    <row r="7" spans="1:44">
      <c r="C7" s="27" t="s">
        <v>102</v>
      </c>
      <c r="D7" s="40">
        <v>1</v>
      </c>
      <c r="E7" s="40">
        <v>1</v>
      </c>
      <c r="F7" s="20"/>
      <c r="G7" s="17">
        <v>5</v>
      </c>
      <c r="H7" s="18">
        <v>1</v>
      </c>
      <c r="N7" s="17" t="s">
        <v>106</v>
      </c>
      <c r="Q7" s="27" t="s">
        <v>102</v>
      </c>
      <c r="R7" s="40">
        <v>4</v>
      </c>
      <c r="S7" s="40"/>
      <c r="T7" s="40"/>
      <c r="U7" s="40"/>
      <c r="W7" s="27" t="s">
        <v>102</v>
      </c>
      <c r="X7" s="40"/>
      <c r="Y7" s="40"/>
      <c r="Z7" s="40"/>
      <c r="AA7" s="40"/>
      <c r="AO7" s="17">
        <v>5</v>
      </c>
      <c r="AQ7" t="s">
        <v>98</v>
      </c>
      <c r="AR7">
        <f>GETPIVOTDATA("Asistencias",$AE$4)/Analisis_Equipo!AI2</f>
        <v>5.7142857142857144</v>
      </c>
    </row>
    <row r="8" spans="1:44">
      <c r="C8" s="17">
        <v>4</v>
      </c>
      <c r="D8" s="40"/>
      <c r="E8" s="40"/>
      <c r="F8" s="20"/>
      <c r="G8" s="17">
        <v>6</v>
      </c>
      <c r="H8" s="18" t="e">
        <v>#DIV/0!</v>
      </c>
      <c r="N8" s="17" t="s">
        <v>107</v>
      </c>
      <c r="Q8" s="17">
        <v>4</v>
      </c>
      <c r="R8" s="40">
        <v>6</v>
      </c>
      <c r="S8" s="40">
        <v>1</v>
      </c>
      <c r="T8" s="40"/>
      <c r="U8" s="40"/>
      <c r="W8" s="17">
        <v>4</v>
      </c>
      <c r="X8" s="40">
        <v>1</v>
      </c>
      <c r="Y8" s="40"/>
      <c r="Z8" s="40"/>
      <c r="AA8" s="40"/>
      <c r="AO8" s="17">
        <v>6</v>
      </c>
    </row>
    <row r="9" spans="1:44">
      <c r="C9" s="27" t="s">
        <v>104</v>
      </c>
      <c r="D9" s="40"/>
      <c r="E9" s="40"/>
      <c r="F9" s="20"/>
      <c r="G9" s="17">
        <v>7</v>
      </c>
      <c r="H9" s="18">
        <v>1</v>
      </c>
      <c r="N9" s="17" t="s">
        <v>108</v>
      </c>
      <c r="Q9" s="27" t="s">
        <v>104</v>
      </c>
      <c r="R9" s="40">
        <v>6</v>
      </c>
      <c r="S9" s="40">
        <v>1</v>
      </c>
      <c r="T9" s="40"/>
      <c r="U9" s="40"/>
      <c r="W9" s="27" t="s">
        <v>104</v>
      </c>
      <c r="X9" s="40">
        <v>1</v>
      </c>
      <c r="Y9" s="40"/>
      <c r="Z9" s="40"/>
      <c r="AA9" s="40"/>
      <c r="AO9" s="17">
        <v>7</v>
      </c>
    </row>
    <row r="10" spans="1:44">
      <c r="C10" s="17">
        <v>5</v>
      </c>
      <c r="D10" s="40">
        <v>1</v>
      </c>
      <c r="E10" s="40">
        <v>1</v>
      </c>
      <c r="F10" s="20"/>
      <c r="G10" s="17" t="s">
        <v>35</v>
      </c>
      <c r="H10" s="18">
        <v>1</v>
      </c>
      <c r="N10" s="17" t="s">
        <v>35</v>
      </c>
      <c r="Q10" s="17">
        <v>5</v>
      </c>
      <c r="R10" s="40">
        <v>6</v>
      </c>
      <c r="S10" s="40">
        <v>1</v>
      </c>
      <c r="T10" s="40">
        <v>1</v>
      </c>
      <c r="U10" s="40"/>
      <c r="W10" s="17">
        <v>5</v>
      </c>
      <c r="X10" s="40"/>
      <c r="Y10" s="40"/>
      <c r="Z10" s="40"/>
      <c r="AA10" s="40"/>
      <c r="AO10" s="17" t="s">
        <v>35</v>
      </c>
    </row>
    <row r="11" spans="1:44">
      <c r="C11" s="27" t="s">
        <v>107</v>
      </c>
      <c r="D11" s="40">
        <v>1</v>
      </c>
      <c r="E11" s="40">
        <v>1</v>
      </c>
      <c r="F11" s="20"/>
      <c r="Q11" s="27" t="s">
        <v>107</v>
      </c>
      <c r="R11" s="40">
        <v>6</v>
      </c>
      <c r="S11" s="40">
        <v>1</v>
      </c>
      <c r="T11" s="40">
        <v>1</v>
      </c>
      <c r="U11" s="40"/>
      <c r="W11" s="27" t="s">
        <v>107</v>
      </c>
      <c r="X11" s="40"/>
      <c r="Y11" s="40"/>
      <c r="Z11" s="40"/>
      <c r="AA11" s="40"/>
    </row>
    <row r="12" spans="1:44">
      <c r="C12" s="17">
        <v>6</v>
      </c>
      <c r="D12" s="40"/>
      <c r="E12" s="40"/>
      <c r="F12" s="20"/>
      <c r="Q12" s="17">
        <v>6</v>
      </c>
      <c r="R12" s="40">
        <v>8</v>
      </c>
      <c r="S12" s="40"/>
      <c r="T12" s="40"/>
      <c r="U12" s="40"/>
      <c r="W12" s="17">
        <v>6</v>
      </c>
      <c r="X12" s="40"/>
      <c r="Y12" s="40"/>
      <c r="Z12" s="40"/>
      <c r="AA12" s="40"/>
    </row>
    <row r="13" spans="1:44">
      <c r="C13" s="27" t="s">
        <v>106</v>
      </c>
      <c r="D13" s="40"/>
      <c r="E13" s="40"/>
      <c r="Q13" s="27" t="s">
        <v>106</v>
      </c>
      <c r="R13" s="40">
        <v>8</v>
      </c>
      <c r="S13" s="40"/>
      <c r="T13" s="40"/>
      <c r="U13" s="40"/>
      <c r="W13" s="27" t="s">
        <v>106</v>
      </c>
      <c r="X13" s="40"/>
      <c r="Y13" s="40"/>
      <c r="Z13" s="40"/>
      <c r="AA13" s="40"/>
    </row>
    <row r="14" spans="1:44">
      <c r="C14" s="17">
        <v>7</v>
      </c>
      <c r="D14" s="40">
        <v>2</v>
      </c>
      <c r="E14" s="40">
        <v>2</v>
      </c>
      <c r="Q14" s="17">
        <v>7</v>
      </c>
      <c r="R14" s="40">
        <v>8</v>
      </c>
      <c r="S14" s="40"/>
      <c r="T14" s="40"/>
      <c r="U14" s="40">
        <v>1</v>
      </c>
      <c r="W14" s="17">
        <v>7</v>
      </c>
      <c r="X14" s="40">
        <v>1</v>
      </c>
      <c r="Y14" s="40"/>
      <c r="Z14" s="40"/>
      <c r="AA14" s="40"/>
    </row>
    <row r="15" spans="1:44">
      <c r="C15" s="27" t="s">
        <v>108</v>
      </c>
      <c r="D15" s="40">
        <v>2</v>
      </c>
      <c r="E15" s="40">
        <v>2</v>
      </c>
      <c r="Q15" s="27" t="s">
        <v>108</v>
      </c>
      <c r="R15" s="40">
        <v>8</v>
      </c>
      <c r="S15" s="40"/>
      <c r="T15" s="40"/>
      <c r="U15" s="40">
        <v>1</v>
      </c>
      <c r="W15" s="27" t="s">
        <v>108</v>
      </c>
      <c r="X15" s="40">
        <v>1</v>
      </c>
      <c r="Y15" s="40"/>
      <c r="Z15" s="40"/>
      <c r="AA15" s="40"/>
    </row>
    <row r="16" spans="1:44">
      <c r="C16" s="17" t="s">
        <v>35</v>
      </c>
      <c r="D16" s="40">
        <v>5</v>
      </c>
      <c r="E16" s="40">
        <v>5</v>
      </c>
      <c r="Q16" s="17" t="s">
        <v>35</v>
      </c>
      <c r="R16" s="40">
        <v>40</v>
      </c>
      <c r="S16" s="40">
        <v>2</v>
      </c>
      <c r="T16" s="40">
        <v>1</v>
      </c>
      <c r="U16" s="40">
        <v>2</v>
      </c>
      <c r="W16" s="17" t="s">
        <v>35</v>
      </c>
      <c r="X16" s="40">
        <v>4</v>
      </c>
      <c r="Y16" s="40"/>
      <c r="Z16" s="40"/>
      <c r="AA16" s="40"/>
    </row>
  </sheetData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C067-4328-4CB6-8082-7E9D1DAA88BA}">
  <sheetPr codeName="Hoja3">
    <tabColor rgb="FF002060"/>
  </sheetPr>
  <dimension ref="A2:AX27"/>
  <sheetViews>
    <sheetView topLeftCell="S1" zoomScale="99" zoomScaleNormal="90" workbookViewId="0">
      <selection activeCell="AI14" sqref="AI14"/>
    </sheetView>
  </sheetViews>
  <sheetFormatPr baseColWidth="10" defaultRowHeight="13.8"/>
  <cols>
    <col min="1" max="1" width="2.796875" customWidth="1"/>
    <col min="3" max="3" width="25.19921875" bestFit="1" customWidth="1"/>
    <col min="4" max="4" width="19.19921875" bestFit="1" customWidth="1"/>
    <col min="5" max="5" width="30.69921875" bestFit="1" customWidth="1"/>
    <col min="6" max="6" width="17.796875" style="30" bestFit="1" customWidth="1"/>
    <col min="7" max="7" width="19.19921875" bestFit="1" customWidth="1"/>
    <col min="8" max="8" width="30.69921875" style="20" bestFit="1" customWidth="1"/>
    <col min="9" max="9" width="17.59765625" style="31" bestFit="1" customWidth="1"/>
    <col min="10" max="10" width="17" bestFit="1" customWidth="1"/>
    <col min="11" max="11" width="25.19921875" bestFit="1" customWidth="1"/>
    <col min="12" max="12" width="16.3984375" bestFit="1" customWidth="1"/>
    <col min="13" max="13" width="20.19921875" bestFit="1" customWidth="1"/>
    <col min="14" max="14" width="25.296875" style="31" bestFit="1" customWidth="1"/>
    <col min="15" max="15" width="24.296875" style="31" customWidth="1"/>
    <col min="16" max="16" width="20.19921875" bestFit="1" customWidth="1"/>
    <col min="17" max="17" width="16.3984375" bestFit="1" customWidth="1"/>
    <col min="18" max="18" width="17.59765625" style="31" bestFit="1" customWidth="1"/>
    <col min="19" max="19" width="10.796875" bestFit="1" customWidth="1"/>
    <col min="20" max="20" width="27.3984375" bestFit="1" customWidth="1"/>
    <col min="21" max="21" width="11.09765625" bestFit="1" customWidth="1"/>
    <col min="22" max="22" width="19" bestFit="1" customWidth="1"/>
    <col min="23" max="23" width="22.69921875" bestFit="1" customWidth="1"/>
    <col min="24" max="24" width="15.296875" bestFit="1" customWidth="1"/>
    <col min="25" max="25" width="13" bestFit="1" customWidth="1"/>
    <col min="26" max="26" width="27.3984375" bestFit="1" customWidth="1"/>
    <col min="27" max="27" width="13.296875" bestFit="1" customWidth="1"/>
    <col min="28" max="28" width="6.09765625" bestFit="1" customWidth="1"/>
    <col min="29" max="29" width="13.69921875" bestFit="1" customWidth="1"/>
    <col min="30" max="30" width="11.69921875" bestFit="1" customWidth="1"/>
    <col min="34" max="34" width="18.59765625" bestFit="1" customWidth="1"/>
    <col min="37" max="37" width="11.09765625" bestFit="1" customWidth="1"/>
    <col min="38" max="38" width="15.296875" bestFit="1" customWidth="1"/>
    <col min="39" max="39" width="19.59765625" bestFit="1" customWidth="1"/>
    <col min="40" max="40" width="11.69921875" bestFit="1" customWidth="1"/>
    <col min="41" max="41" width="15" bestFit="1" customWidth="1"/>
    <col min="42" max="42" width="11.09765625" bestFit="1" customWidth="1"/>
    <col min="43" max="43" width="19" bestFit="1" customWidth="1"/>
    <col min="44" max="44" width="22.69921875" bestFit="1" customWidth="1"/>
    <col min="45" max="45" width="15.296875" bestFit="1" customWidth="1"/>
    <col min="46" max="46" width="15" bestFit="1" customWidth="1"/>
    <col min="47" max="47" width="13.296875" bestFit="1" customWidth="1"/>
    <col min="48" max="48" width="6.09765625" bestFit="1" customWidth="1"/>
    <col min="49" max="49" width="13.69921875" bestFit="1" customWidth="1"/>
    <col min="50" max="50" width="11.69921875" bestFit="1" customWidth="1"/>
    <col min="51" max="51" width="10.8984375" bestFit="1" customWidth="1"/>
  </cols>
  <sheetData>
    <row r="2" spans="1:50">
      <c r="A2" s="12"/>
      <c r="D2" t="s">
        <v>56</v>
      </c>
      <c r="E2" t="s">
        <v>57</v>
      </c>
      <c r="F2" s="31" t="s">
        <v>58</v>
      </c>
      <c r="G2" t="s">
        <v>56</v>
      </c>
      <c r="H2" t="s">
        <v>57</v>
      </c>
      <c r="I2" s="31" t="s">
        <v>59</v>
      </c>
      <c r="L2" t="s">
        <v>61</v>
      </c>
      <c r="M2" t="s">
        <v>60</v>
      </c>
      <c r="N2" s="31" t="s">
        <v>62</v>
      </c>
      <c r="P2" t="s">
        <v>60</v>
      </c>
      <c r="Q2" t="s">
        <v>61</v>
      </c>
      <c r="R2" s="31" t="s">
        <v>63</v>
      </c>
      <c r="U2" t="s">
        <v>45</v>
      </c>
      <c r="V2" t="s">
        <v>47</v>
      </c>
      <c r="W2" t="s">
        <v>46</v>
      </c>
      <c r="X2" t="s">
        <v>44</v>
      </c>
      <c r="AA2" t="s">
        <v>51</v>
      </c>
      <c r="AB2" t="s">
        <v>50</v>
      </c>
      <c r="AC2" t="s">
        <v>49</v>
      </c>
      <c r="AD2" t="s">
        <v>48</v>
      </c>
      <c r="AH2" t="s">
        <v>64</v>
      </c>
      <c r="AI2">
        <f>MAX(Datos!O:O)</f>
        <v>7</v>
      </c>
      <c r="AK2" t="s">
        <v>51</v>
      </c>
      <c r="AL2" t="s">
        <v>50</v>
      </c>
      <c r="AM2" t="s">
        <v>49</v>
      </c>
      <c r="AN2" t="s">
        <v>48</v>
      </c>
    </row>
    <row r="3" spans="1:50">
      <c r="A3" s="13"/>
      <c r="C3" s="17">
        <v>1</v>
      </c>
      <c r="D3" s="40">
        <v>39</v>
      </c>
      <c r="E3" s="40">
        <v>50</v>
      </c>
      <c r="F3" s="31">
        <v>78</v>
      </c>
      <c r="G3" s="40">
        <v>265</v>
      </c>
      <c r="H3" s="40">
        <v>314</v>
      </c>
      <c r="I3" s="31">
        <v>84.394904458598731</v>
      </c>
      <c r="K3" s="17">
        <v>1</v>
      </c>
      <c r="L3" s="40">
        <v>9</v>
      </c>
      <c r="M3" s="40">
        <v>19</v>
      </c>
      <c r="N3" s="31">
        <v>32.142857142857146</v>
      </c>
      <c r="P3" s="40">
        <v>97</v>
      </c>
      <c r="Q3" s="40">
        <v>56</v>
      </c>
      <c r="R3" s="31">
        <v>36.601307189542482</v>
      </c>
      <c r="T3" s="17">
        <v>1</v>
      </c>
      <c r="U3" s="40">
        <v>24</v>
      </c>
      <c r="V3" s="40">
        <v>4</v>
      </c>
      <c r="W3" s="40">
        <v>3</v>
      </c>
      <c r="X3" s="40">
        <v>12</v>
      </c>
      <c r="Z3" s="17">
        <v>1</v>
      </c>
      <c r="AA3" s="40">
        <v>10</v>
      </c>
      <c r="AB3" s="40">
        <v>1</v>
      </c>
      <c r="AC3" s="40"/>
      <c r="AD3" s="40">
        <v>2</v>
      </c>
      <c r="AH3" t="s">
        <v>65</v>
      </c>
      <c r="AI3">
        <f>GETPIVOTDATA("Suma de goles favor",$G$2)</f>
        <v>265</v>
      </c>
      <c r="AK3" s="40">
        <v>35</v>
      </c>
      <c r="AL3" s="40">
        <v>2</v>
      </c>
      <c r="AM3" s="40">
        <v>1</v>
      </c>
      <c r="AN3" s="40">
        <v>16</v>
      </c>
    </row>
    <row r="4" spans="1:50">
      <c r="A4" s="14"/>
      <c r="C4" s="27" t="s">
        <v>105</v>
      </c>
      <c r="D4" s="40">
        <v>39</v>
      </c>
      <c r="E4" s="40">
        <v>50</v>
      </c>
      <c r="F4" s="31">
        <v>78</v>
      </c>
      <c r="H4"/>
      <c r="K4" s="27" t="s">
        <v>105</v>
      </c>
      <c r="L4" s="40">
        <v>9</v>
      </c>
      <c r="M4" s="40">
        <v>19</v>
      </c>
      <c r="N4" s="31">
        <v>32.142857142857146</v>
      </c>
      <c r="T4" s="27" t="s">
        <v>105</v>
      </c>
      <c r="U4" s="40">
        <v>24</v>
      </c>
      <c r="V4" s="40">
        <v>4</v>
      </c>
      <c r="W4" s="40">
        <v>3</v>
      </c>
      <c r="X4" s="40">
        <v>12</v>
      </c>
      <c r="Z4" s="27" t="s">
        <v>105</v>
      </c>
      <c r="AA4" s="40">
        <v>10</v>
      </c>
      <c r="AB4" s="40">
        <v>1</v>
      </c>
      <c r="AC4" s="40"/>
      <c r="AD4" s="40">
        <v>2</v>
      </c>
      <c r="AH4" t="s">
        <v>66</v>
      </c>
      <c r="AI4">
        <f>GETPIVOTDATA("Suma de goles contra",$P$2)</f>
        <v>97</v>
      </c>
      <c r="AP4" t="s">
        <v>45</v>
      </c>
      <c r="AQ4" t="s">
        <v>47</v>
      </c>
      <c r="AR4" t="s">
        <v>46</v>
      </c>
      <c r="AS4" t="s">
        <v>44</v>
      </c>
      <c r="AU4" t="s">
        <v>51</v>
      </c>
      <c r="AV4" t="s">
        <v>50</v>
      </c>
      <c r="AW4" t="s">
        <v>49</v>
      </c>
      <c r="AX4" t="s">
        <v>48</v>
      </c>
    </row>
    <row r="5" spans="1:50">
      <c r="C5" s="17">
        <v>3</v>
      </c>
      <c r="D5" s="40">
        <v>48</v>
      </c>
      <c r="E5" s="40">
        <v>54</v>
      </c>
      <c r="F5" s="31">
        <v>88.888888888888886</v>
      </c>
      <c r="H5"/>
      <c r="K5" s="17">
        <v>3</v>
      </c>
      <c r="L5" s="40">
        <v>6</v>
      </c>
      <c r="M5" s="40">
        <v>8</v>
      </c>
      <c r="N5" s="31">
        <v>42.857142857142854</v>
      </c>
      <c r="T5" s="17">
        <v>3</v>
      </c>
      <c r="U5" s="40">
        <v>28</v>
      </c>
      <c r="V5" s="40">
        <v>1</v>
      </c>
      <c r="W5" s="40"/>
      <c r="X5" s="40">
        <v>19</v>
      </c>
      <c r="Z5" s="17">
        <v>3</v>
      </c>
      <c r="AA5" s="40">
        <v>2</v>
      </c>
      <c r="AB5" s="40"/>
      <c r="AC5" s="40"/>
      <c r="AD5" s="40">
        <v>1</v>
      </c>
      <c r="AH5" t="s">
        <v>67</v>
      </c>
      <c r="AI5">
        <f>GETPIVOTDATA("Suma de Paradas",$P$2)</f>
        <v>56</v>
      </c>
      <c r="AJ5" s="38">
        <f>AI5/AI2</f>
        <v>8</v>
      </c>
      <c r="AK5" t="s">
        <v>45</v>
      </c>
      <c r="AL5" t="s">
        <v>44</v>
      </c>
      <c r="AM5" t="s">
        <v>75</v>
      </c>
      <c r="AP5" s="40">
        <v>153</v>
      </c>
      <c r="AQ5" s="40">
        <v>13</v>
      </c>
      <c r="AR5" s="40">
        <v>7</v>
      </c>
      <c r="AS5" s="40">
        <v>100</v>
      </c>
      <c r="AU5" s="40">
        <v>35</v>
      </c>
      <c r="AV5" s="40">
        <v>2</v>
      </c>
      <c r="AW5" s="40">
        <v>1</v>
      </c>
      <c r="AX5" s="40">
        <v>16</v>
      </c>
    </row>
    <row r="6" spans="1:50">
      <c r="C6" s="27" t="s">
        <v>102</v>
      </c>
      <c r="D6" s="40">
        <v>48</v>
      </c>
      <c r="E6" s="40">
        <v>54</v>
      </c>
      <c r="F6" s="31">
        <v>88.888888888888886</v>
      </c>
      <c r="H6"/>
      <c r="K6" s="27" t="s">
        <v>102</v>
      </c>
      <c r="L6" s="40">
        <v>6</v>
      </c>
      <c r="M6" s="40">
        <v>8</v>
      </c>
      <c r="N6" s="31">
        <v>42.857142857142854</v>
      </c>
      <c r="T6" s="27" t="s">
        <v>102</v>
      </c>
      <c r="U6" s="40">
        <v>28</v>
      </c>
      <c r="V6" s="40">
        <v>1</v>
      </c>
      <c r="W6" s="40"/>
      <c r="X6" s="40">
        <v>19</v>
      </c>
      <c r="Z6" s="27" t="s">
        <v>102</v>
      </c>
      <c r="AA6" s="40">
        <v>2</v>
      </c>
      <c r="AB6" s="40"/>
      <c r="AC6" s="40"/>
      <c r="AD6" s="40">
        <v>1</v>
      </c>
      <c r="AH6" t="s">
        <v>68</v>
      </c>
      <c r="AI6">
        <f>GETPIVOTDATA("Suma de lanzamientos realizados",$G$2)</f>
        <v>314</v>
      </c>
      <c r="AJ6" s="38">
        <f>AI6/AI2</f>
        <v>44.857142857142854</v>
      </c>
      <c r="AK6" s="40">
        <v>153</v>
      </c>
      <c r="AL6" s="40">
        <v>100</v>
      </c>
      <c r="AM6" s="40">
        <v>7</v>
      </c>
    </row>
    <row r="7" spans="1:50">
      <c r="C7" s="17">
        <v>4</v>
      </c>
      <c r="D7" s="40">
        <v>49</v>
      </c>
      <c r="E7" s="40">
        <v>55</v>
      </c>
      <c r="F7" s="31">
        <v>89.090909090909093</v>
      </c>
      <c r="H7"/>
      <c r="K7" s="17">
        <v>4</v>
      </c>
      <c r="L7" s="40">
        <v>11</v>
      </c>
      <c r="M7" s="40">
        <v>14</v>
      </c>
      <c r="N7" s="31">
        <v>44</v>
      </c>
      <c r="T7" s="17">
        <v>4</v>
      </c>
      <c r="U7" s="40">
        <v>25</v>
      </c>
      <c r="V7" s="40">
        <v>2</v>
      </c>
      <c r="W7" s="40">
        <v>2</v>
      </c>
      <c r="X7" s="40">
        <v>23</v>
      </c>
      <c r="Z7" s="17">
        <v>4</v>
      </c>
      <c r="AA7" s="40">
        <v>5</v>
      </c>
      <c r="AB7" s="40"/>
      <c r="AC7" s="40"/>
      <c r="AD7" s="40">
        <v>5</v>
      </c>
      <c r="AH7" t="s">
        <v>69</v>
      </c>
      <c r="AI7" s="32">
        <f>GETPIVOTDATA("Suma de Campo11",$G$2)</f>
        <v>84.394904458598731</v>
      </c>
    </row>
    <row r="8" spans="1:50">
      <c r="C8" s="27" t="s">
        <v>104</v>
      </c>
      <c r="D8" s="40">
        <v>49</v>
      </c>
      <c r="E8" s="40">
        <v>55</v>
      </c>
      <c r="F8" s="31">
        <v>89.090909090909093</v>
      </c>
      <c r="H8"/>
      <c r="K8" s="27" t="s">
        <v>104</v>
      </c>
      <c r="L8" s="40">
        <v>11</v>
      </c>
      <c r="M8" s="40">
        <v>14</v>
      </c>
      <c r="N8" s="31">
        <v>44</v>
      </c>
      <c r="T8" s="27" t="s">
        <v>104</v>
      </c>
      <c r="U8" s="40">
        <v>25</v>
      </c>
      <c r="V8" s="40">
        <v>2</v>
      </c>
      <c r="W8" s="40">
        <v>2</v>
      </c>
      <c r="X8" s="40">
        <v>23</v>
      </c>
      <c r="Z8" s="27" t="s">
        <v>104</v>
      </c>
      <c r="AA8" s="40">
        <v>5</v>
      </c>
      <c r="AB8" s="40"/>
      <c r="AC8" s="40"/>
      <c r="AD8" s="40">
        <v>5</v>
      </c>
      <c r="AH8" t="s">
        <v>72</v>
      </c>
      <c r="AI8" s="32">
        <f>AI3/AI2</f>
        <v>37.857142857142854</v>
      </c>
    </row>
    <row r="9" spans="1:50">
      <c r="C9" s="17">
        <v>5</v>
      </c>
      <c r="D9" s="40">
        <v>50</v>
      </c>
      <c r="E9" s="40">
        <v>66</v>
      </c>
      <c r="F9" s="31">
        <v>75.757575757575751</v>
      </c>
      <c r="H9"/>
      <c r="K9" s="17">
        <v>5</v>
      </c>
      <c r="L9" s="40">
        <v>14</v>
      </c>
      <c r="M9" s="40">
        <v>24</v>
      </c>
      <c r="N9" s="31">
        <v>36.84210526315789</v>
      </c>
      <c r="O9"/>
      <c r="T9" s="17">
        <v>5</v>
      </c>
      <c r="U9" s="40">
        <v>25</v>
      </c>
      <c r="V9" s="40">
        <v>4</v>
      </c>
      <c r="W9" s="40">
        <v>2</v>
      </c>
      <c r="X9" s="40">
        <v>20</v>
      </c>
      <c r="Z9" s="17">
        <v>5</v>
      </c>
      <c r="AA9" s="40">
        <v>5</v>
      </c>
      <c r="AB9" s="40"/>
      <c r="AC9" s="40"/>
      <c r="AD9" s="40">
        <v>4</v>
      </c>
      <c r="AH9" t="s">
        <v>70</v>
      </c>
      <c r="AI9" s="29">
        <f>GETPIVOTDATA("Suma de Paradas",$P$2)/(AI4+AI5)</f>
        <v>0.36601307189542481</v>
      </c>
    </row>
    <row r="10" spans="1:50">
      <c r="C10" s="27" t="s">
        <v>107</v>
      </c>
      <c r="D10" s="40">
        <v>50</v>
      </c>
      <c r="E10" s="40">
        <v>66</v>
      </c>
      <c r="F10" s="31">
        <v>75.757575757575751</v>
      </c>
      <c r="G10" s="19"/>
      <c r="K10" s="27" t="s">
        <v>107</v>
      </c>
      <c r="L10" s="40">
        <v>14</v>
      </c>
      <c r="M10" s="40">
        <v>24</v>
      </c>
      <c r="N10" s="31">
        <v>36.84210526315789</v>
      </c>
      <c r="T10" s="27" t="s">
        <v>107</v>
      </c>
      <c r="U10" s="40">
        <v>25</v>
      </c>
      <c r="V10" s="40">
        <v>4</v>
      </c>
      <c r="W10" s="40">
        <v>2</v>
      </c>
      <c r="X10" s="40">
        <v>20</v>
      </c>
      <c r="Z10" s="27" t="s">
        <v>107</v>
      </c>
      <c r="AA10" s="40">
        <v>5</v>
      </c>
      <c r="AB10" s="40"/>
      <c r="AC10" s="40"/>
      <c r="AD10" s="40">
        <v>4</v>
      </c>
      <c r="AH10" t="s">
        <v>71</v>
      </c>
      <c r="AI10" s="32">
        <f>AI4/AI2</f>
        <v>13.857142857142858</v>
      </c>
    </row>
    <row r="11" spans="1:50">
      <c r="C11" s="17">
        <v>6</v>
      </c>
      <c r="D11" s="40">
        <v>37</v>
      </c>
      <c r="E11" s="40">
        <v>43</v>
      </c>
      <c r="F11" s="31">
        <v>86.04651162790698</v>
      </c>
      <c r="G11" s="19"/>
      <c r="K11" s="17">
        <v>6</v>
      </c>
      <c r="L11" s="40">
        <v>10</v>
      </c>
      <c r="M11" s="40">
        <v>17</v>
      </c>
      <c r="N11" s="31">
        <v>37.037037037037038</v>
      </c>
      <c r="T11" s="17">
        <v>6</v>
      </c>
      <c r="U11" s="40">
        <v>27</v>
      </c>
      <c r="V11" s="40">
        <v>1</v>
      </c>
      <c r="W11" s="40"/>
      <c r="X11" s="40">
        <v>12</v>
      </c>
      <c r="Z11" s="17">
        <v>6</v>
      </c>
      <c r="AA11" s="40">
        <v>6</v>
      </c>
      <c r="AB11" s="40">
        <v>1</v>
      </c>
      <c r="AC11" s="40"/>
      <c r="AD11" s="40">
        <v>2</v>
      </c>
      <c r="AH11" t="s">
        <v>73</v>
      </c>
      <c r="AI11">
        <f>GETPIVOTDATA("Asistencias",$AK$5)</f>
        <v>153</v>
      </c>
      <c r="AJ11" s="32">
        <f>AI11/AI2</f>
        <v>21.857142857142858</v>
      </c>
    </row>
    <row r="12" spans="1:50">
      <c r="C12" s="27" t="s">
        <v>106</v>
      </c>
      <c r="D12" s="40">
        <v>37</v>
      </c>
      <c r="E12" s="40">
        <v>43</v>
      </c>
      <c r="F12" s="31">
        <v>86.04651162790698</v>
      </c>
      <c r="G12" s="19"/>
      <c r="K12" s="27" t="s">
        <v>106</v>
      </c>
      <c r="L12" s="40">
        <v>10</v>
      </c>
      <c r="M12" s="40">
        <v>17</v>
      </c>
      <c r="N12" s="31">
        <v>37.037037037037038</v>
      </c>
      <c r="T12" s="27" t="s">
        <v>106</v>
      </c>
      <c r="U12" s="40">
        <v>27</v>
      </c>
      <c r="V12" s="40">
        <v>1</v>
      </c>
      <c r="W12" s="40"/>
      <c r="X12" s="40">
        <v>12</v>
      </c>
      <c r="Z12" s="27" t="s">
        <v>106</v>
      </c>
      <c r="AA12" s="40">
        <v>6</v>
      </c>
      <c r="AB12" s="40">
        <v>1</v>
      </c>
      <c r="AC12" s="40"/>
      <c r="AD12" s="40">
        <v>2</v>
      </c>
      <c r="AH12" t="s">
        <v>74</v>
      </c>
      <c r="AI12">
        <f>GETPIVOTDATA("Pérdidas pase",$AK$2)+GETPIVOTDATA("Áreas",$AK$2)+GETPIVOTDATA("Perdidas otros",$AK$2)</f>
        <v>38</v>
      </c>
      <c r="AJ12" s="32">
        <f>AI12/$AI$2</f>
        <v>5.4285714285714288</v>
      </c>
    </row>
    <row r="13" spans="1:50">
      <c r="C13" s="17">
        <v>7</v>
      </c>
      <c r="D13" s="40">
        <v>42</v>
      </c>
      <c r="E13" s="40">
        <v>46</v>
      </c>
      <c r="F13" s="31">
        <v>91.304347826086953</v>
      </c>
      <c r="K13" s="17">
        <v>7</v>
      </c>
      <c r="L13" s="40">
        <v>6</v>
      </c>
      <c r="M13" s="40">
        <v>15</v>
      </c>
      <c r="N13" s="31">
        <v>28.571428571428569</v>
      </c>
      <c r="T13" s="17">
        <v>7</v>
      </c>
      <c r="U13" s="40">
        <v>24</v>
      </c>
      <c r="V13" s="40">
        <v>1</v>
      </c>
      <c r="W13" s="40"/>
      <c r="X13" s="40">
        <v>14</v>
      </c>
      <c r="Z13" s="17">
        <v>7</v>
      </c>
      <c r="AA13" s="40">
        <v>7</v>
      </c>
      <c r="AB13" s="40"/>
      <c r="AC13" s="40">
        <v>1</v>
      </c>
      <c r="AD13" s="40">
        <v>2</v>
      </c>
      <c r="AH13" t="s">
        <v>76</v>
      </c>
      <c r="AI13">
        <f>GETPIVOTDATA("Recuperaciones",$AK$5)</f>
        <v>100</v>
      </c>
      <c r="AJ13" s="32">
        <f>AI13/$AI$2</f>
        <v>14.285714285714286</v>
      </c>
    </row>
    <row r="14" spans="1:50">
      <c r="C14" s="27" t="s">
        <v>108</v>
      </c>
      <c r="D14" s="40">
        <v>42</v>
      </c>
      <c r="E14" s="40">
        <v>46</v>
      </c>
      <c r="F14" s="31">
        <v>91.304347826086953</v>
      </c>
      <c r="K14" s="27" t="s">
        <v>108</v>
      </c>
      <c r="L14" s="40">
        <v>6</v>
      </c>
      <c r="M14" s="40">
        <v>15</v>
      </c>
      <c r="N14" s="31">
        <v>28.571428571428569</v>
      </c>
      <c r="T14" s="27" t="s">
        <v>108</v>
      </c>
      <c r="U14" s="40">
        <v>24</v>
      </c>
      <c r="V14" s="40">
        <v>1</v>
      </c>
      <c r="W14" s="40"/>
      <c r="X14" s="40">
        <v>14</v>
      </c>
      <c r="Z14" s="27" t="s">
        <v>108</v>
      </c>
      <c r="AA14" s="40">
        <v>7</v>
      </c>
      <c r="AB14" s="40"/>
      <c r="AC14" s="40">
        <v>1</v>
      </c>
      <c r="AD14" s="40">
        <v>2</v>
      </c>
      <c r="AH14" t="s">
        <v>77</v>
      </c>
      <c r="AI14">
        <f>GETPIVOTDATA("Suma de Exclusión +",$AK$5)</f>
        <v>7</v>
      </c>
      <c r="AJ14" s="32">
        <f>AI14/$AI$2</f>
        <v>1</v>
      </c>
    </row>
    <row r="15" spans="1:50">
      <c r="C15" s="17" t="s">
        <v>35</v>
      </c>
      <c r="D15" s="40">
        <v>265</v>
      </c>
      <c r="E15" s="40">
        <v>314</v>
      </c>
      <c r="F15" s="31">
        <v>84.394904458598731</v>
      </c>
      <c r="K15" s="17" t="s">
        <v>35</v>
      </c>
      <c r="L15" s="40">
        <v>56</v>
      </c>
      <c r="M15" s="40">
        <v>97</v>
      </c>
      <c r="N15" s="31">
        <v>36.601307189542482</v>
      </c>
      <c r="T15" s="17" t="s">
        <v>35</v>
      </c>
      <c r="U15" s="40">
        <v>153</v>
      </c>
      <c r="V15" s="40">
        <v>13</v>
      </c>
      <c r="W15" s="40">
        <v>7</v>
      </c>
      <c r="X15" s="40">
        <v>100</v>
      </c>
      <c r="Z15" s="17" t="s">
        <v>35</v>
      </c>
      <c r="AA15" s="40">
        <v>35</v>
      </c>
      <c r="AB15" s="40">
        <v>2</v>
      </c>
      <c r="AC15" s="40">
        <v>1</v>
      </c>
      <c r="AD15" s="40">
        <v>16</v>
      </c>
      <c r="AH15" t="s">
        <v>78</v>
      </c>
      <c r="AI15">
        <f>GETPIVOTDATA("Exclusiones",$AK$2)</f>
        <v>16</v>
      </c>
      <c r="AJ15" s="32">
        <f>AI15/$AI$2</f>
        <v>2.2857142857142856</v>
      </c>
    </row>
    <row r="16" spans="1:50">
      <c r="F16"/>
      <c r="N16"/>
      <c r="AH16" t="s">
        <v>80</v>
      </c>
      <c r="AI16">
        <f>GETPIVOTDATA("Penaltis provocados",$T$2)</f>
        <v>13</v>
      </c>
    </row>
    <row r="17" spans="6:35">
      <c r="F17"/>
      <c r="N17"/>
      <c r="AH17" t="s">
        <v>81</v>
      </c>
      <c r="AI17">
        <f>GETPIVOTDATA("Pérdidas pase",$Z$2)</f>
        <v>35</v>
      </c>
    </row>
    <row r="18" spans="6:35">
      <c r="F18"/>
      <c r="N18"/>
      <c r="AH18" t="s">
        <v>82</v>
      </c>
      <c r="AI18">
        <f>GETPIVOTDATA("Perdidas otros",$Z$2)</f>
        <v>1</v>
      </c>
    </row>
    <row r="19" spans="6:35">
      <c r="F19"/>
      <c r="N19"/>
      <c r="AH19" t="s">
        <v>83</v>
      </c>
      <c r="AI19">
        <f>GETPIVOTDATA("Áreas",$Z$2)</f>
        <v>2</v>
      </c>
    </row>
    <row r="20" spans="6:35">
      <c r="F20"/>
      <c r="N20"/>
    </row>
    <row r="21" spans="6:35">
      <c r="F21"/>
      <c r="N21"/>
    </row>
    <row r="22" spans="6:35">
      <c r="F22"/>
      <c r="N22"/>
    </row>
    <row r="23" spans="6:35">
      <c r="F23"/>
      <c r="N23"/>
    </row>
    <row r="24" spans="6:35">
      <c r="F24"/>
      <c r="N24"/>
    </row>
    <row r="25" spans="6:35">
      <c r="F25"/>
      <c r="N25"/>
    </row>
    <row r="26" spans="6:35">
      <c r="F26"/>
      <c r="N26"/>
    </row>
    <row r="27" spans="6:35">
      <c r="F27"/>
      <c r="N27"/>
    </row>
  </sheetData>
  <pageMargins left="0.7" right="0.7" top="0.75" bottom="0.75" header="0.3" footer="0.3"/>
  <pageSetup paperSize="9" orientation="portrait" r:id="rId11"/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6CC1-036D-4B82-A14F-8FB7C164C39A}">
  <sheetPr codeName="Hoja4">
    <tabColor theme="9" tint="-0.499984740745262"/>
  </sheetPr>
  <dimension ref="A1:N29"/>
  <sheetViews>
    <sheetView zoomScale="130" zoomScaleNormal="130" workbookViewId="0"/>
  </sheetViews>
  <sheetFormatPr baseColWidth="10" defaultRowHeight="13.8"/>
  <cols>
    <col min="1" max="1" width="2.796875" customWidth="1"/>
    <col min="2" max="12" width="11.796875" customWidth="1"/>
    <col min="13" max="13" width="2.796875" customWidth="1"/>
  </cols>
  <sheetData>
    <row r="1" spans="1:14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8C62-6EBD-4AD7-8D29-2A9CE3054673}">
  <sheetPr codeName="Hoja5">
    <tabColor theme="9" tint="-0.499984740745262"/>
  </sheetPr>
  <dimension ref="A1:N29"/>
  <sheetViews>
    <sheetView zoomScale="133" zoomScaleNormal="130" workbookViewId="0"/>
  </sheetViews>
  <sheetFormatPr baseColWidth="10" defaultRowHeight="13.8"/>
  <cols>
    <col min="1" max="1" width="2.796875" customWidth="1"/>
    <col min="2" max="12" width="11.796875" customWidth="1"/>
    <col min="13" max="13" width="2.796875" customWidth="1"/>
  </cols>
  <sheetData>
    <row r="1" spans="1:14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BBEA-E41E-42BF-AFF6-5A274E23316B}">
  <sheetPr codeName="Hoja6">
    <tabColor theme="9" tint="-0.499984740745262"/>
  </sheetPr>
  <dimension ref="A1:N30"/>
  <sheetViews>
    <sheetView zoomScale="142" zoomScaleNormal="142" workbookViewId="0">
      <selection activeCell="D2" sqref="D2:E2"/>
    </sheetView>
  </sheetViews>
  <sheetFormatPr baseColWidth="10" defaultRowHeight="13.8"/>
  <cols>
    <col min="1" max="1" width="2.796875" customWidth="1"/>
    <col min="2" max="12" width="11.796875" customWidth="1"/>
    <col min="13" max="13" width="2.796875" customWidth="1"/>
  </cols>
  <sheetData>
    <row r="1" spans="1:14" ht="3.6" customHeight="1" thickBo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5" thickTop="1" thickBot="1">
      <c r="A2" s="15" t="s">
        <v>93</v>
      </c>
      <c r="B2" s="15"/>
      <c r="C2" s="15"/>
      <c r="D2" s="52" t="s">
        <v>85</v>
      </c>
      <c r="E2" s="53"/>
      <c r="F2" s="37"/>
      <c r="G2" s="15"/>
      <c r="H2" s="15"/>
      <c r="I2" s="15"/>
      <c r="J2" s="15"/>
      <c r="K2" s="15"/>
      <c r="L2" s="15"/>
      <c r="M2" s="15"/>
      <c r="N2" s="15"/>
    </row>
    <row r="3" spans="1:14" ht="6" customHeight="1" thickTop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>
      <c r="A7" s="15"/>
      <c r="B7" s="15"/>
      <c r="C7" s="15"/>
      <c r="D7" s="34" t="s">
        <v>84</v>
      </c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</sheetData>
  <mergeCells count="1">
    <mergeCell ref="D2:E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2C88C0-2571-4593-9673-B75EA4C284CB}">
          <x14:formula1>
            <xm:f>'cuadro desplegable'!$C$4:$F$4</xm:f>
          </x14:formula1>
          <xm:sqref>D7</xm:sqref>
        </x14:dataValidation>
        <x14:dataValidation type="list" allowBlank="1" showInputMessage="1" showErrorMessage="1" xr:uid="{5F9053CB-3449-4751-A057-123D4A02AC71}">
          <x14:formula1>
            <xm:f>'cuadro desplegable'!$C$4:$G$4</xm:f>
          </x14:formula1>
          <xm:sqref>D2:E2</xm:sqref>
        </x14:dataValidation>
      </x14:dataValidation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8377-2ECC-4B5C-B675-8A66641CE7E9}">
  <sheetPr codeName="Hoja8">
    <tabColor theme="9" tint="-0.499984740745262"/>
  </sheetPr>
  <dimension ref="A1:O30"/>
  <sheetViews>
    <sheetView zoomScale="142" zoomScaleNormal="142" workbookViewId="0"/>
  </sheetViews>
  <sheetFormatPr baseColWidth="10" defaultRowHeight="13.8"/>
  <cols>
    <col min="1" max="1" width="2.796875" customWidth="1"/>
    <col min="2" max="12" width="11.796875" customWidth="1"/>
    <col min="13" max="13" width="2.796875" customWidth="1"/>
  </cols>
  <sheetData>
    <row r="1" spans="1:15" ht="3.6" customHeight="1" thickBo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5" ht="14.4" thickBot="1">
      <c r="A2" s="15" t="s">
        <v>93</v>
      </c>
      <c r="B2" s="15"/>
      <c r="C2" s="15"/>
      <c r="D2" s="54" t="s">
        <v>99</v>
      </c>
      <c r="E2" s="55"/>
      <c r="F2" s="56"/>
      <c r="G2" s="15"/>
      <c r="H2" s="15"/>
      <c r="I2" s="15"/>
      <c r="J2" s="15"/>
      <c r="K2" s="15"/>
      <c r="L2" s="15"/>
      <c r="M2" s="15"/>
      <c r="N2" s="15"/>
      <c r="O2" s="15"/>
    </row>
    <row r="3" spans="1:15" ht="6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5">
      <c r="A7" s="15"/>
      <c r="B7" s="15"/>
      <c r="C7" s="15"/>
      <c r="D7" s="34" t="s">
        <v>84</v>
      </c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</sheetData>
  <mergeCells count="1">
    <mergeCell ref="D2:F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5EDB4C1-F717-449C-AF97-1631549C7EC5}">
          <x14:formula1>
            <xm:f>'cuadro desplegable'!$C$4:$F$4</xm:f>
          </x14:formula1>
          <xm:sqref>D7</xm:sqref>
        </x14:dataValidation>
        <x14:dataValidation type="list" allowBlank="1" showInputMessage="1" showErrorMessage="1" xr:uid="{CBBF40F0-BEEF-4B10-A0ED-0F6444E57F33}">
          <x14:formula1>
            <xm:f>'cuadro desplegable'!$C$8:$E$8</xm:f>
          </x14:formula1>
          <xm:sqref>D2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79EC3-01C6-4470-A1D3-C08EF6114D1A}">
  <sheetPr codeName="Hoja7"/>
  <dimension ref="C4:G8"/>
  <sheetViews>
    <sheetView workbookViewId="0">
      <selection activeCell="F14" sqref="F14"/>
    </sheetView>
  </sheetViews>
  <sheetFormatPr baseColWidth="10" defaultRowHeight="13.8"/>
  <cols>
    <col min="3" max="3" width="16.69921875" bestFit="1" customWidth="1"/>
    <col min="5" max="5" width="15.69921875" bestFit="1" customWidth="1"/>
    <col min="6" max="6" width="16.296875" bestFit="1" customWidth="1"/>
  </cols>
  <sheetData>
    <row r="4" spans="3:7">
      <c r="C4" s="35" t="s">
        <v>85</v>
      </c>
      <c r="D4" s="35" t="s">
        <v>86</v>
      </c>
      <c r="E4" s="35" t="s">
        <v>87</v>
      </c>
      <c r="F4" s="35" t="s">
        <v>88</v>
      </c>
      <c r="G4" s="36" t="s">
        <v>92</v>
      </c>
    </row>
    <row r="8" spans="3:7">
      <c r="C8" t="s">
        <v>99</v>
      </c>
      <c r="D8" t="s">
        <v>100</v>
      </c>
      <c r="E8" t="s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9079-5097-43F5-9CB4-067C04A15D14}">
  <sheetPr codeName="Hoja9">
    <tabColor theme="9" tint="-0.499984740745262"/>
  </sheetPr>
  <dimension ref="A1:N29"/>
  <sheetViews>
    <sheetView zoomScale="130" zoomScaleNormal="130" workbookViewId="0">
      <selection activeCell="B29" sqref="B29"/>
    </sheetView>
  </sheetViews>
  <sheetFormatPr baseColWidth="10" defaultRowHeight="13.8"/>
  <cols>
    <col min="1" max="1" width="2.796875" customWidth="1"/>
    <col min="2" max="12" width="11.796875" customWidth="1"/>
    <col min="13" max="13" width="2.796875" customWidth="1"/>
  </cols>
  <sheetData>
    <row r="1" spans="1:14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Datos</vt:lpstr>
      <vt:lpstr>Analisis</vt:lpstr>
      <vt:lpstr>Analisis_Equipo</vt:lpstr>
      <vt:lpstr>Individual</vt:lpstr>
      <vt:lpstr>Equipo</vt:lpstr>
      <vt:lpstr>fitlro_individual</vt:lpstr>
      <vt:lpstr>filtro_equipo</vt:lpstr>
      <vt:lpstr>cuadro desplegable</vt:lpstr>
      <vt:lpstr>J1_Individual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Espejo</dc:creator>
  <cp:lastModifiedBy>Lucas Espejo Sanchez</cp:lastModifiedBy>
  <dcterms:created xsi:type="dcterms:W3CDTF">2025-07-01T18:01:32Z</dcterms:created>
  <dcterms:modified xsi:type="dcterms:W3CDTF">2026-02-24T14:11:18Z</dcterms:modified>
</cp:coreProperties>
</file>