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andbol-frontend\public\"/>
    </mc:Choice>
  </mc:AlternateContent>
  <xr:revisionPtr revIDLastSave="0" documentId="13_ncr:80001_{6846EE59-A880-4C21-B847-6CE401BE4282}" xr6:coauthVersionLast="36" xr6:coauthVersionMax="47" xr10:uidLastSave="{00000000-0000-0000-0000-000000000000}"/>
  <bookViews>
    <workbookView xWindow="0" yWindow="0" windowWidth="23040" windowHeight="11280" firstSheet="1" activeTab="1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Datos!$A$1:$Q$58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12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8" i="1" l="1"/>
  <c r="W58" i="1" s="1"/>
  <c r="S57" i="1"/>
  <c r="T57" i="1" s="1"/>
  <c r="S56" i="1"/>
  <c r="W56" i="1" s="1"/>
  <c r="S55" i="1"/>
  <c r="V55" i="1" s="1"/>
  <c r="S54" i="1"/>
  <c r="W54" i="1" s="1"/>
  <c r="S53" i="1"/>
  <c r="W53" i="1" s="1"/>
  <c r="S52" i="1"/>
  <c r="W52" i="1" s="1"/>
  <c r="S51" i="1"/>
  <c r="T51" i="1" s="1"/>
  <c r="S50" i="1"/>
  <c r="W50" i="1" s="1"/>
  <c r="U49" i="1"/>
  <c r="S49" i="1"/>
  <c r="T49" i="1" s="1"/>
  <c r="S48" i="1"/>
  <c r="W48" i="1" s="1"/>
  <c r="S47" i="1"/>
  <c r="V47" i="1" s="1"/>
  <c r="S46" i="1"/>
  <c r="T46" i="1" s="1"/>
  <c r="S45" i="1"/>
  <c r="U45" i="1" s="1"/>
  <c r="S44" i="1"/>
  <c r="W44" i="1" s="1"/>
  <c r="S43" i="1"/>
  <c r="W43" i="1" s="1"/>
  <c r="S42" i="1"/>
  <c r="W42" i="1" s="1"/>
  <c r="S41" i="1"/>
  <c r="T41" i="1" s="1"/>
  <c r="S40" i="1"/>
  <c r="W40" i="1" s="1"/>
  <c r="S39" i="1"/>
  <c r="V39" i="1" s="1"/>
  <c r="W38" i="1"/>
  <c r="S38" i="1"/>
  <c r="V38" i="1" s="1"/>
  <c r="S37" i="1"/>
  <c r="W37" i="1" s="1"/>
  <c r="S36" i="1"/>
  <c r="W36" i="1" s="1"/>
  <c r="S35" i="1"/>
  <c r="W35" i="1" s="1"/>
  <c r="S34" i="1"/>
  <c r="W34" i="1" s="1"/>
  <c r="S33" i="1"/>
  <c r="T33" i="1" s="1"/>
  <c r="S32" i="1"/>
  <c r="W32" i="1" s="1"/>
  <c r="S31" i="1"/>
  <c r="V31" i="1" s="1"/>
  <c r="U30" i="1"/>
  <c r="S30" i="1"/>
  <c r="V30" i="1" s="1"/>
  <c r="S29" i="1"/>
  <c r="U29" i="1" s="1"/>
  <c r="S28" i="1"/>
  <c r="W28" i="1" s="1"/>
  <c r="S27" i="1"/>
  <c r="W27" i="1" s="1"/>
  <c r="S26" i="1"/>
  <c r="W26" i="1" s="1"/>
  <c r="S25" i="1"/>
  <c r="T25" i="1" s="1"/>
  <c r="S24" i="1"/>
  <c r="V24" i="1" s="1"/>
  <c r="S23" i="1"/>
  <c r="V23" i="1" s="1"/>
  <c r="S22" i="1"/>
  <c r="T22" i="1" s="1"/>
  <c r="S21" i="1"/>
  <c r="W21" i="1" s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S20" i="1"/>
  <c r="W20" i="1" s="1"/>
  <c r="S19" i="1"/>
  <c r="T19" i="1" s="1"/>
  <c r="S18" i="1"/>
  <c r="W18" i="1" s="1"/>
  <c r="S17" i="1"/>
  <c r="V17" i="1" s="1"/>
  <c r="S16" i="1"/>
  <c r="V16" i="1" s="1"/>
  <c r="S15" i="1"/>
  <c r="W15" i="1" s="1"/>
  <c r="S14" i="1"/>
  <c r="T14" i="1" s="1"/>
  <c r="S13" i="1"/>
  <c r="W13" i="1" s="1"/>
  <c r="S12" i="1"/>
  <c r="W12" i="1" s="1"/>
  <c r="S11" i="1"/>
  <c r="T11" i="1" s="1"/>
  <c r="S10" i="1"/>
  <c r="W10" i="1" s="1"/>
  <c r="S9" i="1"/>
  <c r="V9" i="1" s="1"/>
  <c r="S8" i="1"/>
  <c r="V8" i="1" s="1"/>
  <c r="S7" i="1"/>
  <c r="V7" i="1" s="1"/>
  <c r="S6" i="1"/>
  <c r="U6" i="1" s="1"/>
  <c r="S5" i="1"/>
  <c r="W5" i="1" s="1"/>
  <c r="S4" i="1"/>
  <c r="W4" i="1" s="1"/>
  <c r="S3" i="1"/>
  <c r="T3" i="1" s="1"/>
  <c r="S2" i="1"/>
  <c r="W2" i="1" s="1"/>
  <c r="U46" i="1" l="1"/>
  <c r="U53" i="1"/>
  <c r="T29" i="1"/>
  <c r="W30" i="1"/>
  <c r="V41" i="1"/>
  <c r="V46" i="1"/>
  <c r="W41" i="1"/>
  <c r="W25" i="1"/>
  <c r="T38" i="1"/>
  <c r="U22" i="1"/>
  <c r="V22" i="1"/>
  <c r="W22" i="1"/>
  <c r="T35" i="1"/>
  <c r="T44" i="1"/>
  <c r="W46" i="1"/>
  <c r="U51" i="1"/>
  <c r="U35" i="1"/>
  <c r="U44" i="1"/>
  <c r="V51" i="1"/>
  <c r="T32" i="1"/>
  <c r="V35" i="1"/>
  <c r="V44" i="1"/>
  <c r="W51" i="1"/>
  <c r="T56" i="1"/>
  <c r="U32" i="1"/>
  <c r="U56" i="1"/>
  <c r="U25" i="1"/>
  <c r="V32" i="1"/>
  <c r="V25" i="1"/>
  <c r="T30" i="1"/>
  <c r="V49" i="1"/>
  <c r="T53" i="1"/>
  <c r="T28" i="1"/>
  <c r="T37" i="1"/>
  <c r="T40" i="1"/>
  <c r="U28" i="1"/>
  <c r="U33" i="1"/>
  <c r="U40" i="1"/>
  <c r="T43" i="1"/>
  <c r="W49" i="1"/>
  <c r="T52" i="1"/>
  <c r="T54" i="1"/>
  <c r="V56" i="1"/>
  <c r="V6" i="1"/>
  <c r="V28" i="1"/>
  <c r="V33" i="1"/>
  <c r="V40" i="1"/>
  <c r="U43" i="1"/>
  <c r="U52" i="1"/>
  <c r="U54" i="1"/>
  <c r="T21" i="1"/>
  <c r="T24" i="1"/>
  <c r="T27" i="1"/>
  <c r="W33" i="1"/>
  <c r="T36" i="1"/>
  <c r="U38" i="1"/>
  <c r="V43" i="1"/>
  <c r="T45" i="1"/>
  <c r="T48" i="1"/>
  <c r="V52" i="1"/>
  <c r="V54" i="1"/>
  <c r="U57" i="1"/>
  <c r="U24" i="1"/>
  <c r="U27" i="1"/>
  <c r="U36" i="1"/>
  <c r="U41" i="1"/>
  <c r="U48" i="1"/>
  <c r="V57" i="1"/>
  <c r="V27" i="1"/>
  <c r="V36" i="1"/>
  <c r="V48" i="1"/>
  <c r="W57" i="1"/>
  <c r="W23" i="1"/>
  <c r="W31" i="1"/>
  <c r="W39" i="1"/>
  <c r="W47" i="1"/>
  <c r="W55" i="1"/>
  <c r="U21" i="1"/>
  <c r="T42" i="1"/>
  <c r="T50" i="1"/>
  <c r="T58" i="1"/>
  <c r="V21" i="1"/>
  <c r="T23" i="1"/>
  <c r="W24" i="1"/>
  <c r="U26" i="1"/>
  <c r="V29" i="1"/>
  <c r="T31" i="1"/>
  <c r="U34" i="1"/>
  <c r="V37" i="1"/>
  <c r="T39" i="1"/>
  <c r="U42" i="1"/>
  <c r="V45" i="1"/>
  <c r="T47" i="1"/>
  <c r="U50" i="1"/>
  <c r="V53" i="1"/>
  <c r="T55" i="1"/>
  <c r="U58" i="1"/>
  <c r="U37" i="1"/>
  <c r="U23" i="1"/>
  <c r="V26" i="1"/>
  <c r="W29" i="1"/>
  <c r="U31" i="1"/>
  <c r="V34" i="1"/>
  <c r="U39" i="1"/>
  <c r="V42" i="1"/>
  <c r="W45" i="1"/>
  <c r="U47" i="1"/>
  <c r="V50" i="1"/>
  <c r="U55" i="1"/>
  <c r="V58" i="1"/>
  <c r="T26" i="1"/>
  <c r="T34" i="1"/>
  <c r="W6" i="1"/>
  <c r="U10" i="1"/>
  <c r="T16" i="1"/>
  <c r="T7" i="1"/>
  <c r="U11" i="1"/>
  <c r="W16" i="1"/>
  <c r="U7" i="1"/>
  <c r="T6" i="1"/>
  <c r="T8" i="1"/>
  <c r="U14" i="1"/>
  <c r="W7" i="1"/>
  <c r="V10" i="1"/>
  <c r="V14" i="1"/>
  <c r="W14" i="1"/>
  <c r="W17" i="1"/>
  <c r="U2" i="1"/>
  <c r="V2" i="1"/>
  <c r="W8" i="1"/>
  <c r="T15" i="1"/>
  <c r="U18" i="1"/>
  <c r="U15" i="1"/>
  <c r="U3" i="1"/>
  <c r="W9" i="1"/>
  <c r="U19" i="1"/>
  <c r="V3" i="1"/>
  <c r="T5" i="1"/>
  <c r="U8" i="1"/>
  <c r="V11" i="1"/>
  <c r="T13" i="1"/>
  <c r="U16" i="1"/>
  <c r="V19" i="1"/>
  <c r="T2" i="1"/>
  <c r="W3" i="1"/>
  <c r="U5" i="1"/>
  <c r="T10" i="1"/>
  <c r="W11" i="1"/>
  <c r="U13" i="1"/>
  <c r="T18" i="1"/>
  <c r="W19" i="1"/>
  <c r="V13" i="1"/>
  <c r="T12" i="1"/>
  <c r="V18" i="1"/>
  <c r="T20" i="1"/>
  <c r="V5" i="1"/>
  <c r="T4" i="1"/>
  <c r="U4" i="1"/>
  <c r="T9" i="1"/>
  <c r="U12" i="1"/>
  <c r="V15" i="1"/>
  <c r="T17" i="1"/>
  <c r="U20" i="1"/>
  <c r="V4" i="1"/>
  <c r="U9" i="1"/>
  <c r="V12" i="1"/>
  <c r="U17" i="1"/>
  <c r="V20" i="1"/>
  <c r="AI14" i="6"/>
  <c r="AR5" i="2"/>
  <c r="AI11" i="6"/>
  <c r="AI16" i="6"/>
  <c r="AI7" i="6"/>
  <c r="AI3" i="6"/>
  <c r="AI18" i="6"/>
  <c r="AI15" i="6"/>
  <c r="AI17" i="6"/>
  <c r="AI12" i="6"/>
  <c r="AI19" i="6"/>
  <c r="AI6" i="6"/>
  <c r="AI13" i="6"/>
  <c r="AI5" i="6"/>
  <c r="AI4" i="6"/>
  <c r="AJ6" i="6" l="1"/>
  <c r="AJ5" i="6"/>
  <c r="AJ11" i="6"/>
  <c r="AJ12" i="6"/>
  <c r="AI8" i="6"/>
  <c r="AJ13" i="6"/>
  <c r="AI10" i="6"/>
  <c r="AJ14" i="6"/>
  <c r="AJ15" i="6"/>
  <c r="AR6" i="2"/>
  <c r="AR7" i="2"/>
  <c r="AI9" i="6"/>
  <c r="AR4" i="2"/>
</calcChain>
</file>

<file path=xl/sharedStrings.xml><?xml version="1.0" encoding="utf-8"?>
<sst xmlns="http://schemas.openxmlformats.org/spreadsheetml/2006/main" count="402" uniqueCount="124">
  <si>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</si>
  <si>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</si>
  <si>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</si>
  <si>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</si>
  <si>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</si>
  <si>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</si>
  <si>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</si>
  <si>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</si>
  <si>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</si>
  <si>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</si>
  <si>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</si>
  <si>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</si>
  <si>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</si>
  <si>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</si>
  <si>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</si>
  <si>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</si>
  <si>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</si>
  <si>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</si>
  <si>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</si>
  <si>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</si>
  <si>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</si>
  <si>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</si>
  <si>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</si>
  <si>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</si>
  <si>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</si>
  <si>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</si>
  <si>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</si>
  <si>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</si>
  <si>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</si>
  <si>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</si>
  <si>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</si>
  <si>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</si>
  <si>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</si>
  <si>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</si>
  <si>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</si>
  <si>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</si>
  <si>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</si>
  <si>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</si>
  <si>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</si>
  <si>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</si>
  <si>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</si>
  <si>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</si>
  <si>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</si>
  <si>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</si>
  <si>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</si>
  <si>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</si>
  <si>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</si>
  <si>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</si>
  <si>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</si>
  <si>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</si>
  <si>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</si>
  <si>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</si>
  <si>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</si>
  <si>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</si>
  <si>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</si>
  <si>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</si>
  <si>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</si>
  <si>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</si>
  <si>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</si>
  <si>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</si>
  <si>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</si>
  <si>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</si>
  <si>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</si>
  <si>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</si>
  <si>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</si>
  <si>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</si>
  <si>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</si>
  <si>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</si>
  <si>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</si>
  <si>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</si>
  <si>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</si>
  <si>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</si>
  <si>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</si>
  <si>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</si>
  <si>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</si>
  <si>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</si>
  <si>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</si>
  <si>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</si>
  <si>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</si>
  <si>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</si>
  <si>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</si>
  <si>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</si>
  <si>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</si>
  <si>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</si>
  <si>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</si>
  <si>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</si>
  <si>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</si>
  <si>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</si>
  <si>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</si>
  <si>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</si>
  <si>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</si>
  <si>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</si>
  <si>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</si>
  <si>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</si>
  <si>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</si>
  <si>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</si>
  <si>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</si>
  <si>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</si>
  <si>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</si>
  <si>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</si>
  <si>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</si>
  <si>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</si>
  <si>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V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</si>
  <si>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</si>
  <si>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</si>
  <si>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</si>
  <si>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</si>
  <si>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</si>
  <si>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</si>
  <si>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</si>
  <si>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</si>
  <si>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</si>
  <si>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</si>
  <si>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</si>
  <si>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</si>
  <si>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</si>
  <si>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</si>
  <si>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</si>
  <si>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</si>
  <si>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</si>
  <si>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SECTOR_CE</t>
  </si>
  <si>
    <t>CBM VILLAFRANCA</t>
  </si>
  <si>
    <t>SAN FRANCISCO MIJAS</t>
  </si>
  <si>
    <t>BM ALCONBENDAS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</si>
</sst>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5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8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0" fontId="0" fillId="0" borderId="0" xfId="0" applyNumberFormat="1"/>
    <xf numFmtId="9" fontId="0" fillId="0" borderId="0" xfId="1" applyFont="1"/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6" fillId="6" borderId="1" xfId="0" applyFont="1" applyFill="1" applyBorder="1"/>
    <xf numFmtId="166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0" fontId="8" fillId="9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0" fillId="10" borderId="0" xfId="0" applyFill="1"/>
    <xf numFmtId="0" fontId="10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left" vertical="center"/>
    </xf>
    <xf numFmtId="0" fontId="12" fillId="8" borderId="0" xfId="0" applyFont="1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/>
    <xf numFmtId="0" fontId="0" fillId="0" borderId="0" xfId="0"/>
    <xf numFmtId="9" fontId="1" fillId="0" borderId="0" xfId="1" applyFill="1" applyAlignment="1">
      <alignment horizontal="center"/>
    </xf>
    <xf numFmtId="0" fontId="0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NumberFormat="1"/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49" fontId="7" fillId="6" borderId="4" xfId="0" applyNumberFormat="1" applyFont="1" applyFill="1" applyBorder="1" applyAlignment="1">
      <alignment horizontal="center"/>
    </xf>
    <xf numFmtId="49" fontId="7" fillId="6" borderId="5" xfId="0" applyNumberFormat="1" applyFont="1" applyFill="1" applyBorder="1" applyAlignment="1">
      <alignment horizontal="center"/>
    </xf>
    <xf numFmtId="49" fontId="7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60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59"/>
      <tableStyleElement type="headerRow" dxfId="58"/>
    </tableStyle>
    <tableStyle name="mi estilo personalizado 2" pivot="0" table="0" count="10" xr9:uid="{3D081C6B-30F4-4F84-BB75-048369B2BAFE}">
      <tableStyleElement type="wholeTable" dxfId="57"/>
      <tableStyleElement type="headerRow" dxfId="56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Analisis_Equipo!$L$3:$L$9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Analisis_Equipo!$M$3:$M$9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Analisis_Equipo!$N$3:$N$9</c:f>
              <c:numCache>
                <c:formatCode>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Analisis_Equipo!$U$3:$U$9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Analisis_Equipo!$V$3:$V$9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Analisis_Equipo!$W$3:$W$9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Analisis_Equipo!$X$3:$X$9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Analisis_Equipo!$AA$3:$AA$9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Analisis_Equipo!$AB$3:$AB$9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Analisis_Equipo!$AC$3:$AC$9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Analisis_Equipo!$AD$3:$AD$9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Analisis!$D$4:$D$10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Analisis!$E$4:$E$10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Analisis!$H$4:$H$7</c:f>
              <c:numCache>
                <c:formatCode>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Analisis!$R$4:$R$10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Analisis!$S$4:$S$10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Analisis!$T$4:$T$10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Analisis!$U$4:$U$10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Analisis_Equipo!$D$3:$D$9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Analisis_Equipo!$E$3:$E$9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Analisis_Equipo!$F$3:$F$9</c:f>
              <c:numCache>
                <c:formatCode>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Analisis_Equipo!$L$3:$L$9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Analisis_Equipo!$M$3:$M$9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Analisis_Equipo!$N$3:$N$9</c:f>
              <c:numCache>
                <c:formatCode>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Analisis_Equipo!$U$3:$U$9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Analisis_Equipo!$V$3:$V$9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Analisis_Equipo!$W$3:$W$9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Analisis_Equipo!$X$3:$X$9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Analisis_Equipo!$AA$3:$AA$9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Analisis_Equipo!$AB$3:$AB$9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Analisis_Equipo!$AC$3:$AC$9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Analisis_Equipo!$AD$3:$AD$9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Analisis!$D$4:$D$10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Analisis!$E$4:$E$10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Analisis!$H$4:$H$7</c:f>
              <c:numCache>
                <c:formatCode>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Analisis!$R$4:$R$10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Analisis!$S$4:$S$10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Analisis!$T$4:$T$10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Analisis!$U$4:$U$10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Analisis!$H$4:$H$7</c:f>
              <c:numCache>
                <c:formatCode>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Analisis!$R$4:$R$10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Analisis!$S$4:$S$10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Analisis!$T$4:$T$10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Analisis!$U$4:$U$10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Analisis_Equipo!$D$3:$D$9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Analisis_Equipo!$E$3:$E$9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Analisis_Equipo!$F$3:$F$9</c:f>
              <c:numCache>
                <c:formatCode>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Analisis_Equipo!$U$3:$U$9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Analisis_Equipo!$V$3:$V$9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Analisis_Equipo!$W$3:$W$9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Analisis_Equipo!$X$3:$X$9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Analisis_Equipo!$AA$3:$AA$9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Analisis_Equipo!$AB$3:$AB$9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Analisis_Equipo!$AC$3:$AC$9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Analisis_Equipo!$Z$3:$Z$9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Analisis_Equipo!$AD$3:$AD$9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Analisis!$D$4:$D$10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Analisis!$E$4:$E$10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Analisis!$H$4:$H$7</c:f>
              <c:numCache>
                <c:formatCode>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A. Estapé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Analisis!$R$4:$R$10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Analisis!$S$4:$S$10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Analisis!$T$4:$T$10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Analisis!$U$4:$U$10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[sectores_CE.xlsm]Analisis!TablaDinámica12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Analisis!$X$4:$X$10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Analisis!$Y$4:$Y$10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Analisis!$Z$4:$Z$10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Analisis!$W$4:$W$10</c:f>
              <c:multiLvlStrCache>
                <c:ptCount val="3"/>
                <c:lvl>
                  <c:pt idx="0">
                    <c:v>CBM VILLAFRANCA</c:v>
                  </c:pt>
                  <c:pt idx="1">
                    <c:v>SAN FRANCISCO MIJAS</c:v>
                  </c:pt>
                  <c:pt idx="2">
                    <c:v>BM ALCONBENDAS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Analisis!$AA$4:$AA$10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2731" y="1050590"/>
          <a:ext cx="4955836" cy="2232080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428022" y="1427409"/>
          <a:ext cx="9390231" cy="3364605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#¡DIV/0!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139.615520023151" createdVersion="8" refreshedVersion="6" minRefreshableVersion="3" recordCount="57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NonDate="0" containsString="0" containsBlank="1"/>
    </cacheField>
    <cacheField name="Paradas" numFmtId="0">
      <sharedItems containsNonDate="0" containsString="0" containsBlank="1"/>
    </cacheField>
    <cacheField name="Lanzam." numFmtId="0">
      <sharedItems containsNonDate="0" containsString="0" containsBlank="1"/>
    </cacheField>
    <cacheField name="% lanz" numFmtId="9">
      <sharedItems/>
    </cacheField>
    <cacheField name="Asistencia" numFmtId="0">
      <sharedItems containsNonDate="0" containsString="0" containsBlank="1"/>
    </cacheField>
    <cacheField name="Exclusión" numFmtId="0">
      <sharedItems containsNonDate="0" containsString="0" containsBlank="1"/>
    </cacheField>
    <cacheField name="Pase" numFmtId="0">
      <sharedItems containsNonDate="0" containsString="0" containsBlank="1"/>
    </cacheField>
    <cacheField name="Área" numFmtId="0">
      <sharedItems containsNonDate="0" containsString="0" containsBlank="1"/>
    </cacheField>
    <cacheField name="Pasos" numFmtId="0">
      <sharedItems containsNonDate="0" containsString="0" containsBlank="1"/>
    </cacheField>
    <cacheField name="Otro" numFmtId="0">
      <sharedItems containsNonDate="0" containsString="0" containsBlank="1"/>
    </cacheField>
    <cacheField name="Recup." numFmtId="0">
      <sharedItems containsNonDate="0" containsString="0" containsBlank="1"/>
    </cacheField>
    <cacheField name="Exclusión +" numFmtId="0">
      <sharedItems containsNonDate="0" containsString="0" containsBlank="1"/>
    </cacheField>
    <cacheField name="PenaltiProvocado" numFmtId="0">
      <sharedItems containsNonDate="0" containsString="0" containsBlank="1"/>
    </cacheField>
    <cacheField name="JORNADA" numFmtId="0">
      <sharedItems containsSemiMixedTypes="0" containsString="0" containsNumber="1" containsInteger="1" minValue="1" maxValue="14" count="14">
        <n v="1"/>
        <n v="2"/>
        <n v="3"/>
        <n v="13" u="1"/>
        <n v="5" u="1"/>
        <n v="14" u="1"/>
        <n v="6" u="1"/>
        <n v="7" u="1"/>
        <n v="8" u="1"/>
        <n v="9" u="1"/>
        <n v="10" u="1"/>
        <n v="11" u="1"/>
        <n v="4" u="1"/>
        <n v="12" u="1"/>
      </sharedItems>
    </cacheField>
    <cacheField name="FASE" numFmtId="0">
      <sharedItems/>
    </cacheField>
    <cacheField name="L/V" numFmtId="0">
      <sharedItems/>
    </cacheField>
    <cacheField name="rival" numFmtId="0">
      <sharedItems containsBlank="1" count="53">
        <s v="CBM VILLAFRANCA"/>
        <s v="SAN FRANCISCO MIJAS"/>
        <s v="BM ALCONBENDAS"/>
        <m u="1"/>
        <s v="CH PALAUTORDERA (L)" u="1"/>
        <s v="CREU ALTA (V)" u="1"/>
        <s v="CREU ALTA" u="1"/>
        <s v="prueba 5" u="1"/>
        <s v="UES SARRIA (L)" u="1"/>
        <s v="SANT CUGAT (V)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VIROLAI (V)" u="1"/>
        <s v="SANT CUGAT (L)" u="1"/>
        <s v="CH ESPLUGUES (L)" u="1"/>
        <s v="LA ROCA (V)" u="1"/>
        <s v="VIROLAI VORAMAR (V)" u="1"/>
        <s v="ST. ESTEVE PALAUTORDERA" u="1"/>
        <s v="VIROLAI (L)" u="1"/>
        <s v="prueba 3" u="1"/>
        <s v="prueba 8" u="1"/>
        <s v="LA ROCA (L)" u="1"/>
        <s v="CH ESPLUGUES (V)" u="1"/>
        <s v="CA SABADELL" u="1"/>
        <s v="CH. PALAUTORDERA(V)" u="1"/>
        <s v="BM GRANOLLERS (L)" u="1"/>
        <s v="prueba 2" u="1"/>
        <s v="prueba 7" u="1"/>
        <s v="CH RIBES" u="1"/>
        <s v="DOMINICOS C" u="1"/>
        <s v="CREU ALTA SABADELL (L)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UES SARRIA (V)" u="1"/>
        <s v="H.SANT QUIRZE(L)" u="1"/>
        <s v="BCN SANTS" u="1"/>
        <s v="H. SANT QUIRZE (V)" u="1"/>
        <s v="CREU ALTA SABADELL (V)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0"/>
    </cacheField>
    <cacheField name="goles contra" numFmtId="0">
      <sharedItems containsSemiMixedTypes="0" containsString="0" containsNumber="1" containsInteger="1" minValue="0" maxValue="0"/>
    </cacheField>
    <cacheField name="lanzamientos realizados" numFmtId="0">
      <sharedItems containsSemiMixedTypes="0" containsString="0" containsNumber="1" containsInteger="1" minValue="0" maxValue="0"/>
    </cacheField>
    <cacheField name="lanzamientos recibidos" numFmtId="0">
      <sharedItems containsSemiMixedTypes="0" containsString="0" containsNumber="1" containsInteger="1" minValue="0" maxValue="0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2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3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4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5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6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7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8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9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0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1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2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3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4"/>
    <m/>
    <m/>
    <m/>
    <s v=""/>
    <m/>
    <m/>
    <m/>
    <m/>
    <m/>
    <m/>
    <m/>
    <m/>
    <m/>
    <x v="0"/>
    <s v="SECTOR_CE"/>
    <s v="L"/>
    <x v="0"/>
    <x v="1"/>
    <n v="0"/>
    <n v="0"/>
    <n v="0"/>
    <n v="0"/>
  </r>
  <r>
    <x v="15"/>
    <m/>
    <m/>
    <m/>
    <s v=""/>
    <m/>
    <m/>
    <m/>
    <m/>
    <m/>
    <m/>
    <m/>
    <m/>
    <m/>
    <x v="0"/>
    <s v="SECTOR_CE"/>
    <s v="L"/>
    <x v="0"/>
    <x v="1"/>
    <n v="0"/>
    <n v="0"/>
    <n v="0"/>
    <n v="0"/>
  </r>
  <r>
    <x v="16"/>
    <m/>
    <m/>
    <m/>
    <s v=""/>
    <m/>
    <m/>
    <m/>
    <m/>
    <m/>
    <m/>
    <m/>
    <m/>
    <m/>
    <x v="0"/>
    <s v="SECTOR_CE"/>
    <s v="L"/>
    <x v="0"/>
    <x v="1"/>
    <n v="0"/>
    <n v="0"/>
    <n v="0"/>
    <n v="0"/>
  </r>
  <r>
    <x v="17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18"/>
    <m/>
    <m/>
    <m/>
    <s v=""/>
    <m/>
    <m/>
    <m/>
    <m/>
    <m/>
    <m/>
    <m/>
    <m/>
    <m/>
    <x v="0"/>
    <s v="SECTOR_CE"/>
    <s v="L"/>
    <x v="0"/>
    <x v="0"/>
    <n v="0"/>
    <n v="0"/>
    <n v="0"/>
    <n v="0"/>
  </r>
  <r>
    <x v="0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2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3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4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5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6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7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8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9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0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1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2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3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4"/>
    <m/>
    <m/>
    <m/>
    <s v=""/>
    <m/>
    <m/>
    <m/>
    <m/>
    <m/>
    <m/>
    <m/>
    <m/>
    <m/>
    <x v="1"/>
    <s v="SECTOR_CE"/>
    <s v="L"/>
    <x v="1"/>
    <x v="1"/>
    <n v="0"/>
    <n v="0"/>
    <n v="0"/>
    <n v="0"/>
  </r>
  <r>
    <x v="15"/>
    <m/>
    <m/>
    <m/>
    <s v=""/>
    <m/>
    <m/>
    <m/>
    <m/>
    <m/>
    <m/>
    <m/>
    <m/>
    <m/>
    <x v="1"/>
    <s v="SECTOR_CE"/>
    <s v="L"/>
    <x v="1"/>
    <x v="1"/>
    <n v="0"/>
    <n v="0"/>
    <n v="0"/>
    <n v="0"/>
  </r>
  <r>
    <x v="16"/>
    <m/>
    <m/>
    <m/>
    <s v=""/>
    <m/>
    <m/>
    <m/>
    <m/>
    <m/>
    <m/>
    <m/>
    <m/>
    <m/>
    <x v="1"/>
    <s v="SECTOR_CE"/>
    <s v="L"/>
    <x v="1"/>
    <x v="1"/>
    <n v="0"/>
    <n v="0"/>
    <n v="0"/>
    <n v="0"/>
  </r>
  <r>
    <x v="17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18"/>
    <m/>
    <m/>
    <m/>
    <s v=""/>
    <m/>
    <m/>
    <m/>
    <m/>
    <m/>
    <m/>
    <m/>
    <m/>
    <m/>
    <x v="1"/>
    <s v="SECTOR_CE"/>
    <s v="L"/>
    <x v="1"/>
    <x v="0"/>
    <n v="0"/>
    <n v="0"/>
    <n v="0"/>
    <n v="0"/>
  </r>
  <r>
    <x v="0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2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3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4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5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6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7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8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9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0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1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2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3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4"/>
    <m/>
    <m/>
    <m/>
    <s v=""/>
    <m/>
    <m/>
    <m/>
    <m/>
    <m/>
    <m/>
    <m/>
    <m/>
    <m/>
    <x v="2"/>
    <s v="SECTOR_CE"/>
    <s v="V"/>
    <x v="2"/>
    <x v="1"/>
    <n v="0"/>
    <n v="0"/>
    <n v="0"/>
    <n v="0"/>
  </r>
  <r>
    <x v="15"/>
    <m/>
    <m/>
    <m/>
    <s v=""/>
    <m/>
    <m/>
    <m/>
    <m/>
    <m/>
    <m/>
    <m/>
    <m/>
    <m/>
    <x v="2"/>
    <s v="SECTOR_CE"/>
    <s v="V"/>
    <x v="2"/>
    <x v="1"/>
    <n v="0"/>
    <n v="0"/>
    <n v="0"/>
    <n v="0"/>
  </r>
  <r>
    <x v="16"/>
    <m/>
    <m/>
    <m/>
    <s v=""/>
    <m/>
    <m/>
    <m/>
    <m/>
    <m/>
    <m/>
    <m/>
    <m/>
    <m/>
    <x v="2"/>
    <s v="SECTOR_CE"/>
    <s v="V"/>
    <x v="2"/>
    <x v="1"/>
    <n v="0"/>
    <n v="0"/>
    <n v="0"/>
    <n v="0"/>
  </r>
  <r>
    <x v="17"/>
    <m/>
    <m/>
    <m/>
    <s v=""/>
    <m/>
    <m/>
    <m/>
    <m/>
    <m/>
    <m/>
    <m/>
    <m/>
    <m/>
    <x v="2"/>
    <s v="SECTOR_CE"/>
    <s v="V"/>
    <x v="2"/>
    <x v="0"/>
    <n v="0"/>
    <n v="0"/>
    <n v="0"/>
    <n v="0"/>
  </r>
  <r>
    <x v="18"/>
    <m/>
    <m/>
    <m/>
    <s v=""/>
    <m/>
    <m/>
    <m/>
    <m/>
    <m/>
    <m/>
    <m/>
    <m/>
    <m/>
    <x v="2"/>
    <s v="SECTOR_CE"/>
    <s v="V"/>
    <x v="2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3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17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2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10" firstHeaderRow="0" firstDataRow="1" firstDataCol="1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40"/>
        <item m="1" x="30"/>
        <item m="1" x="35"/>
        <item m="1" x="10"/>
        <item m="1" x="36"/>
        <item m="1" x="45"/>
        <item m="1" x="17"/>
        <item m="1" x="24"/>
        <item m="1" x="12"/>
        <item m="1" x="13"/>
        <item m="1" x="15"/>
        <item m="1" x="11"/>
        <item m="1" x="48"/>
        <item m="1" x="42"/>
        <item m="1" x="3"/>
        <item m="1" x="33"/>
        <item m="1" x="26"/>
        <item m="1" x="16"/>
        <item m="1" x="7"/>
        <item m="1" x="43"/>
        <item m="1" x="34"/>
        <item m="1" x="27"/>
        <item m="1" x="18"/>
        <item m="1" x="14"/>
        <item m="1" x="22"/>
        <item m="1" x="41"/>
        <item m="1" x="5"/>
        <item m="1" x="52"/>
        <item m="1" x="23"/>
        <item m="1" x="28"/>
        <item m="1" x="44"/>
        <item m="1" x="51"/>
        <item m="1" x="38"/>
        <item m="1" x="6"/>
        <item m="1" x="32"/>
        <item m="1" x="39"/>
        <item m="1" x="47"/>
        <item m="1" x="19"/>
        <item m="1" x="4"/>
        <item m="1" x="29"/>
        <item m="1" x="37"/>
        <item m="1" x="8"/>
        <item m="1" x="9"/>
        <item m="1" x="20"/>
        <item m="1" x="49"/>
        <item m="1" x="31"/>
        <item m="1" x="25"/>
        <item m="1" x="50"/>
        <item m="1" x="46"/>
        <item m="1" x="21"/>
        <item x="0"/>
        <item x="1"/>
        <item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7" firstHeaderRow="1" firstDataRow="1" firstDataCol="1"/>
  <pivotFields count="39">
    <pivotField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ampo1" fld="24" baseField="0" baseItem="0"/>
  </dataFields>
  <formats count="2">
    <format dxfId="31">
      <pivotArea collapsedLevelsAreSubtotals="1" fieldPosition="0">
        <references count="1">
          <reference field="14" count="0"/>
        </references>
      </pivotArea>
    </format>
    <format dxfId="30">
      <pivotArea grandRow="1" outline="0" collapsedLevelsAreSubtotals="1" fieldPosition="0"/>
    </format>
  </formats>
  <chartFormats count="24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1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14" count="1" selected="0">
            <x v="13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10" firstHeaderRow="0" firstDataRow="1" firstDataCol="1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40"/>
        <item m="1" x="30"/>
        <item m="1" x="35"/>
        <item m="1" x="10"/>
        <item m="1" x="36"/>
        <item m="1" x="45"/>
        <item m="1" x="17"/>
        <item m="1" x="24"/>
        <item m="1" x="12"/>
        <item m="1" x="13"/>
        <item m="1" x="15"/>
        <item m="1" x="11"/>
        <item m="1" x="48"/>
        <item m="1" x="42"/>
        <item m="1" x="3"/>
        <item m="1" x="33"/>
        <item m="1" x="26"/>
        <item m="1" x="16"/>
        <item m="1" x="7"/>
        <item m="1" x="43"/>
        <item m="1" x="34"/>
        <item m="1" x="27"/>
        <item m="1" x="18"/>
        <item m="1" x="14"/>
        <item m="1" x="22"/>
        <item m="1" x="41"/>
        <item m="1" x="5"/>
        <item m="1" x="52"/>
        <item m="1" x="23"/>
        <item m="1" x="28"/>
        <item m="1" x="44"/>
        <item m="1" x="51"/>
        <item m="1" x="38"/>
        <item m="1" x="6"/>
        <item m="1" x="32"/>
        <item m="1" x="39"/>
        <item m="1" x="47"/>
        <item m="1" x="19"/>
        <item m="1" x="4"/>
        <item m="1" x="29"/>
        <item m="1" x="37"/>
        <item m="1" x="8"/>
        <item m="1" x="9"/>
        <item m="1" x="20"/>
        <item m="1" x="49"/>
        <item m="1" x="31"/>
        <item m="1" x="25"/>
        <item m="1" x="50"/>
        <item m="1" x="46"/>
        <item m="1" x="21"/>
        <item x="0"/>
        <item x="1"/>
        <item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7" firstHeaderRow="0" firstDataRow="0" firstDataCol="1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10" firstHeaderRow="0" firstDataRow="1" firstDataCol="1"/>
  <pivotFields count="39">
    <pivotField multipleItemSelectionAllowed="1"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40"/>
        <item m="1" x="30"/>
        <item m="1" x="35"/>
        <item m="1" x="10"/>
        <item m="1" x="36"/>
        <item m="1" x="45"/>
        <item m="1" x="17"/>
        <item m="1" x="24"/>
        <item m="1" x="12"/>
        <item m="1" x="13"/>
        <item m="1" x="15"/>
        <item m="1" x="11"/>
        <item m="1" x="48"/>
        <item m="1" x="42"/>
        <item m="1" x="3"/>
        <item m="1" x="33"/>
        <item m="1" x="26"/>
        <item m="1" x="16"/>
        <item m="1" x="7"/>
        <item m="1" x="43"/>
        <item m="1" x="34"/>
        <item m="1" x="27"/>
        <item m="1" x="18"/>
        <item m="1" x="14"/>
        <item m="1" x="22"/>
        <item m="1" x="41"/>
        <item m="1" x="5"/>
        <item m="1" x="52"/>
        <item m="1" x="23"/>
        <item m="1" x="28"/>
        <item m="1" x="44"/>
        <item m="1" x="51"/>
        <item m="1" x="38"/>
        <item m="1" x="6"/>
        <item m="1" x="32"/>
        <item m="1" x="39"/>
        <item m="1" x="47"/>
        <item m="1" x="19"/>
        <item m="1" x="4"/>
        <item m="1" x="29"/>
        <item m="1" x="37"/>
        <item m="1" x="8"/>
        <item m="1" x="9"/>
        <item m="1" x="20"/>
        <item m="1" x="49"/>
        <item m="1" x="31"/>
        <item m="1" x="25"/>
        <item m="1" x="50"/>
        <item m="1" x="46"/>
        <item m="1" x="21"/>
        <item x="0"/>
        <item x="1"/>
        <item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14"/>
        <item h="1" x="2"/>
        <item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32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7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5">
        <item x="0"/>
        <item x="1"/>
        <item x="2"/>
        <item m="1" x="12"/>
        <item m="1" x="6"/>
        <item m="1" x="7"/>
        <item m="1" x="10"/>
        <item m="1" x="4"/>
        <item m="1" x="8"/>
        <item m="1" x="9"/>
        <item m="1" x="11"/>
        <item m="1" x="13"/>
        <item m="1" x="5"/>
        <item m="1" x="3"/>
        <item t="default"/>
      </items>
    </pivotField>
    <pivotField showAll="0"/>
    <pivotField showAll="0"/>
    <pivotField axis="axisRow" showAll="0">
      <items count="54">
        <item m="1" x="40"/>
        <item m="1" x="30"/>
        <item m="1" x="35"/>
        <item m="1" x="36"/>
        <item m="1" x="45"/>
        <item m="1" x="17"/>
        <item m="1" x="12"/>
        <item m="1" x="24"/>
        <item m="1" x="10"/>
        <item m="1" x="13"/>
        <item m="1" x="15"/>
        <item m="1" x="11"/>
        <item m="1" x="48"/>
        <item m="1" x="42"/>
        <item m="1" x="3"/>
        <item m="1" x="33"/>
        <item m="1" x="26"/>
        <item m="1" x="16"/>
        <item m="1" x="7"/>
        <item m="1" x="43"/>
        <item m="1" x="34"/>
        <item m="1" x="27"/>
        <item m="1" x="18"/>
        <item m="1" x="14"/>
        <item m="1" x="22"/>
        <item m="1" x="41"/>
        <item m="1" x="5"/>
        <item m="1" x="52"/>
        <item m="1" x="23"/>
        <item m="1" x="28"/>
        <item m="1" x="44"/>
        <item m="1" x="51"/>
        <item m="1" x="38"/>
        <item m="1" x="6"/>
        <item m="1" x="32"/>
        <item m="1" x="39"/>
        <item m="1" x="47"/>
        <item m="1" x="19"/>
        <item m="1" x="4"/>
        <item m="1" x="29"/>
        <item m="1" x="37"/>
        <item m="1" x="8"/>
        <item m="1" x="9"/>
        <item m="1" x="20"/>
        <item m="1" x="49"/>
        <item m="1" x="31"/>
        <item m="1" x="25"/>
        <item m="1" x="50"/>
        <item m="1" x="46"/>
        <item m="1" x="21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4">
    <i>
      <x v="50"/>
    </i>
    <i>
      <x v="51"/>
    </i>
    <i>
      <x v="52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40"/>
        <item m="1" x="30"/>
        <item m="1" x="35"/>
        <item m="1" x="10"/>
        <item m="1" x="36"/>
        <item m="1" x="45"/>
        <item m="1" x="17"/>
        <item m="1" x="24"/>
        <item m="1" x="12"/>
        <item m="1" x="13"/>
        <item m="1" x="15"/>
        <item m="1" x="11"/>
        <item m="1" x="48"/>
        <item m="1" x="42"/>
        <item m="1" x="3"/>
        <item m="1" x="33"/>
        <item m="1" x="26"/>
        <item m="1" x="16"/>
        <item m="1" x="7"/>
        <item m="1" x="43"/>
        <item m="1" x="34"/>
        <item m="1" x="27"/>
        <item m="1" x="18"/>
        <item m="1" x="14"/>
        <item m="1" x="22"/>
        <item m="1" x="41"/>
        <item m="1" x="5"/>
        <item m="1" x="52"/>
        <item m="1" x="23"/>
        <item m="1" x="28"/>
        <item m="1" x="44"/>
        <item m="1" x="51"/>
        <item m="1" x="38"/>
        <item m="1" x="6"/>
        <item m="1" x="32"/>
        <item m="1" x="39"/>
        <item m="1" x="47"/>
        <item m="1" x="19"/>
        <item m="1" x="4"/>
        <item m="1" x="29"/>
        <item m="1" x="37"/>
        <item m="1" x="8"/>
        <item m="1" x="9"/>
        <item m="1" x="20"/>
        <item m="1" x="49"/>
        <item m="1" x="31"/>
        <item m="1" x="25"/>
        <item m="1" x="50"/>
        <item m="1" x="46"/>
        <item m="1" x="21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12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40"/>
        <item m="1" x="30"/>
        <item m="1" x="35"/>
        <item m="1" x="10"/>
        <item m="1" x="36"/>
        <item m="1" x="45"/>
        <item m="1" x="17"/>
        <item m="1" x="24"/>
        <item m="1" x="12"/>
        <item m="1" x="13"/>
        <item m="1" x="15"/>
        <item m="1" x="11"/>
        <item m="1" x="48"/>
        <item m="1" x="42"/>
        <item m="1" x="3"/>
        <item m="1" x="33"/>
        <item m="1" x="26"/>
        <item m="1" x="16"/>
        <item m="1" x="7"/>
        <item m="1" x="43"/>
        <item m="1" x="34"/>
        <item m="1" x="27"/>
        <item m="1" x="18"/>
        <item m="1" x="14"/>
        <item m="1" x="22"/>
        <item m="1" x="41"/>
        <item m="1" x="5"/>
        <item m="1" x="52"/>
        <item m="1" x="23"/>
        <item m="1" x="28"/>
        <item m="1" x="44"/>
        <item m="1" x="51"/>
        <item m="1" x="38"/>
        <item m="1" x="6"/>
        <item m="1" x="32"/>
        <item m="1" x="39"/>
        <item m="1" x="47"/>
        <item m="1" x="19"/>
        <item m="1" x="4"/>
        <item m="1" x="29"/>
        <item m="1" x="37"/>
        <item m="1" x="8"/>
        <item m="1" x="9"/>
        <item m="1" x="20"/>
        <item m="1" x="49"/>
        <item m="1" x="31"/>
        <item m="1" x="25"/>
        <item m="1" x="50"/>
        <item m="1" x="46"/>
        <item m="1" x="21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9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40"/>
        <item m="1" x="30"/>
        <item m="1" x="35"/>
        <item m="1" x="10"/>
        <item m="1" x="36"/>
        <item m="1" x="45"/>
        <item m="1" x="17"/>
        <item m="1" x="24"/>
        <item m="1" x="12"/>
        <item m="1" x="13"/>
        <item m="1" x="15"/>
        <item m="1" x="11"/>
        <item m="1" x="48"/>
        <item m="1" x="42"/>
        <item m="1" x="3"/>
        <item m="1" x="33"/>
        <item m="1" x="26"/>
        <item m="1" x="16"/>
        <item m="1" x="7"/>
        <item m="1" x="43"/>
        <item m="1" x="34"/>
        <item m="1" x="27"/>
        <item m="1" x="18"/>
        <item m="1" x="14"/>
        <item m="1" x="22"/>
        <item m="1" x="41"/>
        <item m="1" x="5"/>
        <item m="1" x="52"/>
        <item m="1" x="23"/>
        <item m="1" x="28"/>
        <item m="1" x="44"/>
        <item m="1" x="51"/>
        <item m="1" x="38"/>
        <item m="1" x="6"/>
        <item m="1" x="32"/>
        <item m="1" x="39"/>
        <item m="1" x="47"/>
        <item m="1" x="19"/>
        <item m="1" x="4"/>
        <item m="1" x="29"/>
        <item m="1" x="37"/>
        <item m="1" x="8"/>
        <item m="1" x="9"/>
        <item m="1" x="20"/>
        <item m="1" x="49"/>
        <item m="1" x="31"/>
        <item m="1" x="25"/>
        <item m="1" x="50"/>
        <item m="1" x="46"/>
        <item m="1" x="21"/>
        <item x="0"/>
        <item x="1"/>
        <item x="2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54">
        <item m="1" x="48"/>
        <item m="1" x="41"/>
        <item m="1" x="44"/>
        <item x="2"/>
        <item m="1" x="40"/>
        <item m="1" x="32"/>
        <item m="1" x="39"/>
        <item m="1" x="30"/>
        <item m="1" x="13"/>
        <item x="0"/>
        <item m="1" x="21"/>
        <item m="1" x="29"/>
        <item m="1" x="4"/>
        <item m="1" x="35"/>
        <item m="1" x="31"/>
        <item m="1" x="6"/>
        <item m="1" x="51"/>
        <item m="1" x="5"/>
        <item m="1" x="10"/>
        <item m="1" x="37"/>
        <item m="1" x="50"/>
        <item m="1" x="36"/>
        <item m="1" x="52"/>
        <item m="1" x="38"/>
        <item m="1" x="45"/>
        <item m="1" x="49"/>
        <item m="1" x="47"/>
        <item m="1" x="17"/>
        <item m="1" x="11"/>
        <item m="1" x="28"/>
        <item m="1" x="22"/>
        <item m="1" x="42"/>
        <item m="1" x="33"/>
        <item m="1" x="26"/>
        <item m="1" x="16"/>
        <item m="1" x="7"/>
        <item m="1" x="43"/>
        <item m="1" x="34"/>
        <item m="1" x="27"/>
        <item m="1" x="18"/>
        <item x="1"/>
        <item m="1" x="20"/>
        <item m="1" x="9"/>
        <item m="1" x="24"/>
        <item m="1" x="12"/>
        <item m="1" x="8"/>
        <item m="1" x="46"/>
        <item m="1" x="25"/>
        <item m="1" x="19"/>
        <item m="1" x="15"/>
        <item m="1" x="14"/>
        <item m="1" x="23"/>
        <item m="1" x="3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12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9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5">
        <item x="0"/>
        <item x="1"/>
        <item x="2"/>
        <item m="1" x="12"/>
        <item m="1" x="4"/>
        <item m="1" x="6"/>
        <item m="1" x="7"/>
        <item m="1" x="8"/>
        <item m="1" x="9"/>
        <item m="1" x="10"/>
        <item m="1" x="11"/>
        <item m="1" x="13"/>
        <item m="1" x="3"/>
        <item m="1" x="5"/>
        <item t="default"/>
      </items>
    </pivotField>
    <pivotField showAll="0"/>
    <pivotField showAll="0"/>
    <pivotField axis="axisRow" showAll="0">
      <items count="54">
        <item m="1" x="40"/>
        <item m="1" x="30"/>
        <item m="1" x="35"/>
        <item m="1" x="10"/>
        <item m="1" x="36"/>
        <item m="1" x="45"/>
        <item m="1" x="17"/>
        <item m="1" x="24"/>
        <item m="1" x="12"/>
        <item m="1" x="13"/>
        <item m="1" x="15"/>
        <item m="1" x="11"/>
        <item m="1" x="48"/>
        <item m="1" x="42"/>
        <item m="1" x="3"/>
        <item m="1" x="33"/>
        <item m="1" x="26"/>
        <item m="1" x="16"/>
        <item m="1" x="7"/>
        <item m="1" x="43"/>
        <item m="1" x="34"/>
        <item m="1" x="27"/>
        <item m="1" x="18"/>
        <item m="1" x="14"/>
        <item m="1" x="22"/>
        <item m="1" x="41"/>
        <item m="1" x="5"/>
        <item m="1" x="52"/>
        <item m="1" x="23"/>
        <item m="1" x="28"/>
        <item m="1" x="44"/>
        <item m="1" x="51"/>
        <item m="1" x="38"/>
        <item m="1" x="6"/>
        <item m="1" x="32"/>
        <item m="1" x="39"/>
        <item m="1" x="47"/>
        <item m="1" x="19"/>
        <item m="1" x="4"/>
        <item m="1" x="29"/>
        <item m="1" x="37"/>
        <item m="1" x="8"/>
        <item m="1" x="9"/>
        <item m="1" x="20"/>
        <item m="1" x="49"/>
        <item m="1" x="31"/>
        <item m="1" x="25"/>
        <item m="1" x="50"/>
        <item m="1" x="46"/>
        <item m="1" x="21"/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7">
    <i>
      <x/>
    </i>
    <i r="1">
      <x v="50"/>
    </i>
    <i>
      <x v="1"/>
    </i>
    <i r="1">
      <x v="51"/>
    </i>
    <i>
      <x v="2"/>
    </i>
    <i r="1">
      <x v="5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12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2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14"/>
        <i x="2"/>
        <i x="13" s="1"/>
        <i x="0"/>
        <i x="1"/>
        <i x="7"/>
        <i x="17"/>
        <i x="16"/>
        <i x="9"/>
        <i x="8"/>
        <i x="4"/>
        <i x="15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53">
        <i x="2" s="1"/>
        <i x="0" s="1"/>
        <i x="1" s="1"/>
        <i x="48" s="1" nd="1"/>
        <i x="41" s="1" nd="1"/>
        <i x="44" s="1" nd="1"/>
        <i x="40" s="1" nd="1"/>
        <i x="32" s="1" nd="1"/>
        <i x="39" s="1" nd="1"/>
        <i x="30" s="1" nd="1"/>
        <i x="13" s="1" nd="1"/>
        <i x="21" s="1" nd="1"/>
        <i x="29" s="1" nd="1"/>
        <i x="4" s="1" nd="1"/>
        <i x="35" s="1" nd="1"/>
        <i x="31" s="1" nd="1"/>
        <i x="6" s="1" nd="1"/>
        <i x="51" s="1" nd="1"/>
        <i x="5" s="1" nd="1"/>
        <i x="10" s="1" nd="1"/>
        <i x="37" s="1" nd="1"/>
        <i x="50" s="1" nd="1"/>
        <i x="36" s="1" nd="1"/>
        <i x="52" s="1" nd="1"/>
        <i x="38" s="1" nd="1"/>
        <i x="45" s="1" nd="1"/>
        <i x="49" s="1" nd="1"/>
        <i x="47" s="1" nd="1"/>
        <i x="17" s="1" nd="1"/>
        <i x="11" s="1" nd="1"/>
        <i x="28" s="1" nd="1"/>
        <i x="22" s="1" nd="1"/>
        <i x="42" s="1" nd="1"/>
        <i x="33" s="1" nd="1"/>
        <i x="26" s="1" nd="1"/>
        <i x="16" s="1" nd="1"/>
        <i x="7" s="1" nd="1"/>
        <i x="43" s="1" nd="1"/>
        <i x="34" s="1" nd="1"/>
        <i x="27" s="1" nd="1"/>
        <i x="18" s="1" nd="1"/>
        <i x="20" s="1" nd="1"/>
        <i x="9" s="1" nd="1"/>
        <i x="24" s="1" nd="1"/>
        <i x="12" s="1" nd="1"/>
        <i x="8" s="1" nd="1"/>
        <i x="46" s="1" nd="1"/>
        <i x="25" s="1" nd="1"/>
        <i x="19" s="1" nd="1"/>
        <i x="15" s="1" nd="1"/>
        <i x="14" s="1" nd="1"/>
        <i x="23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58" totalsRowShown="0">
  <autoFilter ref="A1:W58" xr:uid="{4E0CACF7-2516-40E4-A13A-36A69BFCF042}"/>
  <tableColumns count="23">
    <tableColumn id="1" xr3:uid="{52391530-6B4D-4F5B-A13F-EBEFDEBFF05D}" name="Jugador" dataDxfId="55" dataCellStyle="Normal 3"/>
    <tableColumn id="2" xr3:uid="{20EFE687-939F-4CE3-B940-223B282FF463}" name="Goles" dataDxfId="54" dataCellStyle="Normal 3"/>
    <tableColumn id="3" xr3:uid="{684A7D4D-D7B7-43F6-9A93-2ACF8C669153}" name="Paradas" dataDxfId="53" dataCellStyle="Normal 3"/>
    <tableColumn id="4" xr3:uid="{AAA14793-E69C-41E1-B0A0-4517D77AAD17}" name="Lanzam." dataDxfId="52" dataCellStyle="Normal 3"/>
    <tableColumn id="5" xr3:uid="{F7F9DF44-8244-4CC7-A0D1-06835389FDF4}" name="% lanz" dataDxfId="51" dataCellStyle="Porcentaje"/>
    <tableColumn id="7" xr3:uid="{08DF6B37-12B5-4917-A522-F9142A96DB9B}" name="Asistencia" dataDxfId="50" dataCellStyle="Normal 3"/>
    <tableColumn id="8" xr3:uid="{50A8FB8C-4A7A-49D3-9AE9-3E8F48319DD1}" name="Exclusión" dataDxfId="49" dataCellStyle="Normal 3"/>
    <tableColumn id="9" xr3:uid="{0AF59981-5FBC-4DB2-8698-5D9F1ABC4155}" name="Pase" dataDxfId="48" dataCellStyle="Normal 3"/>
    <tableColumn id="10" xr3:uid="{9ABA852E-5F94-4462-B626-D21E860A5324}" name="Área" dataDxfId="47" dataCellStyle="Normal 3"/>
    <tableColumn id="12" xr3:uid="{541EE240-2B80-4C0C-B283-653D786EBF8E}" name="Pasos" dataDxfId="46" dataCellStyle="Normal 3"/>
    <tableColumn id="13" xr3:uid="{B9EEDD3B-D6DD-47C4-B010-4986464C3E47}" name="Otro" dataDxfId="45" dataCellStyle="Normal 3"/>
    <tableColumn id="14" xr3:uid="{5E37AACF-BE34-4507-831A-2294DC02D750}" name="Recup." dataDxfId="44" dataCellStyle="Normal 3"/>
    <tableColumn id="17" xr3:uid="{5CB4A98F-AC59-4C79-8B6E-D9EBC0F6C1BD}" name="Exclusión +" dataDxfId="43" dataCellStyle="Normal 3"/>
    <tableColumn id="6" xr3:uid="{2C6E471F-6D3B-42C8-81FA-7636186D2DE9}" name="PenaltiProvocado" dataDxfId="42" dataCellStyle="Normal 3"/>
    <tableColumn id="19" xr3:uid="{7C109E22-7D05-4D3D-9416-9760085CC706}" name="JORNADA" dataDxfId="41" dataCellStyle="Normal 2"/>
    <tableColumn id="20" xr3:uid="{6759F103-2E20-4B91-8851-820730AE8C35}" name="FASE" dataDxfId="40" dataCellStyle="Normal 2"/>
    <tableColumn id="21" xr3:uid="{DEA2EBD3-381A-4D3F-B764-26F8F743F131}" name="L/V" dataDxfId="39" dataCellStyle="Normal 3"/>
    <tableColumn id="23" xr3:uid="{D5CC1344-44F2-4559-86D2-5CD43B67B00C}" name="rival" dataDxfId="38" dataCellStyle="Normal 3"/>
    <tableColumn id="24" xr3:uid="{ECA9CC20-8ECF-411F-8B7A-C9AFCD3B84C9}" name="POSICION" dataDxfId="37" dataCellStyle="Normal 3"/>
    <tableColumn id="11" xr3:uid="{96A71FE8-7C2B-4C18-AC1B-E8C62789BC53}" name="goles favor" dataDxfId="36" dataCellStyle="Normal 3"/>
    <tableColumn id="15" xr3:uid="{46089932-E578-45E8-A8AB-7B2B44941717}" name="goles contra" dataDxfId="35" dataCellStyle="Normal 3"/>
    <tableColumn id="16" xr3:uid="{BDAED3E0-6A88-4C71-B9F0-1E82A087A2F2}" name="lanzamientos realizados" dataDxfId="34" dataCellStyle="Normal 3"/>
    <tableColumn id="18" xr3:uid="{7B0893AD-D9E4-4F00-8941-20FDECBB17AC}" name="lanzamientos recibidos" dataDxfId="33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27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0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</row>
    <row r="3" spans="1:20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</row>
    <row r="4" spans="1:20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</row>
    <row r="5" spans="1:20" ht="28.05" customHeight="1">
      <c r="A5" s="27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</row>
    <row r="6" spans="1:20" ht="42" customHeight="1">
      <c r="A6" s="27"/>
      <c r="B6" s="30" t="s">
        <v>119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</row>
    <row r="7" spans="1:20" ht="28.05" customHeight="1">
      <c r="A7" s="27"/>
      <c r="B7" s="31" t="s">
        <v>103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</row>
    <row r="8" spans="1:20" ht="28.05" customHeight="1">
      <c r="A8" s="27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</row>
    <row r="9" spans="1:20" ht="3" customHeight="1">
      <c r="A9" s="27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 ht="7.95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</row>
    <row r="11" spans="1:20" ht="28.05" customHeight="1">
      <c r="A11" s="27"/>
      <c r="B11" s="33" t="s">
        <v>104</v>
      </c>
      <c r="C11" s="28"/>
      <c r="D11" s="34" t="s">
        <v>105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</row>
    <row r="12" spans="1:20" ht="28.05" customHeight="1">
      <c r="A12" s="27"/>
      <c r="B12" s="33" t="s">
        <v>106</v>
      </c>
      <c r="C12" s="28"/>
      <c r="D12" s="34" t="s">
        <v>107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</row>
    <row r="13" spans="1:20" ht="28.05" customHeight="1">
      <c r="A13" s="27"/>
      <c r="B13" s="33" t="s">
        <v>108</v>
      </c>
      <c r="C13" s="28"/>
      <c r="D13" s="34" t="s">
        <v>109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</row>
    <row r="14" spans="1:20" ht="28.05" customHeight="1">
      <c r="A14" s="27"/>
      <c r="B14" s="33" t="s">
        <v>110</v>
      </c>
      <c r="C14" s="28"/>
      <c r="D14" s="34" t="s">
        <v>111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</row>
    <row r="15" spans="1:20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</row>
    <row r="16" spans="1:20">
      <c r="A16" s="27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</row>
    <row r="18" spans="1:20" ht="25.95" customHeight="1">
      <c r="A18" s="27"/>
      <c r="B18" s="35" t="s">
        <v>112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</row>
    <row r="19" spans="1:20" ht="7.95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</row>
    <row r="20" spans="1:20" ht="22.05" customHeight="1">
      <c r="A20" s="27"/>
      <c r="B20" s="36" t="s">
        <v>113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</row>
    <row r="21" spans="1:20" ht="22.05" customHeight="1">
      <c r="A21" s="27"/>
      <c r="B21" s="36" t="s">
        <v>114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</row>
    <row r="22" spans="1:20" ht="22.05" customHeight="1">
      <c r="A22" s="27"/>
      <c r="B22" s="36" t="s">
        <v>115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</row>
    <row r="23" spans="1:20" ht="22.05" customHeight="1">
      <c r="A23" s="27"/>
      <c r="B23" s="36" t="s">
        <v>116</v>
      </c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</row>
    <row r="24" spans="1:20" ht="22.05" customHeight="1">
      <c r="A24" s="27"/>
      <c r="B24" s="36" t="s">
        <v>117</v>
      </c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</row>
    <row r="25" spans="1:20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</row>
    <row r="26" spans="1:20">
      <c r="A26" s="27"/>
      <c r="B26" s="37" t="s">
        <v>118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</row>
    <row r="27" spans="1:20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</row>
    <row r="28" spans="1:20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</row>
    <row r="29" spans="1:20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</row>
    <row r="30" spans="1:20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</row>
    <row r="31" spans="1:20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</row>
    <row r="32" spans="1:20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</row>
    <row r="33" spans="1:20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</row>
    <row r="34" spans="1:20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</row>
    <row r="35" spans="1:20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</row>
    <row r="36" spans="1:20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</row>
    <row r="37" spans="1:20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</row>
    <row r="38" spans="1:20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</row>
    <row r="39" spans="1:20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</row>
    <row r="40" spans="1:20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58"/>
  <sheetViews>
    <sheetView tabSelected="1" topLeftCell="L1" workbookViewId="0">
      <pane ySplit="1" topLeftCell="A2" activePane="bottomLeft" state="frozen"/>
      <selection pane="bottomLeft" activeCell="F74" sqref="F74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6" width="13.296875" style="7" bestFit="1" customWidth="1"/>
    <col min="7" max="7" width="12.69921875" style="7" bestFit="1" customWidth="1"/>
    <col min="8" max="9" width="9.09765625" style="7" bestFit="1" customWidth="1"/>
    <col min="10" max="10" width="9.8984375" style="7" bestFit="1" customWidth="1"/>
    <col min="11" max="11" width="9.09765625" style="7" bestFit="1" customWidth="1"/>
    <col min="12" max="12" width="10.8984375" style="7" bestFit="1" customWidth="1"/>
    <col min="13" max="13" width="14" style="7" bestFit="1" customWidth="1"/>
    <col min="14" max="14" width="19.09765625" style="7" bestFit="1" customWidth="1"/>
    <col min="15" max="15" width="13.296875" style="9" bestFit="1" customWidth="1"/>
    <col min="16" max="16" width="9.69921875" style="10" bestFit="1" customWidth="1"/>
    <col min="17" max="17" width="8.09765625" style="11" bestFit="1" customWidth="1"/>
    <col min="18" max="18" width="23.59765625" style="11" bestFit="1" customWidth="1"/>
    <col min="19" max="19" width="11.69921875" style="6" bestFit="1" customWidth="1"/>
    <col min="20" max="20" width="12.69921875" style="6" bestFit="1" customWidth="1"/>
    <col min="21" max="21" width="13.69921875" style="6" bestFit="1" customWidth="1"/>
    <col min="22" max="22" width="24.09765625" style="6" bestFit="1" customWidth="1"/>
    <col min="23" max="23" width="23.296875" style="6" bestFit="1" customWidth="1"/>
    <col min="24" max="16384" width="11.59765625" style="6"/>
  </cols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>
      <c r="A2" s="44" t="s">
        <v>16</v>
      </c>
      <c r="B2" s="45"/>
      <c r="C2" s="45"/>
      <c r="D2" s="45"/>
      <c r="E2" s="39" t="str">
        <f>IF(BD_ESTADISTICA_INF_B[[#This Row],[Lanzam.]]="","",IF(BD_ESTADISTICA_INF_B[[#This Row],[POSICION]]="jugador",B2/D2,C2/D2))</f>
        <v/>
      </c>
      <c r="F2" s="45"/>
      <c r="G2" s="45"/>
      <c r="H2" s="45"/>
      <c r="I2" s="45"/>
      <c r="J2" s="45"/>
      <c r="K2" s="45"/>
      <c r="L2" s="45"/>
      <c r="M2" s="45"/>
      <c r="N2" s="45"/>
      <c r="O2" s="46">
        <v>1</v>
      </c>
      <c r="P2" s="47" t="s">
        <v>120</v>
      </c>
      <c r="Q2" s="48" t="s">
        <v>79</v>
      </c>
      <c r="R2" s="40" t="s">
        <v>121</v>
      </c>
      <c r="S2" s="49" t="str">
        <f>IF(OR(BD_ESTADISTICA_INF_B[[#This Row],[Jugador]]="eudald",BD_ESTADISTICA_INF_B[[#This Row],[Jugador]]="jules",BD_ESTADISTICA_INF_B[[#This Row],[Jugador]]="JAN"),"PORTERO","JUGADOR")</f>
        <v>JUGADOR</v>
      </c>
      <c r="T2" s="49">
        <f>IF(BD_ESTADISTICA_INF_B[[#This Row],[POSICION]]="jugador",BD_ESTADISTICA_INF_B[[#This Row],[Goles]],0)</f>
        <v>0</v>
      </c>
      <c r="U2" s="49">
        <f>IF(BD_ESTADISTICA_INF_B[[#This Row],[POSICION]]="portero",BD_ESTADISTICA_INF_B[[#This Row],[Lanzam.]]-BD_ESTADISTICA_INF_B[[#This Row],[Paradas]],0)</f>
        <v>0</v>
      </c>
      <c r="V2" s="49">
        <f>IF(BD_ESTADISTICA_INF_B[[#This Row],[POSICION]]="jugador",BD_ESTADISTICA_INF_B[[#This Row],[Lanzam.]],0)</f>
        <v>0</v>
      </c>
      <c r="W2" s="49">
        <f>IF(BD_ESTADISTICA_INF_B[[#This Row],[POSICION]]="portero",BD_ESTADISTICA_INF_B[[#This Row],[Lanzam.]],0)</f>
        <v>0</v>
      </c>
    </row>
    <row r="3" spans="1:23">
      <c r="A3" s="44" t="s">
        <v>17</v>
      </c>
      <c r="B3" s="45"/>
      <c r="C3" s="45"/>
      <c r="D3" s="45"/>
      <c r="E3" s="39" t="str">
        <f>IF(BD_ESTADISTICA_INF_B[[#This Row],[Lanzam.]]="","",IF(BD_ESTADISTICA_INF_B[[#This Row],[POSICION]]="jugador",B3/D3,C3/D3))</f>
        <v/>
      </c>
      <c r="F3" s="45"/>
      <c r="G3" s="45"/>
      <c r="H3" s="45"/>
      <c r="I3" s="45"/>
      <c r="J3" s="45"/>
      <c r="K3" s="45"/>
      <c r="L3" s="45"/>
      <c r="M3" s="45"/>
      <c r="N3" s="45"/>
      <c r="O3" s="46">
        <v>1</v>
      </c>
      <c r="P3" s="47" t="s">
        <v>120</v>
      </c>
      <c r="Q3" s="48" t="s">
        <v>79</v>
      </c>
      <c r="R3" s="40" t="s">
        <v>121</v>
      </c>
      <c r="S3" s="49" t="str">
        <f>IF(OR(BD_ESTADISTICA_INF_B[[#This Row],[Jugador]]="eudald",BD_ESTADISTICA_INF_B[[#This Row],[Jugador]]="jules",BD_ESTADISTICA_INF_B[[#This Row],[Jugador]]="JAN"),"PORTERO","JUGADOR")</f>
        <v>JUGADOR</v>
      </c>
      <c r="T3" s="49">
        <f>IF(BD_ESTADISTICA_INF_B[[#This Row],[POSICION]]="jugador",BD_ESTADISTICA_INF_B[[#This Row],[Goles]],0)</f>
        <v>0</v>
      </c>
      <c r="U3" s="49">
        <f>IF(BD_ESTADISTICA_INF_B[[#This Row],[POSICION]]="portero",BD_ESTADISTICA_INF_B[[#This Row],[Lanzam.]]-BD_ESTADISTICA_INF_B[[#This Row],[Paradas]],0)</f>
        <v>0</v>
      </c>
      <c r="V3" s="49">
        <f>IF(BD_ESTADISTICA_INF_B[[#This Row],[POSICION]]="jugador",BD_ESTADISTICA_INF_B[[#This Row],[Lanzam.]],0)</f>
        <v>0</v>
      </c>
      <c r="W3" s="49">
        <f>IF(BD_ESTADISTICA_INF_B[[#This Row],[POSICION]]="portero",BD_ESTADISTICA_INF_B[[#This Row],[Lanzam.]],0)</f>
        <v>0</v>
      </c>
    </row>
    <row r="4" spans="1:23">
      <c r="A4" s="44" t="s">
        <v>18</v>
      </c>
      <c r="B4" s="45"/>
      <c r="C4" s="45"/>
      <c r="D4" s="45"/>
      <c r="E4" s="39" t="str">
        <f>IF(BD_ESTADISTICA_INF_B[[#This Row],[Lanzam.]]="","",IF(BD_ESTADISTICA_INF_B[[#This Row],[POSICION]]="jugador",B4/D4,C4/D4))</f>
        <v/>
      </c>
      <c r="F4" s="45"/>
      <c r="G4" s="45"/>
      <c r="H4" s="45"/>
      <c r="I4" s="45"/>
      <c r="J4" s="45"/>
      <c r="K4" s="45"/>
      <c r="L4" s="45"/>
      <c r="M4" s="45"/>
      <c r="N4" s="45"/>
      <c r="O4" s="46">
        <v>1</v>
      </c>
      <c r="P4" s="47" t="s">
        <v>120</v>
      </c>
      <c r="Q4" s="48" t="s">
        <v>79</v>
      </c>
      <c r="R4" s="40" t="s">
        <v>121</v>
      </c>
      <c r="S4" s="49" t="str">
        <f>IF(OR(BD_ESTADISTICA_INF_B[[#This Row],[Jugador]]="eudald",BD_ESTADISTICA_INF_B[[#This Row],[Jugador]]="jules",BD_ESTADISTICA_INF_B[[#This Row],[Jugador]]="JAN"),"PORTERO","JUGADOR")</f>
        <v>JUGADOR</v>
      </c>
      <c r="T4" s="49">
        <f>IF(BD_ESTADISTICA_INF_B[[#This Row],[POSICION]]="jugador",BD_ESTADISTICA_INF_B[[#This Row],[Goles]],0)</f>
        <v>0</v>
      </c>
      <c r="U4" s="49">
        <f>IF(BD_ESTADISTICA_INF_B[[#This Row],[POSICION]]="portero",BD_ESTADISTICA_INF_B[[#This Row],[Lanzam.]]-BD_ESTADISTICA_INF_B[[#This Row],[Paradas]],0)</f>
        <v>0</v>
      </c>
      <c r="V4" s="49">
        <f>IF(BD_ESTADISTICA_INF_B[[#This Row],[POSICION]]="jugador",BD_ESTADISTICA_INF_B[[#This Row],[Lanzam.]],0)</f>
        <v>0</v>
      </c>
      <c r="W4" s="49">
        <f>IF(BD_ESTADISTICA_INF_B[[#This Row],[POSICION]]="portero",BD_ESTADISTICA_INF_B[[#This Row],[Lanzam.]],0)</f>
        <v>0</v>
      </c>
    </row>
    <row r="5" spans="1:23">
      <c r="A5" s="44" t="s">
        <v>19</v>
      </c>
      <c r="B5" s="45"/>
      <c r="C5" s="45"/>
      <c r="D5" s="45"/>
      <c r="E5" s="39" t="str">
        <f>IF(BD_ESTADISTICA_INF_B[[#This Row],[Lanzam.]]="","",IF(BD_ESTADISTICA_INF_B[[#This Row],[POSICION]]="jugador",B5/D5,C5/D5))</f>
        <v/>
      </c>
      <c r="F5" s="45"/>
      <c r="G5" s="45"/>
      <c r="H5" s="45"/>
      <c r="I5" s="45"/>
      <c r="J5" s="45"/>
      <c r="K5" s="45"/>
      <c r="L5" s="45"/>
      <c r="M5" s="45"/>
      <c r="N5" s="45"/>
      <c r="O5" s="46">
        <v>1</v>
      </c>
      <c r="P5" s="47" t="s">
        <v>120</v>
      </c>
      <c r="Q5" s="48" t="s">
        <v>79</v>
      </c>
      <c r="R5" s="40" t="s">
        <v>121</v>
      </c>
      <c r="S5" s="49" t="str">
        <f>IF(OR(BD_ESTADISTICA_INF_B[[#This Row],[Jugador]]="eudald",BD_ESTADISTICA_INF_B[[#This Row],[Jugador]]="jules",BD_ESTADISTICA_INF_B[[#This Row],[Jugador]]="JAN"),"PORTERO","JUGADOR")</f>
        <v>JUGADOR</v>
      </c>
      <c r="T5" s="49">
        <f>IF(BD_ESTADISTICA_INF_B[[#This Row],[POSICION]]="jugador",BD_ESTADISTICA_INF_B[[#This Row],[Goles]],0)</f>
        <v>0</v>
      </c>
      <c r="U5" s="49">
        <f>IF(BD_ESTADISTICA_INF_B[[#This Row],[POSICION]]="portero",BD_ESTADISTICA_INF_B[[#This Row],[Lanzam.]]-BD_ESTADISTICA_INF_B[[#This Row],[Paradas]],0)</f>
        <v>0</v>
      </c>
      <c r="V5" s="49">
        <f>IF(BD_ESTADISTICA_INF_B[[#This Row],[POSICION]]="jugador",BD_ESTADISTICA_INF_B[[#This Row],[Lanzam.]],0)</f>
        <v>0</v>
      </c>
      <c r="W5" s="49">
        <f>IF(BD_ESTADISTICA_INF_B[[#This Row],[POSICION]]="portero",BD_ESTADISTICA_INF_B[[#This Row],[Lanzam.]],0)</f>
        <v>0</v>
      </c>
    </row>
    <row r="6" spans="1:23">
      <c r="A6" s="44" t="s">
        <v>20</v>
      </c>
      <c r="B6" s="45"/>
      <c r="C6" s="45"/>
      <c r="D6" s="45"/>
      <c r="E6" s="39" t="str">
        <f>IF(BD_ESTADISTICA_INF_B[[#This Row],[Lanzam.]]="","",IF(BD_ESTADISTICA_INF_B[[#This Row],[POSICION]]="jugador",B6/D6,C6/D6))</f>
        <v/>
      </c>
      <c r="F6" s="45"/>
      <c r="G6" s="45"/>
      <c r="H6" s="45"/>
      <c r="I6" s="45"/>
      <c r="J6" s="45"/>
      <c r="K6" s="45"/>
      <c r="L6" s="45"/>
      <c r="M6" s="45"/>
      <c r="N6" s="45"/>
      <c r="O6" s="46">
        <v>1</v>
      </c>
      <c r="P6" s="47" t="s">
        <v>120</v>
      </c>
      <c r="Q6" s="48" t="s">
        <v>79</v>
      </c>
      <c r="R6" s="40" t="s">
        <v>121</v>
      </c>
      <c r="S6" s="49" t="str">
        <f>IF(OR(BD_ESTADISTICA_INF_B[[#This Row],[Jugador]]="eudald",BD_ESTADISTICA_INF_B[[#This Row],[Jugador]]="jules",BD_ESTADISTICA_INF_B[[#This Row],[Jugador]]="JAN"),"PORTERO","JUGADOR")</f>
        <v>JUGADOR</v>
      </c>
      <c r="T6" s="49">
        <f>IF(BD_ESTADISTICA_INF_B[[#This Row],[POSICION]]="jugador",BD_ESTADISTICA_INF_B[[#This Row],[Goles]],0)</f>
        <v>0</v>
      </c>
      <c r="U6" s="49">
        <f>IF(BD_ESTADISTICA_INF_B[[#This Row],[POSICION]]="portero",BD_ESTADISTICA_INF_B[[#This Row],[Lanzam.]]-BD_ESTADISTICA_INF_B[[#This Row],[Paradas]],0)</f>
        <v>0</v>
      </c>
      <c r="V6" s="49">
        <f>IF(BD_ESTADISTICA_INF_B[[#This Row],[POSICION]]="jugador",BD_ESTADISTICA_INF_B[[#This Row],[Lanzam.]],0)</f>
        <v>0</v>
      </c>
      <c r="W6" s="49">
        <f>IF(BD_ESTADISTICA_INF_B[[#This Row],[POSICION]]="portero",BD_ESTADISTICA_INF_B[[#This Row],[Lanzam.]],0)</f>
        <v>0</v>
      </c>
    </row>
    <row r="7" spans="1:23">
      <c r="A7" s="44" t="s">
        <v>21</v>
      </c>
      <c r="B7" s="45"/>
      <c r="C7" s="45"/>
      <c r="D7" s="45"/>
      <c r="E7" s="39" t="str">
        <f>IF(BD_ESTADISTICA_INF_B[[#This Row],[Lanzam.]]="","",IF(BD_ESTADISTICA_INF_B[[#This Row],[POSICION]]="jugador",B7/D7,C7/D7))</f>
        <v/>
      </c>
      <c r="F7" s="45"/>
      <c r="G7" s="45"/>
      <c r="H7" s="45"/>
      <c r="I7" s="45"/>
      <c r="J7" s="45"/>
      <c r="K7" s="45"/>
      <c r="L7" s="45"/>
      <c r="M7" s="45"/>
      <c r="N7" s="45"/>
      <c r="O7" s="46">
        <v>1</v>
      </c>
      <c r="P7" s="47" t="s">
        <v>120</v>
      </c>
      <c r="Q7" s="48" t="s">
        <v>79</v>
      </c>
      <c r="R7" s="40" t="s">
        <v>121</v>
      </c>
      <c r="S7" s="49" t="str">
        <f>IF(OR(BD_ESTADISTICA_INF_B[[#This Row],[Jugador]]="eudald",BD_ESTADISTICA_INF_B[[#This Row],[Jugador]]="jules",BD_ESTADISTICA_INF_B[[#This Row],[Jugador]]="JAN"),"PORTERO","JUGADOR")</f>
        <v>JUGADOR</v>
      </c>
      <c r="T7" s="49">
        <f>IF(BD_ESTADISTICA_INF_B[[#This Row],[POSICION]]="jugador",BD_ESTADISTICA_INF_B[[#This Row],[Goles]],0)</f>
        <v>0</v>
      </c>
      <c r="U7" s="49">
        <f>IF(BD_ESTADISTICA_INF_B[[#This Row],[POSICION]]="portero",BD_ESTADISTICA_INF_B[[#This Row],[Lanzam.]]-BD_ESTADISTICA_INF_B[[#This Row],[Paradas]],0)</f>
        <v>0</v>
      </c>
      <c r="V7" s="49">
        <f>IF(BD_ESTADISTICA_INF_B[[#This Row],[POSICION]]="jugador",BD_ESTADISTICA_INF_B[[#This Row],[Lanzam.]],0)</f>
        <v>0</v>
      </c>
      <c r="W7" s="49">
        <f>IF(BD_ESTADISTICA_INF_B[[#This Row],[POSICION]]="portero",BD_ESTADISTICA_INF_B[[#This Row],[Lanzam.]],0)</f>
        <v>0</v>
      </c>
    </row>
    <row r="8" spans="1:23">
      <c r="A8" s="44" t="s">
        <v>40</v>
      </c>
      <c r="B8" s="45"/>
      <c r="C8" s="45"/>
      <c r="D8" s="45"/>
      <c r="E8" s="39" t="str">
        <f>IF(BD_ESTADISTICA_INF_B[[#This Row],[Lanzam.]]="","",IF(BD_ESTADISTICA_INF_B[[#This Row],[POSICION]]="jugador",B8/D8,C8/D8))</f>
        <v/>
      </c>
      <c r="F8" s="45"/>
      <c r="G8" s="45"/>
      <c r="H8" s="45"/>
      <c r="I8" s="45"/>
      <c r="J8" s="45"/>
      <c r="K8" s="45"/>
      <c r="L8" s="45"/>
      <c r="M8" s="45"/>
      <c r="N8" s="45"/>
      <c r="O8" s="46">
        <v>1</v>
      </c>
      <c r="P8" s="47" t="s">
        <v>120</v>
      </c>
      <c r="Q8" s="48" t="s">
        <v>79</v>
      </c>
      <c r="R8" s="40" t="s">
        <v>121</v>
      </c>
      <c r="S8" s="49" t="str">
        <f>IF(OR(BD_ESTADISTICA_INF_B[[#This Row],[Jugador]]="eudald",BD_ESTADISTICA_INF_B[[#This Row],[Jugador]]="jules",BD_ESTADISTICA_INF_B[[#This Row],[Jugador]]="JAN"),"PORTERO","JUGADOR")</f>
        <v>JUGADOR</v>
      </c>
      <c r="T8" s="49">
        <f>IF(BD_ESTADISTICA_INF_B[[#This Row],[POSICION]]="jugador",BD_ESTADISTICA_INF_B[[#This Row],[Goles]],0)</f>
        <v>0</v>
      </c>
      <c r="U8" s="49">
        <f>IF(BD_ESTADISTICA_INF_B[[#This Row],[POSICION]]="portero",BD_ESTADISTICA_INF_B[[#This Row],[Lanzam.]]-BD_ESTADISTICA_INF_B[[#This Row],[Paradas]],0)</f>
        <v>0</v>
      </c>
      <c r="V8" s="49">
        <f>IF(BD_ESTADISTICA_INF_B[[#This Row],[POSICION]]="jugador",BD_ESTADISTICA_INF_B[[#This Row],[Lanzam.]],0)</f>
        <v>0</v>
      </c>
      <c r="W8" s="49">
        <f>IF(BD_ESTADISTICA_INF_B[[#This Row],[POSICION]]="portero",BD_ESTADISTICA_INF_B[[#This Row],[Lanzam.]],0)</f>
        <v>0</v>
      </c>
    </row>
    <row r="9" spans="1:23">
      <c r="A9" s="44" t="s">
        <v>41</v>
      </c>
      <c r="B9" s="45"/>
      <c r="C9" s="45"/>
      <c r="D9" s="45"/>
      <c r="E9" s="39" t="str">
        <f>IF(BD_ESTADISTICA_INF_B[[#This Row],[Lanzam.]]="","",IF(BD_ESTADISTICA_INF_B[[#This Row],[POSICION]]="jugador",B9/D9,C9/D9))</f>
        <v/>
      </c>
      <c r="F9" s="45"/>
      <c r="G9" s="45"/>
      <c r="H9" s="45"/>
      <c r="I9" s="45"/>
      <c r="J9" s="45"/>
      <c r="K9" s="45"/>
      <c r="L9" s="45"/>
      <c r="M9" s="45"/>
      <c r="N9" s="45"/>
      <c r="O9" s="46">
        <v>1</v>
      </c>
      <c r="P9" s="47" t="s">
        <v>120</v>
      </c>
      <c r="Q9" s="48" t="s">
        <v>79</v>
      </c>
      <c r="R9" s="40" t="s">
        <v>121</v>
      </c>
      <c r="S9" s="49" t="str">
        <f>IF(OR(BD_ESTADISTICA_INF_B[[#This Row],[Jugador]]="eudald",BD_ESTADISTICA_INF_B[[#This Row],[Jugador]]="jules",BD_ESTADISTICA_INF_B[[#This Row],[Jugador]]="JAN"),"PORTERO","JUGADOR")</f>
        <v>JUGADOR</v>
      </c>
      <c r="T9" s="49">
        <f>IF(BD_ESTADISTICA_INF_B[[#This Row],[POSICION]]="jugador",BD_ESTADISTICA_INF_B[[#This Row],[Goles]],0)</f>
        <v>0</v>
      </c>
      <c r="U9" s="49">
        <f>IF(BD_ESTADISTICA_INF_B[[#This Row],[POSICION]]="portero",BD_ESTADISTICA_INF_B[[#This Row],[Lanzam.]]-BD_ESTADISTICA_INF_B[[#This Row],[Paradas]],0)</f>
        <v>0</v>
      </c>
      <c r="V9" s="49">
        <f>IF(BD_ESTADISTICA_INF_B[[#This Row],[POSICION]]="jugador",BD_ESTADISTICA_INF_B[[#This Row],[Lanzam.]],0)</f>
        <v>0</v>
      </c>
      <c r="W9" s="49">
        <f>IF(BD_ESTADISTICA_INF_B[[#This Row],[POSICION]]="portero",BD_ESTADISTICA_INF_B[[#This Row],[Lanzam.]],0)</f>
        <v>0</v>
      </c>
    </row>
    <row r="10" spans="1:23">
      <c r="A10" s="44" t="s">
        <v>23</v>
      </c>
      <c r="B10" s="45"/>
      <c r="C10" s="45"/>
      <c r="D10" s="45"/>
      <c r="E10" s="39" t="str">
        <f>IF(BD_ESTADISTICA_INF_B[[#This Row],[Lanzam.]]="","",IF(BD_ESTADISTICA_INF_B[[#This Row],[POSICION]]="jugador",B10/D10,C10/D10))</f>
        <v/>
      </c>
      <c r="F10" s="45"/>
      <c r="G10" s="45"/>
      <c r="H10" s="45"/>
      <c r="I10" s="45"/>
      <c r="J10" s="45"/>
      <c r="K10" s="45"/>
      <c r="L10" s="45"/>
      <c r="M10" s="45"/>
      <c r="N10" s="45"/>
      <c r="O10" s="46">
        <v>1</v>
      </c>
      <c r="P10" s="47" t="s">
        <v>120</v>
      </c>
      <c r="Q10" s="48" t="s">
        <v>79</v>
      </c>
      <c r="R10" s="40" t="s">
        <v>121</v>
      </c>
      <c r="S10" s="49" t="str">
        <f>IF(OR(BD_ESTADISTICA_INF_B[[#This Row],[Jugador]]="eudald",BD_ESTADISTICA_INF_B[[#This Row],[Jugador]]="jules",BD_ESTADISTICA_INF_B[[#This Row],[Jugador]]="JAN"),"PORTERO","JUGADOR")</f>
        <v>JUGADOR</v>
      </c>
      <c r="T10" s="49">
        <f>IF(BD_ESTADISTICA_INF_B[[#This Row],[POSICION]]="jugador",BD_ESTADISTICA_INF_B[[#This Row],[Goles]],0)</f>
        <v>0</v>
      </c>
      <c r="U10" s="49">
        <f>IF(BD_ESTADISTICA_INF_B[[#This Row],[POSICION]]="portero",BD_ESTADISTICA_INF_B[[#This Row],[Lanzam.]]-BD_ESTADISTICA_INF_B[[#This Row],[Paradas]],0)</f>
        <v>0</v>
      </c>
      <c r="V10" s="49">
        <f>IF(BD_ESTADISTICA_INF_B[[#This Row],[POSICION]]="jugador",BD_ESTADISTICA_INF_B[[#This Row],[Lanzam.]],0)</f>
        <v>0</v>
      </c>
      <c r="W10" s="49">
        <f>IF(BD_ESTADISTICA_INF_B[[#This Row],[POSICION]]="portero",BD_ESTADISTICA_INF_B[[#This Row],[Lanzam.]],0)</f>
        <v>0</v>
      </c>
    </row>
    <row r="11" spans="1:23">
      <c r="A11" s="44" t="s">
        <v>24</v>
      </c>
      <c r="B11" s="45"/>
      <c r="C11" s="45"/>
      <c r="D11" s="45"/>
      <c r="E11" s="39" t="str">
        <f>IF(BD_ESTADISTICA_INF_B[[#This Row],[Lanzam.]]="","",IF(BD_ESTADISTICA_INF_B[[#This Row],[POSICION]]="jugador",B11/D11,C11/D11))</f>
        <v/>
      </c>
      <c r="F11" s="45"/>
      <c r="G11" s="45"/>
      <c r="H11" s="45"/>
      <c r="I11" s="45"/>
      <c r="J11" s="45"/>
      <c r="K11" s="45"/>
      <c r="L11" s="45"/>
      <c r="M11" s="45"/>
      <c r="N11" s="45"/>
      <c r="O11" s="46">
        <v>1</v>
      </c>
      <c r="P11" s="47" t="s">
        <v>120</v>
      </c>
      <c r="Q11" s="48" t="s">
        <v>79</v>
      </c>
      <c r="R11" s="40" t="s">
        <v>121</v>
      </c>
      <c r="S11" s="49" t="str">
        <f>IF(OR(BD_ESTADISTICA_INF_B[[#This Row],[Jugador]]="eudald",BD_ESTADISTICA_INF_B[[#This Row],[Jugador]]="jules",BD_ESTADISTICA_INF_B[[#This Row],[Jugador]]="JAN"),"PORTERO","JUGADOR")</f>
        <v>JUGADOR</v>
      </c>
      <c r="T11" s="49">
        <f>IF(BD_ESTADISTICA_INF_B[[#This Row],[POSICION]]="jugador",BD_ESTADISTICA_INF_B[[#This Row],[Goles]],0)</f>
        <v>0</v>
      </c>
      <c r="U11" s="49">
        <f>IF(BD_ESTADISTICA_INF_B[[#This Row],[POSICION]]="portero",BD_ESTADISTICA_INF_B[[#This Row],[Lanzam.]]-BD_ESTADISTICA_INF_B[[#This Row],[Paradas]],0)</f>
        <v>0</v>
      </c>
      <c r="V11" s="49">
        <f>IF(BD_ESTADISTICA_INF_B[[#This Row],[POSICION]]="jugador",BD_ESTADISTICA_INF_B[[#This Row],[Lanzam.]],0)</f>
        <v>0</v>
      </c>
      <c r="W11" s="49">
        <f>IF(BD_ESTADISTICA_INF_B[[#This Row],[POSICION]]="portero",BD_ESTADISTICA_INF_B[[#This Row],[Lanzam.]],0)</f>
        <v>0</v>
      </c>
    </row>
    <row r="12" spans="1:23">
      <c r="A12" s="44" t="s">
        <v>25</v>
      </c>
      <c r="B12" s="45"/>
      <c r="C12" s="45"/>
      <c r="D12" s="45"/>
      <c r="E12" s="39" t="str">
        <f>IF(BD_ESTADISTICA_INF_B[[#This Row],[Lanzam.]]="","",IF(BD_ESTADISTICA_INF_B[[#This Row],[POSICION]]="jugador",B12/D12,C12/D12))</f>
        <v/>
      </c>
      <c r="F12" s="45"/>
      <c r="G12" s="45"/>
      <c r="H12" s="45"/>
      <c r="I12" s="45"/>
      <c r="J12" s="45"/>
      <c r="K12" s="45"/>
      <c r="L12" s="45"/>
      <c r="M12" s="45"/>
      <c r="N12" s="45"/>
      <c r="O12" s="46">
        <v>1</v>
      </c>
      <c r="P12" s="47" t="s">
        <v>120</v>
      </c>
      <c r="Q12" s="48" t="s">
        <v>79</v>
      </c>
      <c r="R12" s="40" t="s">
        <v>121</v>
      </c>
      <c r="S12" s="49" t="str">
        <f>IF(OR(BD_ESTADISTICA_INF_B[[#This Row],[Jugador]]="eudald",BD_ESTADISTICA_INF_B[[#This Row],[Jugador]]="jules",BD_ESTADISTICA_INF_B[[#This Row],[Jugador]]="JAN"),"PORTERO","JUGADOR")</f>
        <v>JUGADOR</v>
      </c>
      <c r="T12" s="49">
        <f>IF(BD_ESTADISTICA_INF_B[[#This Row],[POSICION]]="jugador",BD_ESTADISTICA_INF_B[[#This Row],[Goles]],0)</f>
        <v>0</v>
      </c>
      <c r="U12" s="49">
        <f>IF(BD_ESTADISTICA_INF_B[[#This Row],[POSICION]]="portero",BD_ESTADISTICA_INF_B[[#This Row],[Lanzam.]]-BD_ESTADISTICA_INF_B[[#This Row],[Paradas]],0)</f>
        <v>0</v>
      </c>
      <c r="V12" s="49">
        <f>IF(BD_ESTADISTICA_INF_B[[#This Row],[POSICION]]="jugador",BD_ESTADISTICA_INF_B[[#This Row],[Lanzam.]],0)</f>
        <v>0</v>
      </c>
      <c r="W12" s="49">
        <f>IF(BD_ESTADISTICA_INF_B[[#This Row],[POSICION]]="portero",BD_ESTADISTICA_INF_B[[#This Row],[Lanzam.]],0)</f>
        <v>0</v>
      </c>
    </row>
    <row r="13" spans="1:23">
      <c r="A13" s="44" t="s">
        <v>26</v>
      </c>
      <c r="B13" s="45"/>
      <c r="C13" s="45"/>
      <c r="D13" s="45"/>
      <c r="E13" s="39" t="str">
        <f>IF(BD_ESTADISTICA_INF_B[[#This Row],[Lanzam.]]="","",IF(BD_ESTADISTICA_INF_B[[#This Row],[POSICION]]="jugador",B13/D13,C13/D13))</f>
        <v/>
      </c>
      <c r="F13" s="45"/>
      <c r="G13" s="45"/>
      <c r="H13" s="45"/>
      <c r="I13" s="45"/>
      <c r="J13" s="45"/>
      <c r="K13" s="45"/>
      <c r="L13" s="45"/>
      <c r="M13" s="45"/>
      <c r="N13" s="45"/>
      <c r="O13" s="46">
        <v>1</v>
      </c>
      <c r="P13" s="47" t="s">
        <v>120</v>
      </c>
      <c r="Q13" s="48" t="s">
        <v>79</v>
      </c>
      <c r="R13" s="40" t="s">
        <v>121</v>
      </c>
      <c r="S13" s="49" t="str">
        <f>IF(OR(BD_ESTADISTICA_INF_B[[#This Row],[Jugador]]="eudald",BD_ESTADISTICA_INF_B[[#This Row],[Jugador]]="jules",BD_ESTADISTICA_INF_B[[#This Row],[Jugador]]="JAN"),"PORTERO","JUGADOR")</f>
        <v>JUGADOR</v>
      </c>
      <c r="T13" s="49">
        <f>IF(BD_ESTADISTICA_INF_B[[#This Row],[POSICION]]="jugador",BD_ESTADISTICA_INF_B[[#This Row],[Goles]],0)</f>
        <v>0</v>
      </c>
      <c r="U13" s="49">
        <f>IF(BD_ESTADISTICA_INF_B[[#This Row],[POSICION]]="portero",BD_ESTADISTICA_INF_B[[#This Row],[Lanzam.]]-BD_ESTADISTICA_INF_B[[#This Row],[Paradas]],0)</f>
        <v>0</v>
      </c>
      <c r="V13" s="49">
        <f>IF(BD_ESTADISTICA_INF_B[[#This Row],[POSICION]]="jugador",BD_ESTADISTICA_INF_B[[#This Row],[Lanzam.]],0)</f>
        <v>0</v>
      </c>
      <c r="W13" s="49">
        <f>IF(BD_ESTADISTICA_INF_B[[#This Row],[POSICION]]="portero",BD_ESTADISTICA_INF_B[[#This Row],[Lanzam.]],0)</f>
        <v>0</v>
      </c>
    </row>
    <row r="14" spans="1:23">
      <c r="A14" s="44" t="s">
        <v>27</v>
      </c>
      <c r="B14" s="45"/>
      <c r="C14" s="45"/>
      <c r="D14" s="45"/>
      <c r="E14" s="39" t="str">
        <f>IF(BD_ESTADISTICA_INF_B[[#This Row],[Lanzam.]]="","",IF(BD_ESTADISTICA_INF_B[[#This Row],[POSICION]]="jugador",B14/D14,C14/D14))</f>
        <v/>
      </c>
      <c r="F14" s="45"/>
      <c r="G14" s="45"/>
      <c r="H14" s="45"/>
      <c r="I14" s="45"/>
      <c r="J14" s="45"/>
      <c r="K14" s="45"/>
      <c r="L14" s="45"/>
      <c r="M14" s="45"/>
      <c r="N14" s="45"/>
      <c r="O14" s="46">
        <v>1</v>
      </c>
      <c r="P14" s="47" t="s">
        <v>120</v>
      </c>
      <c r="Q14" s="48" t="s">
        <v>79</v>
      </c>
      <c r="R14" s="40" t="s">
        <v>121</v>
      </c>
      <c r="S14" s="49" t="str">
        <f>IF(OR(BD_ESTADISTICA_INF_B[[#This Row],[Jugador]]="eudald",BD_ESTADISTICA_INF_B[[#This Row],[Jugador]]="jules",BD_ESTADISTICA_INF_B[[#This Row],[Jugador]]="JAN"),"PORTERO","JUGADOR")</f>
        <v>JUGADOR</v>
      </c>
      <c r="T14" s="49">
        <f>IF(BD_ESTADISTICA_INF_B[[#This Row],[POSICION]]="jugador",BD_ESTADISTICA_INF_B[[#This Row],[Goles]],0)</f>
        <v>0</v>
      </c>
      <c r="U14" s="49">
        <f>IF(BD_ESTADISTICA_INF_B[[#This Row],[POSICION]]="portero",BD_ESTADISTICA_INF_B[[#This Row],[Lanzam.]]-BD_ESTADISTICA_INF_B[[#This Row],[Paradas]],0)</f>
        <v>0</v>
      </c>
      <c r="V14" s="49">
        <f>IF(BD_ESTADISTICA_INF_B[[#This Row],[POSICION]]="jugador",BD_ESTADISTICA_INF_B[[#This Row],[Lanzam.]],0)</f>
        <v>0</v>
      </c>
      <c r="W14" s="49">
        <f>IF(BD_ESTADISTICA_INF_B[[#This Row],[POSICION]]="portero",BD_ESTADISTICA_INF_B[[#This Row],[Lanzam.]],0)</f>
        <v>0</v>
      </c>
    </row>
    <row r="15" spans="1:23">
      <c r="A15" s="44" t="s">
        <v>28</v>
      </c>
      <c r="B15" s="45"/>
      <c r="C15" s="45"/>
      <c r="D15" s="45"/>
      <c r="E15" s="39" t="str">
        <f>IF(BD_ESTADISTICA_INF_B[[#This Row],[Lanzam.]]="","",IF(BD_ESTADISTICA_INF_B[[#This Row],[POSICION]]="jugador",B15/D15,C15/D15))</f>
        <v/>
      </c>
      <c r="F15" s="45"/>
      <c r="G15" s="45"/>
      <c r="H15" s="45"/>
      <c r="I15" s="45"/>
      <c r="J15" s="45"/>
      <c r="K15" s="45"/>
      <c r="L15" s="45"/>
      <c r="M15" s="45"/>
      <c r="N15" s="45"/>
      <c r="O15" s="46">
        <v>1</v>
      </c>
      <c r="P15" s="47" t="s">
        <v>120</v>
      </c>
      <c r="Q15" s="48" t="s">
        <v>79</v>
      </c>
      <c r="R15" s="40" t="s">
        <v>121</v>
      </c>
      <c r="S15" s="49" t="str">
        <f>IF(OR(BD_ESTADISTICA_INF_B[[#This Row],[Jugador]]="eudald",BD_ESTADISTICA_INF_B[[#This Row],[Jugador]]="jules",BD_ESTADISTICA_INF_B[[#This Row],[Jugador]]="JAN"),"PORTERO","JUGADOR")</f>
        <v>JUGADOR</v>
      </c>
      <c r="T15" s="49">
        <f>IF(BD_ESTADISTICA_INF_B[[#This Row],[POSICION]]="jugador",BD_ESTADISTICA_INF_B[[#This Row],[Goles]],0)</f>
        <v>0</v>
      </c>
      <c r="U15" s="49">
        <f>IF(BD_ESTADISTICA_INF_B[[#This Row],[POSICION]]="portero",BD_ESTADISTICA_INF_B[[#This Row],[Lanzam.]]-BD_ESTADISTICA_INF_B[[#This Row],[Paradas]],0)</f>
        <v>0</v>
      </c>
      <c r="V15" s="49">
        <f>IF(BD_ESTADISTICA_INF_B[[#This Row],[POSICION]]="jugador",BD_ESTADISTICA_INF_B[[#This Row],[Lanzam.]],0)</f>
        <v>0</v>
      </c>
      <c r="W15" s="49">
        <f>IF(BD_ESTADISTICA_INF_B[[#This Row],[POSICION]]="portero",BD_ESTADISTICA_INF_B[[#This Row],[Lanzam.]],0)</f>
        <v>0</v>
      </c>
    </row>
    <row r="16" spans="1:23">
      <c r="A16" s="44" t="s">
        <v>31</v>
      </c>
      <c r="B16" s="45"/>
      <c r="C16" s="45"/>
      <c r="D16" s="45"/>
      <c r="E16" s="39" t="str">
        <f>IF(BD_ESTADISTICA_INF_B[[#This Row],[Lanzam.]]="","",IF(BD_ESTADISTICA_INF_B[[#This Row],[POSICION]]="jugador",B16/D16,C16/D16))</f>
        <v/>
      </c>
      <c r="F16" s="45"/>
      <c r="G16" s="45"/>
      <c r="H16" s="45"/>
      <c r="I16" s="45"/>
      <c r="J16" s="45"/>
      <c r="K16" s="45"/>
      <c r="L16" s="45"/>
      <c r="M16" s="45"/>
      <c r="N16" s="45"/>
      <c r="O16" s="46">
        <v>1</v>
      </c>
      <c r="P16" s="47" t="s">
        <v>120</v>
      </c>
      <c r="Q16" s="48" t="s">
        <v>79</v>
      </c>
      <c r="R16" s="40" t="s">
        <v>121</v>
      </c>
      <c r="S16" s="49" t="str">
        <f>IF(OR(BD_ESTADISTICA_INF_B[[#This Row],[Jugador]]="eudald",BD_ESTADISTICA_INF_B[[#This Row],[Jugador]]="jules",BD_ESTADISTICA_INF_B[[#This Row],[Jugador]]="JAN"),"PORTERO","JUGADOR")</f>
        <v>PORTERO</v>
      </c>
      <c r="T16" s="49">
        <f>IF(BD_ESTADISTICA_INF_B[[#This Row],[POSICION]]="jugador",BD_ESTADISTICA_INF_B[[#This Row],[Goles]],0)</f>
        <v>0</v>
      </c>
      <c r="U16" s="49">
        <f>IF(BD_ESTADISTICA_INF_B[[#This Row],[POSICION]]="portero",BD_ESTADISTICA_INF_B[[#This Row],[Lanzam.]]-BD_ESTADISTICA_INF_B[[#This Row],[Paradas]],0)</f>
        <v>0</v>
      </c>
      <c r="V16" s="49">
        <f>IF(BD_ESTADISTICA_INF_B[[#This Row],[POSICION]]="jugador",BD_ESTADISTICA_INF_B[[#This Row],[Lanzam.]],0)</f>
        <v>0</v>
      </c>
      <c r="W16" s="49">
        <f>IF(BD_ESTADISTICA_INF_B[[#This Row],[POSICION]]="portero",BD_ESTADISTICA_INF_B[[#This Row],[Lanzam.]],0)</f>
        <v>0</v>
      </c>
    </row>
    <row r="17" spans="1:23">
      <c r="A17" s="44" t="s">
        <v>29</v>
      </c>
      <c r="B17" s="45"/>
      <c r="C17" s="45"/>
      <c r="D17" s="45"/>
      <c r="E17" s="39" t="str">
        <f>IF(BD_ESTADISTICA_INF_B[[#This Row],[Lanzam.]]="","",IF(BD_ESTADISTICA_INF_B[[#This Row],[POSICION]]="jugador",B17/D17,C17/D17))</f>
        <v/>
      </c>
      <c r="F17" s="45"/>
      <c r="G17" s="45"/>
      <c r="H17" s="45"/>
      <c r="I17" s="45"/>
      <c r="J17" s="45"/>
      <c r="K17" s="45"/>
      <c r="L17" s="45"/>
      <c r="M17" s="45"/>
      <c r="N17" s="45"/>
      <c r="O17" s="46">
        <v>1</v>
      </c>
      <c r="P17" s="47" t="s">
        <v>120</v>
      </c>
      <c r="Q17" s="48" t="s">
        <v>79</v>
      </c>
      <c r="R17" s="40" t="s">
        <v>121</v>
      </c>
      <c r="S17" s="49" t="str">
        <f>IF(OR(BD_ESTADISTICA_INF_B[[#This Row],[Jugador]]="eudald",BD_ESTADISTICA_INF_B[[#This Row],[Jugador]]="jules",BD_ESTADISTICA_INF_B[[#This Row],[Jugador]]="JAN"),"PORTERO","JUGADOR")</f>
        <v>PORTERO</v>
      </c>
      <c r="T17" s="49">
        <f>IF(BD_ESTADISTICA_INF_B[[#This Row],[POSICION]]="jugador",BD_ESTADISTICA_INF_B[[#This Row],[Goles]],0)</f>
        <v>0</v>
      </c>
      <c r="U17" s="49">
        <f>IF(BD_ESTADISTICA_INF_B[[#This Row],[POSICION]]="portero",BD_ESTADISTICA_INF_B[[#This Row],[Lanzam.]]-BD_ESTADISTICA_INF_B[[#This Row],[Paradas]],0)</f>
        <v>0</v>
      </c>
      <c r="V17" s="49">
        <f>IF(BD_ESTADISTICA_INF_B[[#This Row],[POSICION]]="jugador",BD_ESTADISTICA_INF_B[[#This Row],[Lanzam.]],0)</f>
        <v>0</v>
      </c>
      <c r="W17" s="49">
        <f>IF(BD_ESTADISTICA_INF_B[[#This Row],[POSICION]]="portero",BD_ESTADISTICA_INF_B[[#This Row],[Lanzam.]],0)</f>
        <v>0</v>
      </c>
    </row>
    <row r="18" spans="1:23">
      <c r="A18" s="44" t="s">
        <v>30</v>
      </c>
      <c r="B18" s="45"/>
      <c r="C18" s="45"/>
      <c r="D18" s="45"/>
      <c r="E18" s="39" t="str">
        <f>IF(BD_ESTADISTICA_INF_B[[#This Row],[Lanzam.]]="","",IF(BD_ESTADISTICA_INF_B[[#This Row],[POSICION]]="jugador",B18/D18,C18/D18))</f>
        <v/>
      </c>
      <c r="F18" s="45"/>
      <c r="G18" s="45"/>
      <c r="H18" s="45"/>
      <c r="I18" s="45"/>
      <c r="J18" s="45"/>
      <c r="K18" s="45"/>
      <c r="L18" s="45"/>
      <c r="M18" s="45"/>
      <c r="N18" s="45"/>
      <c r="O18" s="46">
        <v>1</v>
      </c>
      <c r="P18" s="47" t="s">
        <v>120</v>
      </c>
      <c r="Q18" s="48" t="s">
        <v>79</v>
      </c>
      <c r="R18" s="40" t="s">
        <v>121</v>
      </c>
      <c r="S18" s="49" t="str">
        <f>IF(OR(BD_ESTADISTICA_INF_B[[#This Row],[Jugador]]="eudald",BD_ESTADISTICA_INF_B[[#This Row],[Jugador]]="jules",BD_ESTADISTICA_INF_B[[#This Row],[Jugador]]="JAN"),"PORTERO","JUGADOR")</f>
        <v>PORTERO</v>
      </c>
      <c r="T18" s="49">
        <f>IF(BD_ESTADISTICA_INF_B[[#This Row],[POSICION]]="jugador",BD_ESTADISTICA_INF_B[[#This Row],[Goles]],0)</f>
        <v>0</v>
      </c>
      <c r="U18" s="49">
        <f>IF(BD_ESTADISTICA_INF_B[[#This Row],[POSICION]]="portero",BD_ESTADISTICA_INF_B[[#This Row],[Lanzam.]]-BD_ESTADISTICA_INF_B[[#This Row],[Paradas]],0)</f>
        <v>0</v>
      </c>
      <c r="V18" s="49">
        <f>IF(BD_ESTADISTICA_INF_B[[#This Row],[POSICION]]="jugador",BD_ESTADISTICA_INF_B[[#This Row],[Lanzam.]],0)</f>
        <v>0</v>
      </c>
      <c r="W18" s="49">
        <f>IF(BD_ESTADISTICA_INF_B[[#This Row],[POSICION]]="portero",BD_ESTADISTICA_INF_B[[#This Row],[Lanzam.]],0)</f>
        <v>0</v>
      </c>
    </row>
    <row r="19" spans="1:23">
      <c r="A19" s="44" t="s">
        <v>42</v>
      </c>
      <c r="B19" s="45"/>
      <c r="C19" s="45"/>
      <c r="D19" s="45"/>
      <c r="E19" s="39" t="str">
        <f>IF(BD_ESTADISTICA_INF_B[[#This Row],[Lanzam.]]="","",IF(BD_ESTADISTICA_INF_B[[#This Row],[POSICION]]="jugador",B19/D19,C19/D19))</f>
        <v/>
      </c>
      <c r="F19" s="45"/>
      <c r="G19" s="45"/>
      <c r="H19" s="45"/>
      <c r="I19" s="45"/>
      <c r="J19" s="45"/>
      <c r="K19" s="45"/>
      <c r="L19" s="45"/>
      <c r="M19" s="45"/>
      <c r="N19" s="45"/>
      <c r="O19" s="46">
        <v>1</v>
      </c>
      <c r="P19" s="47" t="s">
        <v>120</v>
      </c>
      <c r="Q19" s="48" t="s">
        <v>79</v>
      </c>
      <c r="R19" s="40" t="s">
        <v>121</v>
      </c>
      <c r="S19" s="49" t="str">
        <f>IF(OR(BD_ESTADISTICA_INF_B[[#This Row],[Jugador]]="eudald",BD_ESTADISTICA_INF_B[[#This Row],[Jugador]]="jules",BD_ESTADISTICA_INF_B[[#This Row],[Jugador]]="JAN"),"PORTERO","JUGADOR")</f>
        <v>JUGADOR</v>
      </c>
      <c r="T19" s="49">
        <f>IF(BD_ESTADISTICA_INF_B[[#This Row],[POSICION]]="jugador",BD_ESTADISTICA_INF_B[[#This Row],[Goles]],0)</f>
        <v>0</v>
      </c>
      <c r="U19" s="49">
        <f>IF(BD_ESTADISTICA_INF_B[[#This Row],[POSICION]]="portero",BD_ESTADISTICA_INF_B[[#This Row],[Lanzam.]]-BD_ESTADISTICA_INF_B[[#This Row],[Paradas]],0)</f>
        <v>0</v>
      </c>
      <c r="V19" s="49">
        <f>IF(BD_ESTADISTICA_INF_B[[#This Row],[POSICION]]="jugador",BD_ESTADISTICA_INF_B[[#This Row],[Lanzam.]],0)</f>
        <v>0</v>
      </c>
      <c r="W19" s="49">
        <f>IF(BD_ESTADISTICA_INF_B[[#This Row],[POSICION]]="portero",BD_ESTADISTICA_INF_B[[#This Row],[Lanzam.]],0)</f>
        <v>0</v>
      </c>
    </row>
    <row r="20" spans="1:23">
      <c r="A20" s="44" t="s">
        <v>22</v>
      </c>
      <c r="B20" s="45"/>
      <c r="C20" s="45"/>
      <c r="D20" s="45"/>
      <c r="E20" s="39" t="str">
        <f>IF(BD_ESTADISTICA_INF_B[[#This Row],[Lanzam.]]="","",IF(BD_ESTADISTICA_INF_B[[#This Row],[POSICION]]="jugador",B20/D20,C20/D20))</f>
        <v/>
      </c>
      <c r="F20" s="45"/>
      <c r="G20" s="45"/>
      <c r="H20" s="45"/>
      <c r="I20" s="45"/>
      <c r="J20" s="45"/>
      <c r="K20" s="45"/>
      <c r="L20" s="45"/>
      <c r="M20" s="45"/>
      <c r="N20" s="45"/>
      <c r="O20" s="46">
        <v>1</v>
      </c>
      <c r="P20" s="47" t="s">
        <v>120</v>
      </c>
      <c r="Q20" s="48" t="s">
        <v>79</v>
      </c>
      <c r="R20" s="40" t="s">
        <v>121</v>
      </c>
      <c r="S20" s="49" t="str">
        <f>IF(OR(BD_ESTADISTICA_INF_B[[#This Row],[Jugador]]="eudald",BD_ESTADISTICA_INF_B[[#This Row],[Jugador]]="jules",BD_ESTADISTICA_INF_B[[#This Row],[Jugador]]="JAN"),"PORTERO","JUGADOR")</f>
        <v>JUGADOR</v>
      </c>
      <c r="T20" s="49">
        <f>IF(BD_ESTADISTICA_INF_B[[#This Row],[POSICION]]="jugador",BD_ESTADISTICA_INF_B[[#This Row],[Goles]],0)</f>
        <v>0</v>
      </c>
      <c r="U20" s="49">
        <f>IF(BD_ESTADISTICA_INF_B[[#This Row],[POSICION]]="portero",BD_ESTADISTICA_INF_B[[#This Row],[Lanzam.]]-BD_ESTADISTICA_INF_B[[#This Row],[Paradas]],0)</f>
        <v>0</v>
      </c>
      <c r="V20" s="49">
        <f>IF(BD_ESTADISTICA_INF_B[[#This Row],[POSICION]]="jugador",BD_ESTADISTICA_INF_B[[#This Row],[Lanzam.]],0)</f>
        <v>0</v>
      </c>
      <c r="W20" s="49">
        <f>IF(BD_ESTADISTICA_INF_B[[#This Row],[POSICION]]="portero",BD_ESTADISTICA_INF_B[[#This Row],[Lanzam.]],0)</f>
        <v>0</v>
      </c>
    </row>
    <row r="21" spans="1:23">
      <c r="A21" s="44" t="s">
        <v>16</v>
      </c>
      <c r="B21" s="45"/>
      <c r="C21" s="45"/>
      <c r="D21" s="45"/>
      <c r="E21" s="39" t="str">
        <f>IF(BD_ESTADISTICA_INF_B[[#This Row],[Lanzam.]]="","",IF(BD_ESTADISTICA_INF_B[[#This Row],[POSICION]]="jugador",B21/D21,C21/D21))</f>
        <v/>
      </c>
      <c r="F21" s="45"/>
      <c r="G21" s="45"/>
      <c r="H21" s="45"/>
      <c r="I21" s="45"/>
      <c r="J21" s="45"/>
      <c r="K21" s="45"/>
      <c r="L21" s="45"/>
      <c r="M21" s="45"/>
      <c r="N21" s="45"/>
      <c r="O21" s="46">
        <v>2</v>
      </c>
      <c r="P21" s="47" t="s">
        <v>120</v>
      </c>
      <c r="Q21" s="48" t="s">
        <v>79</v>
      </c>
      <c r="R21" s="40" t="s">
        <v>122</v>
      </c>
      <c r="S21" s="49" t="str">
        <f>IF(OR(BD_ESTADISTICA_INF_B[[#This Row],[Jugador]]="eudald",BD_ESTADISTICA_INF_B[[#This Row],[Jugador]]="jules",BD_ESTADISTICA_INF_B[[#This Row],[Jugador]]="JAN"),"PORTERO","JUGADOR")</f>
        <v>JUGADOR</v>
      </c>
      <c r="T21" s="49">
        <f>IF(BD_ESTADISTICA_INF_B[[#This Row],[POSICION]]="jugador",BD_ESTADISTICA_INF_B[[#This Row],[Goles]],0)</f>
        <v>0</v>
      </c>
      <c r="U21" s="49">
        <f>IF(BD_ESTADISTICA_INF_B[[#This Row],[POSICION]]="portero",BD_ESTADISTICA_INF_B[[#This Row],[Lanzam.]]-BD_ESTADISTICA_INF_B[[#This Row],[Paradas]],0)</f>
        <v>0</v>
      </c>
      <c r="V21" s="49">
        <f>IF(BD_ESTADISTICA_INF_B[[#This Row],[POSICION]]="jugador",BD_ESTADISTICA_INF_B[[#This Row],[Lanzam.]],0)</f>
        <v>0</v>
      </c>
      <c r="W21" s="49">
        <f>IF(BD_ESTADISTICA_INF_B[[#This Row],[POSICION]]="portero",BD_ESTADISTICA_INF_B[[#This Row],[Lanzam.]],0)</f>
        <v>0</v>
      </c>
    </row>
    <row r="22" spans="1:23">
      <c r="A22" s="44" t="s">
        <v>17</v>
      </c>
      <c r="B22" s="45"/>
      <c r="C22" s="45"/>
      <c r="D22" s="45"/>
      <c r="E22" s="39" t="str">
        <f>IF(BD_ESTADISTICA_INF_B[[#This Row],[Lanzam.]]="","",IF(BD_ESTADISTICA_INF_B[[#This Row],[POSICION]]="jugador",B22/D22,C22/D22))</f>
        <v/>
      </c>
      <c r="F22" s="45"/>
      <c r="G22" s="45"/>
      <c r="H22" s="45"/>
      <c r="I22" s="45"/>
      <c r="J22" s="45"/>
      <c r="K22" s="45"/>
      <c r="L22" s="45"/>
      <c r="M22" s="45"/>
      <c r="N22" s="45"/>
      <c r="O22" s="46">
        <v>2</v>
      </c>
      <c r="P22" s="47" t="s">
        <v>120</v>
      </c>
      <c r="Q22" s="48" t="s">
        <v>79</v>
      </c>
      <c r="R22" s="40" t="s">
        <v>122</v>
      </c>
      <c r="S22" s="49" t="str">
        <f>IF(OR(BD_ESTADISTICA_INF_B[[#This Row],[Jugador]]="eudald",BD_ESTADISTICA_INF_B[[#This Row],[Jugador]]="jules",BD_ESTADISTICA_INF_B[[#This Row],[Jugador]]="JAN"),"PORTERO","JUGADOR")</f>
        <v>JUGADOR</v>
      </c>
      <c r="T22" s="49">
        <f>IF(BD_ESTADISTICA_INF_B[[#This Row],[POSICION]]="jugador",BD_ESTADISTICA_INF_B[[#This Row],[Goles]],0)</f>
        <v>0</v>
      </c>
      <c r="U22" s="49">
        <f>IF(BD_ESTADISTICA_INF_B[[#This Row],[POSICION]]="portero",BD_ESTADISTICA_INF_B[[#This Row],[Lanzam.]]-BD_ESTADISTICA_INF_B[[#This Row],[Paradas]],0)</f>
        <v>0</v>
      </c>
      <c r="V22" s="49">
        <f>IF(BD_ESTADISTICA_INF_B[[#This Row],[POSICION]]="jugador",BD_ESTADISTICA_INF_B[[#This Row],[Lanzam.]],0)</f>
        <v>0</v>
      </c>
      <c r="W22" s="49">
        <f>IF(BD_ESTADISTICA_INF_B[[#This Row],[POSICION]]="portero",BD_ESTADISTICA_INF_B[[#This Row],[Lanzam.]],0)</f>
        <v>0</v>
      </c>
    </row>
    <row r="23" spans="1:23">
      <c r="A23" s="44" t="s">
        <v>18</v>
      </c>
      <c r="B23" s="45"/>
      <c r="C23" s="45"/>
      <c r="D23" s="45"/>
      <c r="E23" s="39" t="str">
        <f>IF(BD_ESTADISTICA_INF_B[[#This Row],[Lanzam.]]="","",IF(BD_ESTADISTICA_INF_B[[#This Row],[POSICION]]="jugador",B23/D23,C23/D23))</f>
        <v/>
      </c>
      <c r="F23" s="45"/>
      <c r="G23" s="45"/>
      <c r="H23" s="45"/>
      <c r="I23" s="45"/>
      <c r="J23" s="45"/>
      <c r="K23" s="45"/>
      <c r="L23" s="45"/>
      <c r="M23" s="45"/>
      <c r="N23" s="45"/>
      <c r="O23" s="46">
        <v>2</v>
      </c>
      <c r="P23" s="47" t="s">
        <v>120</v>
      </c>
      <c r="Q23" s="48" t="s">
        <v>79</v>
      </c>
      <c r="R23" s="40" t="s">
        <v>122</v>
      </c>
      <c r="S23" s="49" t="str">
        <f>IF(OR(BD_ESTADISTICA_INF_B[[#This Row],[Jugador]]="eudald",BD_ESTADISTICA_INF_B[[#This Row],[Jugador]]="jules",BD_ESTADISTICA_INF_B[[#This Row],[Jugador]]="JAN"),"PORTERO","JUGADOR")</f>
        <v>JUGADOR</v>
      </c>
      <c r="T23" s="49">
        <f>IF(BD_ESTADISTICA_INF_B[[#This Row],[POSICION]]="jugador",BD_ESTADISTICA_INF_B[[#This Row],[Goles]],0)</f>
        <v>0</v>
      </c>
      <c r="U23" s="49">
        <f>IF(BD_ESTADISTICA_INF_B[[#This Row],[POSICION]]="portero",BD_ESTADISTICA_INF_B[[#This Row],[Lanzam.]]-BD_ESTADISTICA_INF_B[[#This Row],[Paradas]],0)</f>
        <v>0</v>
      </c>
      <c r="V23" s="49">
        <f>IF(BD_ESTADISTICA_INF_B[[#This Row],[POSICION]]="jugador",BD_ESTADISTICA_INF_B[[#This Row],[Lanzam.]],0)</f>
        <v>0</v>
      </c>
      <c r="W23" s="49">
        <f>IF(BD_ESTADISTICA_INF_B[[#This Row],[POSICION]]="portero",BD_ESTADISTICA_INF_B[[#This Row],[Lanzam.]],0)</f>
        <v>0</v>
      </c>
    </row>
    <row r="24" spans="1:23">
      <c r="A24" s="44" t="s">
        <v>19</v>
      </c>
      <c r="B24" s="45"/>
      <c r="C24" s="45"/>
      <c r="D24" s="45"/>
      <c r="E24" s="39" t="str">
        <f>IF(BD_ESTADISTICA_INF_B[[#This Row],[Lanzam.]]="","",IF(BD_ESTADISTICA_INF_B[[#This Row],[POSICION]]="jugador",B24/D24,C24/D24))</f>
        <v/>
      </c>
      <c r="F24" s="45"/>
      <c r="G24" s="45"/>
      <c r="H24" s="45"/>
      <c r="I24" s="45"/>
      <c r="J24" s="45"/>
      <c r="K24" s="45"/>
      <c r="L24" s="45"/>
      <c r="M24" s="45"/>
      <c r="N24" s="45"/>
      <c r="O24" s="46">
        <v>2</v>
      </c>
      <c r="P24" s="47" t="s">
        <v>120</v>
      </c>
      <c r="Q24" s="48" t="s">
        <v>79</v>
      </c>
      <c r="R24" s="40" t="s">
        <v>122</v>
      </c>
      <c r="S24" s="49" t="str">
        <f>IF(OR(BD_ESTADISTICA_INF_B[[#This Row],[Jugador]]="eudald",BD_ESTADISTICA_INF_B[[#This Row],[Jugador]]="jules",BD_ESTADISTICA_INF_B[[#This Row],[Jugador]]="JAN"),"PORTERO","JUGADOR")</f>
        <v>JUGADOR</v>
      </c>
      <c r="T24" s="49">
        <f>IF(BD_ESTADISTICA_INF_B[[#This Row],[POSICION]]="jugador",BD_ESTADISTICA_INF_B[[#This Row],[Goles]],0)</f>
        <v>0</v>
      </c>
      <c r="U24" s="49">
        <f>IF(BD_ESTADISTICA_INF_B[[#This Row],[POSICION]]="portero",BD_ESTADISTICA_INF_B[[#This Row],[Lanzam.]]-BD_ESTADISTICA_INF_B[[#This Row],[Paradas]],0)</f>
        <v>0</v>
      </c>
      <c r="V24" s="49">
        <f>IF(BD_ESTADISTICA_INF_B[[#This Row],[POSICION]]="jugador",BD_ESTADISTICA_INF_B[[#This Row],[Lanzam.]],0)</f>
        <v>0</v>
      </c>
      <c r="W24" s="49">
        <f>IF(BD_ESTADISTICA_INF_B[[#This Row],[POSICION]]="portero",BD_ESTADISTICA_INF_B[[#This Row],[Lanzam.]],0)</f>
        <v>0</v>
      </c>
    </row>
    <row r="25" spans="1:23">
      <c r="A25" s="44" t="s">
        <v>20</v>
      </c>
      <c r="B25" s="45"/>
      <c r="C25" s="45"/>
      <c r="D25" s="45"/>
      <c r="E25" s="39" t="str">
        <f>IF(BD_ESTADISTICA_INF_B[[#This Row],[Lanzam.]]="","",IF(BD_ESTADISTICA_INF_B[[#This Row],[POSICION]]="jugador",B25/D25,C25/D25))</f>
        <v/>
      </c>
      <c r="F25" s="45"/>
      <c r="G25" s="45"/>
      <c r="H25" s="45"/>
      <c r="I25" s="45"/>
      <c r="J25" s="45"/>
      <c r="K25" s="45"/>
      <c r="L25" s="45"/>
      <c r="M25" s="45"/>
      <c r="N25" s="45"/>
      <c r="O25" s="46">
        <v>2</v>
      </c>
      <c r="P25" s="47" t="s">
        <v>120</v>
      </c>
      <c r="Q25" s="48" t="s">
        <v>79</v>
      </c>
      <c r="R25" s="40" t="s">
        <v>122</v>
      </c>
      <c r="S25" s="49" t="str">
        <f>IF(OR(BD_ESTADISTICA_INF_B[[#This Row],[Jugador]]="eudald",BD_ESTADISTICA_INF_B[[#This Row],[Jugador]]="jules",BD_ESTADISTICA_INF_B[[#This Row],[Jugador]]="JAN"),"PORTERO","JUGADOR")</f>
        <v>JUGADOR</v>
      </c>
      <c r="T25" s="49">
        <f>IF(BD_ESTADISTICA_INF_B[[#This Row],[POSICION]]="jugador",BD_ESTADISTICA_INF_B[[#This Row],[Goles]],0)</f>
        <v>0</v>
      </c>
      <c r="U25" s="49">
        <f>IF(BD_ESTADISTICA_INF_B[[#This Row],[POSICION]]="portero",BD_ESTADISTICA_INF_B[[#This Row],[Lanzam.]]-BD_ESTADISTICA_INF_B[[#This Row],[Paradas]],0)</f>
        <v>0</v>
      </c>
      <c r="V25" s="49">
        <f>IF(BD_ESTADISTICA_INF_B[[#This Row],[POSICION]]="jugador",BD_ESTADISTICA_INF_B[[#This Row],[Lanzam.]],0)</f>
        <v>0</v>
      </c>
      <c r="W25" s="49">
        <f>IF(BD_ESTADISTICA_INF_B[[#This Row],[POSICION]]="portero",BD_ESTADISTICA_INF_B[[#This Row],[Lanzam.]],0)</f>
        <v>0</v>
      </c>
    </row>
    <row r="26" spans="1:23">
      <c r="A26" s="44" t="s">
        <v>21</v>
      </c>
      <c r="B26" s="45"/>
      <c r="C26" s="45"/>
      <c r="D26" s="45"/>
      <c r="E26" s="39" t="str">
        <f>IF(BD_ESTADISTICA_INF_B[[#This Row],[Lanzam.]]="","",IF(BD_ESTADISTICA_INF_B[[#This Row],[POSICION]]="jugador",B26/D26,C26/D26))</f>
        <v/>
      </c>
      <c r="F26" s="45"/>
      <c r="G26" s="45"/>
      <c r="H26" s="45"/>
      <c r="I26" s="45"/>
      <c r="J26" s="45"/>
      <c r="K26" s="45"/>
      <c r="L26" s="45"/>
      <c r="M26" s="45"/>
      <c r="N26" s="45"/>
      <c r="O26" s="46">
        <v>2</v>
      </c>
      <c r="P26" s="47" t="s">
        <v>120</v>
      </c>
      <c r="Q26" s="48" t="s">
        <v>79</v>
      </c>
      <c r="R26" s="40" t="s">
        <v>122</v>
      </c>
      <c r="S26" s="49" t="str">
        <f>IF(OR(BD_ESTADISTICA_INF_B[[#This Row],[Jugador]]="eudald",BD_ESTADISTICA_INF_B[[#This Row],[Jugador]]="jules",BD_ESTADISTICA_INF_B[[#This Row],[Jugador]]="JAN"),"PORTERO","JUGADOR")</f>
        <v>JUGADOR</v>
      </c>
      <c r="T26" s="49">
        <f>IF(BD_ESTADISTICA_INF_B[[#This Row],[POSICION]]="jugador",BD_ESTADISTICA_INF_B[[#This Row],[Goles]],0)</f>
        <v>0</v>
      </c>
      <c r="U26" s="49">
        <f>IF(BD_ESTADISTICA_INF_B[[#This Row],[POSICION]]="portero",BD_ESTADISTICA_INF_B[[#This Row],[Lanzam.]]-BD_ESTADISTICA_INF_B[[#This Row],[Paradas]],0)</f>
        <v>0</v>
      </c>
      <c r="V26" s="49">
        <f>IF(BD_ESTADISTICA_INF_B[[#This Row],[POSICION]]="jugador",BD_ESTADISTICA_INF_B[[#This Row],[Lanzam.]],0)</f>
        <v>0</v>
      </c>
      <c r="W26" s="49">
        <f>IF(BD_ESTADISTICA_INF_B[[#This Row],[POSICION]]="portero",BD_ESTADISTICA_INF_B[[#This Row],[Lanzam.]],0)</f>
        <v>0</v>
      </c>
    </row>
    <row r="27" spans="1:23">
      <c r="A27" s="44" t="s">
        <v>40</v>
      </c>
      <c r="B27" s="45"/>
      <c r="C27" s="45"/>
      <c r="D27" s="45"/>
      <c r="E27" s="39" t="str">
        <f>IF(BD_ESTADISTICA_INF_B[[#This Row],[Lanzam.]]="","",IF(BD_ESTADISTICA_INF_B[[#This Row],[POSICION]]="jugador",B27/D27,C27/D27))</f>
        <v/>
      </c>
      <c r="F27" s="45"/>
      <c r="G27" s="45"/>
      <c r="H27" s="45"/>
      <c r="I27" s="45"/>
      <c r="J27" s="45"/>
      <c r="K27" s="45"/>
      <c r="L27" s="45"/>
      <c r="M27" s="45"/>
      <c r="N27" s="45"/>
      <c r="O27" s="46">
        <v>2</v>
      </c>
      <c r="P27" s="47" t="s">
        <v>120</v>
      </c>
      <c r="Q27" s="48" t="s">
        <v>79</v>
      </c>
      <c r="R27" s="40" t="s">
        <v>122</v>
      </c>
      <c r="S27" s="49" t="str">
        <f>IF(OR(BD_ESTADISTICA_INF_B[[#This Row],[Jugador]]="eudald",BD_ESTADISTICA_INF_B[[#This Row],[Jugador]]="jules",BD_ESTADISTICA_INF_B[[#This Row],[Jugador]]="JAN"),"PORTERO","JUGADOR")</f>
        <v>JUGADOR</v>
      </c>
      <c r="T27" s="49">
        <f>IF(BD_ESTADISTICA_INF_B[[#This Row],[POSICION]]="jugador",BD_ESTADISTICA_INF_B[[#This Row],[Goles]],0)</f>
        <v>0</v>
      </c>
      <c r="U27" s="49">
        <f>IF(BD_ESTADISTICA_INF_B[[#This Row],[POSICION]]="portero",BD_ESTADISTICA_INF_B[[#This Row],[Lanzam.]]-BD_ESTADISTICA_INF_B[[#This Row],[Paradas]],0)</f>
        <v>0</v>
      </c>
      <c r="V27" s="49">
        <f>IF(BD_ESTADISTICA_INF_B[[#This Row],[POSICION]]="jugador",BD_ESTADISTICA_INF_B[[#This Row],[Lanzam.]],0)</f>
        <v>0</v>
      </c>
      <c r="W27" s="49">
        <f>IF(BD_ESTADISTICA_INF_B[[#This Row],[POSICION]]="portero",BD_ESTADISTICA_INF_B[[#This Row],[Lanzam.]],0)</f>
        <v>0</v>
      </c>
    </row>
    <row r="28" spans="1:23">
      <c r="A28" s="44" t="s">
        <v>41</v>
      </c>
      <c r="B28" s="45"/>
      <c r="C28" s="45"/>
      <c r="D28" s="45"/>
      <c r="E28" s="39" t="str">
        <f>IF(BD_ESTADISTICA_INF_B[[#This Row],[Lanzam.]]="","",IF(BD_ESTADISTICA_INF_B[[#This Row],[POSICION]]="jugador",B28/D28,C28/D28))</f>
        <v/>
      </c>
      <c r="F28" s="45"/>
      <c r="G28" s="45"/>
      <c r="H28" s="45"/>
      <c r="I28" s="45"/>
      <c r="J28" s="45"/>
      <c r="K28" s="45"/>
      <c r="L28" s="45"/>
      <c r="M28" s="45"/>
      <c r="N28" s="45"/>
      <c r="O28" s="46">
        <v>2</v>
      </c>
      <c r="P28" s="47" t="s">
        <v>120</v>
      </c>
      <c r="Q28" s="48" t="s">
        <v>79</v>
      </c>
      <c r="R28" s="40" t="s">
        <v>122</v>
      </c>
      <c r="S28" s="49" t="str">
        <f>IF(OR(BD_ESTADISTICA_INF_B[[#This Row],[Jugador]]="eudald",BD_ESTADISTICA_INF_B[[#This Row],[Jugador]]="jules",BD_ESTADISTICA_INF_B[[#This Row],[Jugador]]="JAN"),"PORTERO","JUGADOR")</f>
        <v>JUGADOR</v>
      </c>
      <c r="T28" s="49">
        <f>IF(BD_ESTADISTICA_INF_B[[#This Row],[POSICION]]="jugador",BD_ESTADISTICA_INF_B[[#This Row],[Goles]],0)</f>
        <v>0</v>
      </c>
      <c r="U28" s="49">
        <f>IF(BD_ESTADISTICA_INF_B[[#This Row],[POSICION]]="portero",BD_ESTADISTICA_INF_B[[#This Row],[Lanzam.]]-BD_ESTADISTICA_INF_B[[#This Row],[Paradas]],0)</f>
        <v>0</v>
      </c>
      <c r="V28" s="49">
        <f>IF(BD_ESTADISTICA_INF_B[[#This Row],[POSICION]]="jugador",BD_ESTADISTICA_INF_B[[#This Row],[Lanzam.]],0)</f>
        <v>0</v>
      </c>
      <c r="W28" s="49">
        <f>IF(BD_ESTADISTICA_INF_B[[#This Row],[POSICION]]="portero",BD_ESTADISTICA_INF_B[[#This Row],[Lanzam.]],0)</f>
        <v>0</v>
      </c>
    </row>
    <row r="29" spans="1:23">
      <c r="A29" s="44" t="s">
        <v>23</v>
      </c>
      <c r="B29" s="45"/>
      <c r="C29" s="45"/>
      <c r="D29" s="45"/>
      <c r="E29" s="39" t="str">
        <f>IF(BD_ESTADISTICA_INF_B[[#This Row],[Lanzam.]]="","",IF(BD_ESTADISTICA_INF_B[[#This Row],[POSICION]]="jugador",B29/D29,C29/D29))</f>
        <v/>
      </c>
      <c r="F29" s="45"/>
      <c r="G29" s="45"/>
      <c r="H29" s="45"/>
      <c r="I29" s="45"/>
      <c r="J29" s="45"/>
      <c r="K29" s="45"/>
      <c r="L29" s="45"/>
      <c r="M29" s="45"/>
      <c r="N29" s="45"/>
      <c r="O29" s="46">
        <v>2</v>
      </c>
      <c r="P29" s="47" t="s">
        <v>120</v>
      </c>
      <c r="Q29" s="48" t="s">
        <v>79</v>
      </c>
      <c r="R29" s="40" t="s">
        <v>122</v>
      </c>
      <c r="S29" s="49" t="str">
        <f>IF(OR(BD_ESTADISTICA_INF_B[[#This Row],[Jugador]]="eudald",BD_ESTADISTICA_INF_B[[#This Row],[Jugador]]="jules",BD_ESTADISTICA_INF_B[[#This Row],[Jugador]]="JAN"),"PORTERO","JUGADOR")</f>
        <v>JUGADOR</v>
      </c>
      <c r="T29" s="49">
        <f>IF(BD_ESTADISTICA_INF_B[[#This Row],[POSICION]]="jugador",BD_ESTADISTICA_INF_B[[#This Row],[Goles]],0)</f>
        <v>0</v>
      </c>
      <c r="U29" s="49">
        <f>IF(BD_ESTADISTICA_INF_B[[#This Row],[POSICION]]="portero",BD_ESTADISTICA_INF_B[[#This Row],[Lanzam.]]-BD_ESTADISTICA_INF_B[[#This Row],[Paradas]],0)</f>
        <v>0</v>
      </c>
      <c r="V29" s="49">
        <f>IF(BD_ESTADISTICA_INF_B[[#This Row],[POSICION]]="jugador",BD_ESTADISTICA_INF_B[[#This Row],[Lanzam.]],0)</f>
        <v>0</v>
      </c>
      <c r="W29" s="49">
        <f>IF(BD_ESTADISTICA_INF_B[[#This Row],[POSICION]]="portero",BD_ESTADISTICA_INF_B[[#This Row],[Lanzam.]],0)</f>
        <v>0</v>
      </c>
    </row>
    <row r="30" spans="1:23">
      <c r="A30" s="44" t="s">
        <v>24</v>
      </c>
      <c r="B30" s="45"/>
      <c r="C30" s="45"/>
      <c r="D30" s="45"/>
      <c r="E30" s="39" t="str">
        <f>IF(BD_ESTADISTICA_INF_B[[#This Row],[Lanzam.]]="","",IF(BD_ESTADISTICA_INF_B[[#This Row],[POSICION]]="jugador",B30/D30,C30/D30))</f>
        <v/>
      </c>
      <c r="F30" s="45"/>
      <c r="G30" s="45"/>
      <c r="H30" s="45"/>
      <c r="I30" s="45"/>
      <c r="J30" s="45"/>
      <c r="K30" s="45"/>
      <c r="L30" s="45"/>
      <c r="M30" s="45"/>
      <c r="N30" s="45"/>
      <c r="O30" s="46">
        <v>2</v>
      </c>
      <c r="P30" s="47" t="s">
        <v>120</v>
      </c>
      <c r="Q30" s="48" t="s">
        <v>79</v>
      </c>
      <c r="R30" s="40" t="s">
        <v>122</v>
      </c>
      <c r="S30" s="49" t="str">
        <f>IF(OR(BD_ESTADISTICA_INF_B[[#This Row],[Jugador]]="eudald",BD_ESTADISTICA_INF_B[[#This Row],[Jugador]]="jules",BD_ESTADISTICA_INF_B[[#This Row],[Jugador]]="JAN"),"PORTERO","JUGADOR")</f>
        <v>JUGADOR</v>
      </c>
      <c r="T30" s="49">
        <f>IF(BD_ESTADISTICA_INF_B[[#This Row],[POSICION]]="jugador",BD_ESTADISTICA_INF_B[[#This Row],[Goles]],0)</f>
        <v>0</v>
      </c>
      <c r="U30" s="49">
        <f>IF(BD_ESTADISTICA_INF_B[[#This Row],[POSICION]]="portero",BD_ESTADISTICA_INF_B[[#This Row],[Lanzam.]]-BD_ESTADISTICA_INF_B[[#This Row],[Paradas]],0)</f>
        <v>0</v>
      </c>
      <c r="V30" s="49">
        <f>IF(BD_ESTADISTICA_INF_B[[#This Row],[POSICION]]="jugador",BD_ESTADISTICA_INF_B[[#This Row],[Lanzam.]],0)</f>
        <v>0</v>
      </c>
      <c r="W30" s="49">
        <f>IF(BD_ESTADISTICA_INF_B[[#This Row],[POSICION]]="portero",BD_ESTADISTICA_INF_B[[#This Row],[Lanzam.]],0)</f>
        <v>0</v>
      </c>
    </row>
    <row r="31" spans="1:23">
      <c r="A31" s="44" t="s">
        <v>25</v>
      </c>
      <c r="B31" s="45"/>
      <c r="C31" s="45"/>
      <c r="D31" s="45"/>
      <c r="E31" s="39" t="str">
        <f>IF(BD_ESTADISTICA_INF_B[[#This Row],[Lanzam.]]="","",IF(BD_ESTADISTICA_INF_B[[#This Row],[POSICION]]="jugador",B31/D31,C31/D31))</f>
        <v/>
      </c>
      <c r="F31" s="45"/>
      <c r="G31" s="45"/>
      <c r="H31" s="45"/>
      <c r="I31" s="45"/>
      <c r="J31" s="45"/>
      <c r="K31" s="45"/>
      <c r="L31" s="45"/>
      <c r="M31" s="45"/>
      <c r="N31" s="45"/>
      <c r="O31" s="46">
        <v>2</v>
      </c>
      <c r="P31" s="47" t="s">
        <v>120</v>
      </c>
      <c r="Q31" s="48" t="s">
        <v>79</v>
      </c>
      <c r="R31" s="40" t="s">
        <v>122</v>
      </c>
      <c r="S31" s="49" t="str">
        <f>IF(OR(BD_ESTADISTICA_INF_B[[#This Row],[Jugador]]="eudald",BD_ESTADISTICA_INF_B[[#This Row],[Jugador]]="jules",BD_ESTADISTICA_INF_B[[#This Row],[Jugador]]="JAN"),"PORTERO","JUGADOR")</f>
        <v>JUGADOR</v>
      </c>
      <c r="T31" s="49">
        <f>IF(BD_ESTADISTICA_INF_B[[#This Row],[POSICION]]="jugador",BD_ESTADISTICA_INF_B[[#This Row],[Goles]],0)</f>
        <v>0</v>
      </c>
      <c r="U31" s="49">
        <f>IF(BD_ESTADISTICA_INF_B[[#This Row],[POSICION]]="portero",BD_ESTADISTICA_INF_B[[#This Row],[Lanzam.]]-BD_ESTADISTICA_INF_B[[#This Row],[Paradas]],0)</f>
        <v>0</v>
      </c>
      <c r="V31" s="49">
        <f>IF(BD_ESTADISTICA_INF_B[[#This Row],[POSICION]]="jugador",BD_ESTADISTICA_INF_B[[#This Row],[Lanzam.]],0)</f>
        <v>0</v>
      </c>
      <c r="W31" s="49">
        <f>IF(BD_ESTADISTICA_INF_B[[#This Row],[POSICION]]="portero",BD_ESTADISTICA_INF_B[[#This Row],[Lanzam.]],0)</f>
        <v>0</v>
      </c>
    </row>
    <row r="32" spans="1:23">
      <c r="A32" s="44" t="s">
        <v>26</v>
      </c>
      <c r="B32" s="45"/>
      <c r="C32" s="45"/>
      <c r="D32" s="45"/>
      <c r="E32" s="39" t="str">
        <f>IF(BD_ESTADISTICA_INF_B[[#This Row],[Lanzam.]]="","",IF(BD_ESTADISTICA_INF_B[[#This Row],[POSICION]]="jugador",B32/D32,C32/D32))</f>
        <v/>
      </c>
      <c r="F32" s="45"/>
      <c r="G32" s="45"/>
      <c r="H32" s="45"/>
      <c r="I32" s="45"/>
      <c r="J32" s="45"/>
      <c r="K32" s="45"/>
      <c r="L32" s="45"/>
      <c r="M32" s="45"/>
      <c r="N32" s="45"/>
      <c r="O32" s="46">
        <v>2</v>
      </c>
      <c r="P32" s="47" t="s">
        <v>120</v>
      </c>
      <c r="Q32" s="48" t="s">
        <v>79</v>
      </c>
      <c r="R32" s="40" t="s">
        <v>122</v>
      </c>
      <c r="S32" s="49" t="str">
        <f>IF(OR(BD_ESTADISTICA_INF_B[[#This Row],[Jugador]]="eudald",BD_ESTADISTICA_INF_B[[#This Row],[Jugador]]="jules",BD_ESTADISTICA_INF_B[[#This Row],[Jugador]]="JAN"),"PORTERO","JUGADOR")</f>
        <v>JUGADOR</v>
      </c>
      <c r="T32" s="49">
        <f>IF(BD_ESTADISTICA_INF_B[[#This Row],[POSICION]]="jugador",BD_ESTADISTICA_INF_B[[#This Row],[Goles]],0)</f>
        <v>0</v>
      </c>
      <c r="U32" s="49">
        <f>IF(BD_ESTADISTICA_INF_B[[#This Row],[POSICION]]="portero",BD_ESTADISTICA_INF_B[[#This Row],[Lanzam.]]-BD_ESTADISTICA_INF_B[[#This Row],[Paradas]],0)</f>
        <v>0</v>
      </c>
      <c r="V32" s="49">
        <f>IF(BD_ESTADISTICA_INF_B[[#This Row],[POSICION]]="jugador",BD_ESTADISTICA_INF_B[[#This Row],[Lanzam.]],0)</f>
        <v>0</v>
      </c>
      <c r="W32" s="49">
        <f>IF(BD_ESTADISTICA_INF_B[[#This Row],[POSICION]]="portero",BD_ESTADISTICA_INF_B[[#This Row],[Lanzam.]],0)</f>
        <v>0</v>
      </c>
    </row>
    <row r="33" spans="1:23">
      <c r="A33" s="44" t="s">
        <v>27</v>
      </c>
      <c r="B33" s="45"/>
      <c r="C33" s="45"/>
      <c r="D33" s="45"/>
      <c r="E33" s="39" t="str">
        <f>IF(BD_ESTADISTICA_INF_B[[#This Row],[Lanzam.]]="","",IF(BD_ESTADISTICA_INF_B[[#This Row],[POSICION]]="jugador",B33/D33,C33/D33))</f>
        <v/>
      </c>
      <c r="F33" s="45"/>
      <c r="G33" s="45"/>
      <c r="H33" s="45"/>
      <c r="I33" s="45"/>
      <c r="J33" s="45"/>
      <c r="K33" s="45"/>
      <c r="L33" s="45"/>
      <c r="M33" s="45"/>
      <c r="N33" s="45"/>
      <c r="O33" s="46">
        <v>2</v>
      </c>
      <c r="P33" s="47" t="s">
        <v>120</v>
      </c>
      <c r="Q33" s="48" t="s">
        <v>79</v>
      </c>
      <c r="R33" s="40" t="s">
        <v>122</v>
      </c>
      <c r="S33" s="49" t="str">
        <f>IF(OR(BD_ESTADISTICA_INF_B[[#This Row],[Jugador]]="eudald",BD_ESTADISTICA_INF_B[[#This Row],[Jugador]]="jules",BD_ESTADISTICA_INF_B[[#This Row],[Jugador]]="JAN"),"PORTERO","JUGADOR")</f>
        <v>JUGADOR</v>
      </c>
      <c r="T33" s="49">
        <f>IF(BD_ESTADISTICA_INF_B[[#This Row],[POSICION]]="jugador",BD_ESTADISTICA_INF_B[[#This Row],[Goles]],0)</f>
        <v>0</v>
      </c>
      <c r="U33" s="49">
        <f>IF(BD_ESTADISTICA_INF_B[[#This Row],[POSICION]]="portero",BD_ESTADISTICA_INF_B[[#This Row],[Lanzam.]]-BD_ESTADISTICA_INF_B[[#This Row],[Paradas]],0)</f>
        <v>0</v>
      </c>
      <c r="V33" s="49">
        <f>IF(BD_ESTADISTICA_INF_B[[#This Row],[POSICION]]="jugador",BD_ESTADISTICA_INF_B[[#This Row],[Lanzam.]],0)</f>
        <v>0</v>
      </c>
      <c r="W33" s="49">
        <f>IF(BD_ESTADISTICA_INF_B[[#This Row],[POSICION]]="portero",BD_ESTADISTICA_INF_B[[#This Row],[Lanzam.]],0)</f>
        <v>0</v>
      </c>
    </row>
    <row r="34" spans="1:23">
      <c r="A34" s="44" t="s">
        <v>28</v>
      </c>
      <c r="B34" s="45"/>
      <c r="C34" s="45"/>
      <c r="D34" s="45"/>
      <c r="E34" s="39" t="str">
        <f>IF(BD_ESTADISTICA_INF_B[[#This Row],[Lanzam.]]="","",IF(BD_ESTADISTICA_INF_B[[#This Row],[POSICION]]="jugador",B34/D34,C34/D34))</f>
        <v/>
      </c>
      <c r="F34" s="45"/>
      <c r="G34" s="45"/>
      <c r="H34" s="45"/>
      <c r="I34" s="45"/>
      <c r="J34" s="45"/>
      <c r="K34" s="45"/>
      <c r="L34" s="45"/>
      <c r="M34" s="45"/>
      <c r="N34" s="45"/>
      <c r="O34" s="46">
        <v>2</v>
      </c>
      <c r="P34" s="47" t="s">
        <v>120</v>
      </c>
      <c r="Q34" s="48" t="s">
        <v>79</v>
      </c>
      <c r="R34" s="40" t="s">
        <v>122</v>
      </c>
      <c r="S34" s="49" t="str">
        <f>IF(OR(BD_ESTADISTICA_INF_B[[#This Row],[Jugador]]="eudald",BD_ESTADISTICA_INF_B[[#This Row],[Jugador]]="jules",BD_ESTADISTICA_INF_B[[#This Row],[Jugador]]="JAN"),"PORTERO","JUGADOR")</f>
        <v>JUGADOR</v>
      </c>
      <c r="T34" s="49">
        <f>IF(BD_ESTADISTICA_INF_B[[#This Row],[POSICION]]="jugador",BD_ESTADISTICA_INF_B[[#This Row],[Goles]],0)</f>
        <v>0</v>
      </c>
      <c r="U34" s="49">
        <f>IF(BD_ESTADISTICA_INF_B[[#This Row],[POSICION]]="portero",BD_ESTADISTICA_INF_B[[#This Row],[Lanzam.]]-BD_ESTADISTICA_INF_B[[#This Row],[Paradas]],0)</f>
        <v>0</v>
      </c>
      <c r="V34" s="49">
        <f>IF(BD_ESTADISTICA_INF_B[[#This Row],[POSICION]]="jugador",BD_ESTADISTICA_INF_B[[#This Row],[Lanzam.]],0)</f>
        <v>0</v>
      </c>
      <c r="W34" s="49">
        <f>IF(BD_ESTADISTICA_INF_B[[#This Row],[POSICION]]="portero",BD_ESTADISTICA_INF_B[[#This Row],[Lanzam.]],0)</f>
        <v>0</v>
      </c>
    </row>
    <row r="35" spans="1:23">
      <c r="A35" s="44" t="s">
        <v>31</v>
      </c>
      <c r="B35" s="45"/>
      <c r="C35" s="45"/>
      <c r="D35" s="45"/>
      <c r="E35" s="39" t="str">
        <f>IF(BD_ESTADISTICA_INF_B[[#This Row],[Lanzam.]]="","",IF(BD_ESTADISTICA_INF_B[[#This Row],[POSICION]]="jugador",B35/D35,C35/D35))</f>
        <v/>
      </c>
      <c r="F35" s="45"/>
      <c r="G35" s="45"/>
      <c r="H35" s="45"/>
      <c r="I35" s="45"/>
      <c r="J35" s="45"/>
      <c r="K35" s="45"/>
      <c r="L35" s="45"/>
      <c r="M35" s="45"/>
      <c r="N35" s="45"/>
      <c r="O35" s="46">
        <v>2</v>
      </c>
      <c r="P35" s="47" t="s">
        <v>120</v>
      </c>
      <c r="Q35" s="48" t="s">
        <v>79</v>
      </c>
      <c r="R35" s="40" t="s">
        <v>122</v>
      </c>
      <c r="S35" s="49" t="str">
        <f>IF(OR(BD_ESTADISTICA_INF_B[[#This Row],[Jugador]]="eudald",BD_ESTADISTICA_INF_B[[#This Row],[Jugador]]="jules",BD_ESTADISTICA_INF_B[[#This Row],[Jugador]]="JAN"),"PORTERO","JUGADOR")</f>
        <v>PORTERO</v>
      </c>
      <c r="T35" s="49">
        <f>IF(BD_ESTADISTICA_INF_B[[#This Row],[POSICION]]="jugador",BD_ESTADISTICA_INF_B[[#This Row],[Goles]],0)</f>
        <v>0</v>
      </c>
      <c r="U35" s="49">
        <f>IF(BD_ESTADISTICA_INF_B[[#This Row],[POSICION]]="portero",BD_ESTADISTICA_INF_B[[#This Row],[Lanzam.]]-BD_ESTADISTICA_INF_B[[#This Row],[Paradas]],0)</f>
        <v>0</v>
      </c>
      <c r="V35" s="49">
        <f>IF(BD_ESTADISTICA_INF_B[[#This Row],[POSICION]]="jugador",BD_ESTADISTICA_INF_B[[#This Row],[Lanzam.]],0)</f>
        <v>0</v>
      </c>
      <c r="W35" s="49">
        <f>IF(BD_ESTADISTICA_INF_B[[#This Row],[POSICION]]="portero",BD_ESTADISTICA_INF_B[[#This Row],[Lanzam.]],0)</f>
        <v>0</v>
      </c>
    </row>
    <row r="36" spans="1:23">
      <c r="A36" s="44" t="s">
        <v>29</v>
      </c>
      <c r="B36" s="45"/>
      <c r="C36" s="45"/>
      <c r="D36" s="45"/>
      <c r="E36" s="39" t="str">
        <f>IF(BD_ESTADISTICA_INF_B[[#This Row],[Lanzam.]]="","",IF(BD_ESTADISTICA_INF_B[[#This Row],[POSICION]]="jugador",B36/D36,C36/D36))</f>
        <v/>
      </c>
      <c r="F36" s="45"/>
      <c r="G36" s="45"/>
      <c r="H36" s="45"/>
      <c r="I36" s="45"/>
      <c r="J36" s="45"/>
      <c r="K36" s="45"/>
      <c r="L36" s="45"/>
      <c r="M36" s="45"/>
      <c r="N36" s="45"/>
      <c r="O36" s="46">
        <v>2</v>
      </c>
      <c r="P36" s="47" t="s">
        <v>120</v>
      </c>
      <c r="Q36" s="48" t="s">
        <v>79</v>
      </c>
      <c r="R36" s="40" t="s">
        <v>122</v>
      </c>
      <c r="S36" s="49" t="str">
        <f>IF(OR(BD_ESTADISTICA_INF_B[[#This Row],[Jugador]]="eudald",BD_ESTADISTICA_INF_B[[#This Row],[Jugador]]="jules",BD_ESTADISTICA_INF_B[[#This Row],[Jugador]]="JAN"),"PORTERO","JUGADOR")</f>
        <v>PORTERO</v>
      </c>
      <c r="T36" s="49">
        <f>IF(BD_ESTADISTICA_INF_B[[#This Row],[POSICION]]="jugador",BD_ESTADISTICA_INF_B[[#This Row],[Goles]],0)</f>
        <v>0</v>
      </c>
      <c r="U36" s="49">
        <f>IF(BD_ESTADISTICA_INF_B[[#This Row],[POSICION]]="portero",BD_ESTADISTICA_INF_B[[#This Row],[Lanzam.]]-BD_ESTADISTICA_INF_B[[#This Row],[Paradas]],0)</f>
        <v>0</v>
      </c>
      <c r="V36" s="49">
        <f>IF(BD_ESTADISTICA_INF_B[[#This Row],[POSICION]]="jugador",BD_ESTADISTICA_INF_B[[#This Row],[Lanzam.]],0)</f>
        <v>0</v>
      </c>
      <c r="W36" s="49">
        <f>IF(BD_ESTADISTICA_INF_B[[#This Row],[POSICION]]="portero",BD_ESTADISTICA_INF_B[[#This Row],[Lanzam.]],0)</f>
        <v>0</v>
      </c>
    </row>
    <row r="37" spans="1:23">
      <c r="A37" s="44" t="s">
        <v>30</v>
      </c>
      <c r="B37" s="45"/>
      <c r="C37" s="45"/>
      <c r="D37" s="45"/>
      <c r="E37" s="39" t="str">
        <f>IF(BD_ESTADISTICA_INF_B[[#This Row],[Lanzam.]]="","",IF(BD_ESTADISTICA_INF_B[[#This Row],[POSICION]]="jugador",B37/D37,C37/D37))</f>
        <v/>
      </c>
      <c r="F37" s="45"/>
      <c r="G37" s="45"/>
      <c r="H37" s="45"/>
      <c r="I37" s="45"/>
      <c r="J37" s="45"/>
      <c r="K37" s="45"/>
      <c r="L37" s="45"/>
      <c r="M37" s="45"/>
      <c r="N37" s="45"/>
      <c r="O37" s="46">
        <v>2</v>
      </c>
      <c r="P37" s="47" t="s">
        <v>120</v>
      </c>
      <c r="Q37" s="48" t="s">
        <v>79</v>
      </c>
      <c r="R37" s="40" t="s">
        <v>122</v>
      </c>
      <c r="S37" s="49" t="str">
        <f>IF(OR(BD_ESTADISTICA_INF_B[[#This Row],[Jugador]]="eudald",BD_ESTADISTICA_INF_B[[#This Row],[Jugador]]="jules",BD_ESTADISTICA_INF_B[[#This Row],[Jugador]]="JAN"),"PORTERO","JUGADOR")</f>
        <v>PORTERO</v>
      </c>
      <c r="T37" s="49">
        <f>IF(BD_ESTADISTICA_INF_B[[#This Row],[POSICION]]="jugador",BD_ESTADISTICA_INF_B[[#This Row],[Goles]],0)</f>
        <v>0</v>
      </c>
      <c r="U37" s="49">
        <f>IF(BD_ESTADISTICA_INF_B[[#This Row],[POSICION]]="portero",BD_ESTADISTICA_INF_B[[#This Row],[Lanzam.]]-BD_ESTADISTICA_INF_B[[#This Row],[Paradas]],0)</f>
        <v>0</v>
      </c>
      <c r="V37" s="49">
        <f>IF(BD_ESTADISTICA_INF_B[[#This Row],[POSICION]]="jugador",BD_ESTADISTICA_INF_B[[#This Row],[Lanzam.]],0)</f>
        <v>0</v>
      </c>
      <c r="W37" s="49">
        <f>IF(BD_ESTADISTICA_INF_B[[#This Row],[POSICION]]="portero",BD_ESTADISTICA_INF_B[[#This Row],[Lanzam.]],0)</f>
        <v>0</v>
      </c>
    </row>
    <row r="38" spans="1:23">
      <c r="A38" s="44" t="s">
        <v>42</v>
      </c>
      <c r="B38" s="45"/>
      <c r="C38" s="45"/>
      <c r="D38" s="45"/>
      <c r="E38" s="39" t="str">
        <f>IF(BD_ESTADISTICA_INF_B[[#This Row],[Lanzam.]]="","",IF(BD_ESTADISTICA_INF_B[[#This Row],[POSICION]]="jugador",B38/D38,C38/D38))</f>
        <v/>
      </c>
      <c r="F38" s="45"/>
      <c r="G38" s="45"/>
      <c r="H38" s="45"/>
      <c r="I38" s="45"/>
      <c r="J38" s="45"/>
      <c r="K38" s="45"/>
      <c r="L38" s="45"/>
      <c r="M38" s="45"/>
      <c r="N38" s="45"/>
      <c r="O38" s="46">
        <v>2</v>
      </c>
      <c r="P38" s="47" t="s">
        <v>120</v>
      </c>
      <c r="Q38" s="48" t="s">
        <v>79</v>
      </c>
      <c r="R38" s="40" t="s">
        <v>122</v>
      </c>
      <c r="S38" s="49" t="str">
        <f>IF(OR(BD_ESTADISTICA_INF_B[[#This Row],[Jugador]]="eudald",BD_ESTADISTICA_INF_B[[#This Row],[Jugador]]="jules",BD_ESTADISTICA_INF_B[[#This Row],[Jugador]]="JAN"),"PORTERO","JUGADOR")</f>
        <v>JUGADOR</v>
      </c>
      <c r="T38" s="49">
        <f>IF(BD_ESTADISTICA_INF_B[[#This Row],[POSICION]]="jugador",BD_ESTADISTICA_INF_B[[#This Row],[Goles]],0)</f>
        <v>0</v>
      </c>
      <c r="U38" s="49">
        <f>IF(BD_ESTADISTICA_INF_B[[#This Row],[POSICION]]="portero",BD_ESTADISTICA_INF_B[[#This Row],[Lanzam.]]-BD_ESTADISTICA_INF_B[[#This Row],[Paradas]],0)</f>
        <v>0</v>
      </c>
      <c r="V38" s="49">
        <f>IF(BD_ESTADISTICA_INF_B[[#This Row],[POSICION]]="jugador",BD_ESTADISTICA_INF_B[[#This Row],[Lanzam.]],0)</f>
        <v>0</v>
      </c>
      <c r="W38" s="49">
        <f>IF(BD_ESTADISTICA_INF_B[[#This Row],[POSICION]]="portero",BD_ESTADISTICA_INF_B[[#This Row],[Lanzam.]],0)</f>
        <v>0</v>
      </c>
    </row>
    <row r="39" spans="1:23">
      <c r="A39" s="44" t="s">
        <v>22</v>
      </c>
      <c r="B39" s="45"/>
      <c r="C39" s="45"/>
      <c r="D39" s="45"/>
      <c r="E39" s="39" t="str">
        <f>IF(BD_ESTADISTICA_INF_B[[#This Row],[Lanzam.]]="","",IF(BD_ESTADISTICA_INF_B[[#This Row],[POSICION]]="jugador",B39/D39,C39/D39))</f>
        <v/>
      </c>
      <c r="F39" s="45"/>
      <c r="G39" s="45"/>
      <c r="H39" s="45"/>
      <c r="I39" s="45"/>
      <c r="J39" s="45"/>
      <c r="K39" s="45"/>
      <c r="L39" s="45"/>
      <c r="M39" s="45"/>
      <c r="N39" s="45"/>
      <c r="O39" s="46">
        <v>2</v>
      </c>
      <c r="P39" s="47" t="s">
        <v>120</v>
      </c>
      <c r="Q39" s="48" t="s">
        <v>79</v>
      </c>
      <c r="R39" s="40" t="s">
        <v>122</v>
      </c>
      <c r="S39" s="49" t="str">
        <f>IF(OR(BD_ESTADISTICA_INF_B[[#This Row],[Jugador]]="eudald",BD_ESTADISTICA_INF_B[[#This Row],[Jugador]]="jules",BD_ESTADISTICA_INF_B[[#This Row],[Jugador]]="JAN"),"PORTERO","JUGADOR")</f>
        <v>JUGADOR</v>
      </c>
      <c r="T39" s="49">
        <f>IF(BD_ESTADISTICA_INF_B[[#This Row],[POSICION]]="jugador",BD_ESTADISTICA_INF_B[[#This Row],[Goles]],0)</f>
        <v>0</v>
      </c>
      <c r="U39" s="49">
        <f>IF(BD_ESTADISTICA_INF_B[[#This Row],[POSICION]]="portero",BD_ESTADISTICA_INF_B[[#This Row],[Lanzam.]]-BD_ESTADISTICA_INF_B[[#This Row],[Paradas]],0)</f>
        <v>0</v>
      </c>
      <c r="V39" s="49">
        <f>IF(BD_ESTADISTICA_INF_B[[#This Row],[POSICION]]="jugador",BD_ESTADISTICA_INF_B[[#This Row],[Lanzam.]],0)</f>
        <v>0</v>
      </c>
      <c r="W39" s="49">
        <f>IF(BD_ESTADISTICA_INF_B[[#This Row],[POSICION]]="portero",BD_ESTADISTICA_INF_B[[#This Row],[Lanzam.]],0)</f>
        <v>0</v>
      </c>
    </row>
    <row r="40" spans="1:23">
      <c r="A40" s="44" t="s">
        <v>16</v>
      </c>
      <c r="B40" s="45"/>
      <c r="C40" s="45"/>
      <c r="D40" s="45"/>
      <c r="E40" s="39" t="str">
        <f>IF(BD_ESTADISTICA_INF_B[[#This Row],[Lanzam.]]="","",IF(BD_ESTADISTICA_INF_B[[#This Row],[POSICION]]="jugador",B40/D40,C40/D40))</f>
        <v/>
      </c>
      <c r="F40" s="45"/>
      <c r="G40" s="45"/>
      <c r="H40" s="45"/>
      <c r="I40" s="45"/>
      <c r="J40" s="45"/>
      <c r="K40" s="45"/>
      <c r="L40" s="45"/>
      <c r="M40" s="45"/>
      <c r="N40" s="45"/>
      <c r="O40" s="46">
        <v>3</v>
      </c>
      <c r="P40" s="47" t="s">
        <v>120</v>
      </c>
      <c r="Q40" s="48" t="s">
        <v>102</v>
      </c>
      <c r="R40" s="40" t="s">
        <v>123</v>
      </c>
      <c r="S40" s="49" t="str">
        <f>IF(OR(BD_ESTADISTICA_INF_B[[#This Row],[Jugador]]="eudald",BD_ESTADISTICA_INF_B[[#This Row],[Jugador]]="jules",BD_ESTADISTICA_INF_B[[#This Row],[Jugador]]="JAN"),"PORTERO","JUGADOR")</f>
        <v>JUGADOR</v>
      </c>
      <c r="T40" s="49">
        <f>IF(BD_ESTADISTICA_INF_B[[#This Row],[POSICION]]="jugador",BD_ESTADISTICA_INF_B[[#This Row],[Goles]],0)</f>
        <v>0</v>
      </c>
      <c r="U40" s="49">
        <f>IF(BD_ESTADISTICA_INF_B[[#This Row],[POSICION]]="portero",BD_ESTADISTICA_INF_B[[#This Row],[Lanzam.]]-BD_ESTADISTICA_INF_B[[#This Row],[Paradas]],0)</f>
        <v>0</v>
      </c>
      <c r="V40" s="49">
        <f>IF(BD_ESTADISTICA_INF_B[[#This Row],[POSICION]]="jugador",BD_ESTADISTICA_INF_B[[#This Row],[Lanzam.]],0)</f>
        <v>0</v>
      </c>
      <c r="W40" s="49">
        <f>IF(BD_ESTADISTICA_INF_B[[#This Row],[POSICION]]="portero",BD_ESTADISTICA_INF_B[[#This Row],[Lanzam.]],0)</f>
        <v>0</v>
      </c>
    </row>
    <row r="41" spans="1:23">
      <c r="A41" s="44" t="s">
        <v>17</v>
      </c>
      <c r="B41" s="45"/>
      <c r="C41" s="45"/>
      <c r="D41" s="45"/>
      <c r="E41" s="39" t="str">
        <f>IF(BD_ESTADISTICA_INF_B[[#This Row],[Lanzam.]]="","",IF(BD_ESTADISTICA_INF_B[[#This Row],[POSICION]]="jugador",B41/D41,C41/D41))</f>
        <v/>
      </c>
      <c r="F41" s="45"/>
      <c r="G41" s="45"/>
      <c r="H41" s="45"/>
      <c r="I41" s="45"/>
      <c r="J41" s="45"/>
      <c r="K41" s="45"/>
      <c r="L41" s="45"/>
      <c r="M41" s="45"/>
      <c r="N41" s="45"/>
      <c r="O41" s="46">
        <v>3</v>
      </c>
      <c r="P41" s="47" t="s">
        <v>120</v>
      </c>
      <c r="Q41" s="48" t="s">
        <v>102</v>
      </c>
      <c r="R41" s="40" t="s">
        <v>123</v>
      </c>
      <c r="S41" s="49" t="str">
        <f>IF(OR(BD_ESTADISTICA_INF_B[[#This Row],[Jugador]]="eudald",BD_ESTADISTICA_INF_B[[#This Row],[Jugador]]="jules",BD_ESTADISTICA_INF_B[[#This Row],[Jugador]]="JAN"),"PORTERO","JUGADOR")</f>
        <v>JUGADOR</v>
      </c>
      <c r="T41" s="49">
        <f>IF(BD_ESTADISTICA_INF_B[[#This Row],[POSICION]]="jugador",BD_ESTADISTICA_INF_B[[#This Row],[Goles]],0)</f>
        <v>0</v>
      </c>
      <c r="U41" s="49">
        <f>IF(BD_ESTADISTICA_INF_B[[#This Row],[POSICION]]="portero",BD_ESTADISTICA_INF_B[[#This Row],[Lanzam.]]-BD_ESTADISTICA_INF_B[[#This Row],[Paradas]],0)</f>
        <v>0</v>
      </c>
      <c r="V41" s="49">
        <f>IF(BD_ESTADISTICA_INF_B[[#This Row],[POSICION]]="jugador",BD_ESTADISTICA_INF_B[[#This Row],[Lanzam.]],0)</f>
        <v>0</v>
      </c>
      <c r="W41" s="49">
        <f>IF(BD_ESTADISTICA_INF_B[[#This Row],[POSICION]]="portero",BD_ESTADISTICA_INF_B[[#This Row],[Lanzam.]],0)</f>
        <v>0</v>
      </c>
    </row>
    <row r="42" spans="1:23">
      <c r="A42" s="44" t="s">
        <v>18</v>
      </c>
      <c r="B42" s="45"/>
      <c r="C42" s="45"/>
      <c r="D42" s="45"/>
      <c r="E42" s="39" t="str">
        <f>IF(BD_ESTADISTICA_INF_B[[#This Row],[Lanzam.]]="","",IF(BD_ESTADISTICA_INF_B[[#This Row],[POSICION]]="jugador",B42/D42,C42/D42))</f>
        <v/>
      </c>
      <c r="F42" s="45"/>
      <c r="G42" s="45"/>
      <c r="H42" s="45"/>
      <c r="I42" s="45"/>
      <c r="J42" s="45"/>
      <c r="K42" s="45"/>
      <c r="L42" s="45"/>
      <c r="M42" s="45"/>
      <c r="N42" s="45"/>
      <c r="O42" s="46">
        <v>3</v>
      </c>
      <c r="P42" s="47" t="s">
        <v>120</v>
      </c>
      <c r="Q42" s="48" t="s">
        <v>102</v>
      </c>
      <c r="R42" s="40" t="s">
        <v>123</v>
      </c>
      <c r="S42" s="49" t="str">
        <f>IF(OR(BD_ESTADISTICA_INF_B[[#This Row],[Jugador]]="eudald",BD_ESTADISTICA_INF_B[[#This Row],[Jugador]]="jules",BD_ESTADISTICA_INF_B[[#This Row],[Jugador]]="JAN"),"PORTERO","JUGADOR")</f>
        <v>JUGADOR</v>
      </c>
      <c r="T42" s="49">
        <f>IF(BD_ESTADISTICA_INF_B[[#This Row],[POSICION]]="jugador",BD_ESTADISTICA_INF_B[[#This Row],[Goles]],0)</f>
        <v>0</v>
      </c>
      <c r="U42" s="49">
        <f>IF(BD_ESTADISTICA_INF_B[[#This Row],[POSICION]]="portero",BD_ESTADISTICA_INF_B[[#This Row],[Lanzam.]]-BD_ESTADISTICA_INF_B[[#This Row],[Paradas]],0)</f>
        <v>0</v>
      </c>
      <c r="V42" s="49">
        <f>IF(BD_ESTADISTICA_INF_B[[#This Row],[POSICION]]="jugador",BD_ESTADISTICA_INF_B[[#This Row],[Lanzam.]],0)</f>
        <v>0</v>
      </c>
      <c r="W42" s="49">
        <f>IF(BD_ESTADISTICA_INF_B[[#This Row],[POSICION]]="portero",BD_ESTADISTICA_INF_B[[#This Row],[Lanzam.]],0)</f>
        <v>0</v>
      </c>
    </row>
    <row r="43" spans="1:23">
      <c r="A43" s="44" t="s">
        <v>19</v>
      </c>
      <c r="B43" s="45"/>
      <c r="C43" s="45"/>
      <c r="D43" s="45"/>
      <c r="E43" s="39" t="str">
        <f>IF(BD_ESTADISTICA_INF_B[[#This Row],[Lanzam.]]="","",IF(BD_ESTADISTICA_INF_B[[#This Row],[POSICION]]="jugador",B43/D43,C43/D43))</f>
        <v/>
      </c>
      <c r="F43" s="45"/>
      <c r="G43" s="45"/>
      <c r="H43" s="45"/>
      <c r="I43" s="45"/>
      <c r="J43" s="45"/>
      <c r="K43" s="45"/>
      <c r="L43" s="45"/>
      <c r="M43" s="45"/>
      <c r="N43" s="45"/>
      <c r="O43" s="46">
        <v>3</v>
      </c>
      <c r="P43" s="47" t="s">
        <v>120</v>
      </c>
      <c r="Q43" s="48" t="s">
        <v>102</v>
      </c>
      <c r="R43" s="40" t="s">
        <v>123</v>
      </c>
      <c r="S43" s="49" t="str">
        <f>IF(OR(BD_ESTADISTICA_INF_B[[#This Row],[Jugador]]="eudald",BD_ESTADISTICA_INF_B[[#This Row],[Jugador]]="jules",BD_ESTADISTICA_INF_B[[#This Row],[Jugador]]="JAN"),"PORTERO","JUGADOR")</f>
        <v>JUGADOR</v>
      </c>
      <c r="T43" s="49">
        <f>IF(BD_ESTADISTICA_INF_B[[#This Row],[POSICION]]="jugador",BD_ESTADISTICA_INF_B[[#This Row],[Goles]],0)</f>
        <v>0</v>
      </c>
      <c r="U43" s="49">
        <f>IF(BD_ESTADISTICA_INF_B[[#This Row],[POSICION]]="portero",BD_ESTADISTICA_INF_B[[#This Row],[Lanzam.]]-BD_ESTADISTICA_INF_B[[#This Row],[Paradas]],0)</f>
        <v>0</v>
      </c>
      <c r="V43" s="49">
        <f>IF(BD_ESTADISTICA_INF_B[[#This Row],[POSICION]]="jugador",BD_ESTADISTICA_INF_B[[#This Row],[Lanzam.]],0)</f>
        <v>0</v>
      </c>
      <c r="W43" s="49">
        <f>IF(BD_ESTADISTICA_INF_B[[#This Row],[POSICION]]="portero",BD_ESTADISTICA_INF_B[[#This Row],[Lanzam.]],0)</f>
        <v>0</v>
      </c>
    </row>
    <row r="44" spans="1:23">
      <c r="A44" s="44" t="s">
        <v>20</v>
      </c>
      <c r="B44" s="45"/>
      <c r="C44" s="45"/>
      <c r="D44" s="45"/>
      <c r="E44" s="39" t="str">
        <f>IF(BD_ESTADISTICA_INF_B[[#This Row],[Lanzam.]]="","",IF(BD_ESTADISTICA_INF_B[[#This Row],[POSICION]]="jugador",B44/D44,C44/D44))</f>
        <v/>
      </c>
      <c r="F44" s="45"/>
      <c r="G44" s="45"/>
      <c r="H44" s="45"/>
      <c r="I44" s="45"/>
      <c r="J44" s="45"/>
      <c r="K44" s="45"/>
      <c r="L44" s="45"/>
      <c r="M44" s="45"/>
      <c r="N44" s="45"/>
      <c r="O44" s="46">
        <v>3</v>
      </c>
      <c r="P44" s="47" t="s">
        <v>120</v>
      </c>
      <c r="Q44" s="48" t="s">
        <v>102</v>
      </c>
      <c r="R44" s="40" t="s">
        <v>123</v>
      </c>
      <c r="S44" s="49" t="str">
        <f>IF(OR(BD_ESTADISTICA_INF_B[[#This Row],[Jugador]]="eudald",BD_ESTADISTICA_INF_B[[#This Row],[Jugador]]="jules",BD_ESTADISTICA_INF_B[[#This Row],[Jugador]]="JAN"),"PORTERO","JUGADOR")</f>
        <v>JUGADOR</v>
      </c>
      <c r="T44" s="49">
        <f>IF(BD_ESTADISTICA_INF_B[[#This Row],[POSICION]]="jugador",BD_ESTADISTICA_INF_B[[#This Row],[Goles]],0)</f>
        <v>0</v>
      </c>
      <c r="U44" s="49">
        <f>IF(BD_ESTADISTICA_INF_B[[#This Row],[POSICION]]="portero",BD_ESTADISTICA_INF_B[[#This Row],[Lanzam.]]-BD_ESTADISTICA_INF_B[[#This Row],[Paradas]],0)</f>
        <v>0</v>
      </c>
      <c r="V44" s="49">
        <f>IF(BD_ESTADISTICA_INF_B[[#This Row],[POSICION]]="jugador",BD_ESTADISTICA_INF_B[[#This Row],[Lanzam.]],0)</f>
        <v>0</v>
      </c>
      <c r="W44" s="49">
        <f>IF(BD_ESTADISTICA_INF_B[[#This Row],[POSICION]]="portero",BD_ESTADISTICA_INF_B[[#This Row],[Lanzam.]],0)</f>
        <v>0</v>
      </c>
    </row>
    <row r="45" spans="1:23">
      <c r="A45" s="44" t="s">
        <v>21</v>
      </c>
      <c r="B45" s="45"/>
      <c r="C45" s="45"/>
      <c r="D45" s="45"/>
      <c r="E45" s="39" t="str">
        <f>IF(BD_ESTADISTICA_INF_B[[#This Row],[Lanzam.]]="","",IF(BD_ESTADISTICA_INF_B[[#This Row],[POSICION]]="jugador",B45/D45,C45/D45))</f>
        <v/>
      </c>
      <c r="F45" s="45"/>
      <c r="G45" s="45"/>
      <c r="H45" s="45"/>
      <c r="I45" s="45"/>
      <c r="J45" s="45"/>
      <c r="K45" s="45"/>
      <c r="L45" s="45"/>
      <c r="M45" s="45"/>
      <c r="N45" s="45"/>
      <c r="O45" s="46">
        <v>3</v>
      </c>
      <c r="P45" s="47" t="s">
        <v>120</v>
      </c>
      <c r="Q45" s="48" t="s">
        <v>102</v>
      </c>
      <c r="R45" s="40" t="s">
        <v>123</v>
      </c>
      <c r="S45" s="49" t="str">
        <f>IF(OR(BD_ESTADISTICA_INF_B[[#This Row],[Jugador]]="eudald",BD_ESTADISTICA_INF_B[[#This Row],[Jugador]]="jules",BD_ESTADISTICA_INF_B[[#This Row],[Jugador]]="JAN"),"PORTERO","JUGADOR")</f>
        <v>JUGADOR</v>
      </c>
      <c r="T45" s="49">
        <f>IF(BD_ESTADISTICA_INF_B[[#This Row],[POSICION]]="jugador",BD_ESTADISTICA_INF_B[[#This Row],[Goles]],0)</f>
        <v>0</v>
      </c>
      <c r="U45" s="49">
        <f>IF(BD_ESTADISTICA_INF_B[[#This Row],[POSICION]]="portero",BD_ESTADISTICA_INF_B[[#This Row],[Lanzam.]]-BD_ESTADISTICA_INF_B[[#This Row],[Paradas]],0)</f>
        <v>0</v>
      </c>
      <c r="V45" s="49">
        <f>IF(BD_ESTADISTICA_INF_B[[#This Row],[POSICION]]="jugador",BD_ESTADISTICA_INF_B[[#This Row],[Lanzam.]],0)</f>
        <v>0</v>
      </c>
      <c r="W45" s="49">
        <f>IF(BD_ESTADISTICA_INF_B[[#This Row],[POSICION]]="portero",BD_ESTADISTICA_INF_B[[#This Row],[Lanzam.]],0)</f>
        <v>0</v>
      </c>
    </row>
    <row r="46" spans="1:23">
      <c r="A46" s="44" t="s">
        <v>40</v>
      </c>
      <c r="B46" s="45"/>
      <c r="C46" s="45"/>
      <c r="D46" s="45"/>
      <c r="E46" s="39" t="str">
        <f>IF(BD_ESTADISTICA_INF_B[[#This Row],[Lanzam.]]="","",IF(BD_ESTADISTICA_INF_B[[#This Row],[POSICION]]="jugador",B46/D46,C46/D46))</f>
        <v/>
      </c>
      <c r="F46" s="45"/>
      <c r="G46" s="45"/>
      <c r="H46" s="45"/>
      <c r="I46" s="45"/>
      <c r="J46" s="45"/>
      <c r="K46" s="45"/>
      <c r="L46" s="45"/>
      <c r="M46" s="45"/>
      <c r="N46" s="45"/>
      <c r="O46" s="46">
        <v>3</v>
      </c>
      <c r="P46" s="47" t="s">
        <v>120</v>
      </c>
      <c r="Q46" s="48" t="s">
        <v>102</v>
      </c>
      <c r="R46" s="40" t="s">
        <v>123</v>
      </c>
      <c r="S46" s="49" t="str">
        <f>IF(OR(BD_ESTADISTICA_INF_B[[#This Row],[Jugador]]="eudald",BD_ESTADISTICA_INF_B[[#This Row],[Jugador]]="jules",BD_ESTADISTICA_INF_B[[#This Row],[Jugador]]="JAN"),"PORTERO","JUGADOR")</f>
        <v>JUGADOR</v>
      </c>
      <c r="T46" s="49">
        <f>IF(BD_ESTADISTICA_INF_B[[#This Row],[POSICION]]="jugador",BD_ESTADISTICA_INF_B[[#This Row],[Goles]],0)</f>
        <v>0</v>
      </c>
      <c r="U46" s="49">
        <f>IF(BD_ESTADISTICA_INF_B[[#This Row],[POSICION]]="portero",BD_ESTADISTICA_INF_B[[#This Row],[Lanzam.]]-BD_ESTADISTICA_INF_B[[#This Row],[Paradas]],0)</f>
        <v>0</v>
      </c>
      <c r="V46" s="49">
        <f>IF(BD_ESTADISTICA_INF_B[[#This Row],[POSICION]]="jugador",BD_ESTADISTICA_INF_B[[#This Row],[Lanzam.]],0)</f>
        <v>0</v>
      </c>
      <c r="W46" s="49">
        <f>IF(BD_ESTADISTICA_INF_B[[#This Row],[POSICION]]="portero",BD_ESTADISTICA_INF_B[[#This Row],[Lanzam.]],0)</f>
        <v>0</v>
      </c>
    </row>
    <row r="47" spans="1:23">
      <c r="A47" s="44" t="s">
        <v>41</v>
      </c>
      <c r="B47" s="45"/>
      <c r="C47" s="45"/>
      <c r="D47" s="45"/>
      <c r="E47" s="39" t="str">
        <f>IF(BD_ESTADISTICA_INF_B[[#This Row],[Lanzam.]]="","",IF(BD_ESTADISTICA_INF_B[[#This Row],[POSICION]]="jugador",B47/D47,C47/D47))</f>
        <v/>
      </c>
      <c r="F47" s="45"/>
      <c r="G47" s="45"/>
      <c r="H47" s="45"/>
      <c r="I47" s="45"/>
      <c r="J47" s="45"/>
      <c r="K47" s="45"/>
      <c r="L47" s="45"/>
      <c r="M47" s="45"/>
      <c r="N47" s="45"/>
      <c r="O47" s="46">
        <v>3</v>
      </c>
      <c r="P47" s="47" t="s">
        <v>120</v>
      </c>
      <c r="Q47" s="48" t="s">
        <v>102</v>
      </c>
      <c r="R47" s="40" t="s">
        <v>123</v>
      </c>
      <c r="S47" s="49" t="str">
        <f>IF(OR(BD_ESTADISTICA_INF_B[[#This Row],[Jugador]]="eudald",BD_ESTADISTICA_INF_B[[#This Row],[Jugador]]="jules",BD_ESTADISTICA_INF_B[[#This Row],[Jugador]]="JAN"),"PORTERO","JUGADOR")</f>
        <v>JUGADOR</v>
      </c>
      <c r="T47" s="49">
        <f>IF(BD_ESTADISTICA_INF_B[[#This Row],[POSICION]]="jugador",BD_ESTADISTICA_INF_B[[#This Row],[Goles]],0)</f>
        <v>0</v>
      </c>
      <c r="U47" s="49">
        <f>IF(BD_ESTADISTICA_INF_B[[#This Row],[POSICION]]="portero",BD_ESTADISTICA_INF_B[[#This Row],[Lanzam.]]-BD_ESTADISTICA_INF_B[[#This Row],[Paradas]],0)</f>
        <v>0</v>
      </c>
      <c r="V47" s="49">
        <f>IF(BD_ESTADISTICA_INF_B[[#This Row],[POSICION]]="jugador",BD_ESTADISTICA_INF_B[[#This Row],[Lanzam.]],0)</f>
        <v>0</v>
      </c>
      <c r="W47" s="49">
        <f>IF(BD_ESTADISTICA_INF_B[[#This Row],[POSICION]]="portero",BD_ESTADISTICA_INF_B[[#This Row],[Lanzam.]],0)</f>
        <v>0</v>
      </c>
    </row>
    <row r="48" spans="1:23">
      <c r="A48" s="44" t="s">
        <v>23</v>
      </c>
      <c r="B48" s="45"/>
      <c r="C48" s="45"/>
      <c r="D48" s="45"/>
      <c r="E48" s="39" t="str">
        <f>IF(BD_ESTADISTICA_INF_B[[#This Row],[Lanzam.]]="","",IF(BD_ESTADISTICA_INF_B[[#This Row],[POSICION]]="jugador",B48/D48,C48/D48))</f>
        <v/>
      </c>
      <c r="F48" s="45"/>
      <c r="G48" s="45"/>
      <c r="H48" s="45"/>
      <c r="I48" s="45"/>
      <c r="J48" s="45"/>
      <c r="K48" s="45"/>
      <c r="L48" s="45"/>
      <c r="M48" s="45"/>
      <c r="N48" s="45"/>
      <c r="O48" s="46">
        <v>3</v>
      </c>
      <c r="P48" s="47" t="s">
        <v>120</v>
      </c>
      <c r="Q48" s="48" t="s">
        <v>102</v>
      </c>
      <c r="R48" s="40" t="s">
        <v>123</v>
      </c>
      <c r="S48" s="49" t="str">
        <f>IF(OR(BD_ESTADISTICA_INF_B[[#This Row],[Jugador]]="eudald",BD_ESTADISTICA_INF_B[[#This Row],[Jugador]]="jules",BD_ESTADISTICA_INF_B[[#This Row],[Jugador]]="JAN"),"PORTERO","JUGADOR")</f>
        <v>JUGADOR</v>
      </c>
      <c r="T48" s="49">
        <f>IF(BD_ESTADISTICA_INF_B[[#This Row],[POSICION]]="jugador",BD_ESTADISTICA_INF_B[[#This Row],[Goles]],0)</f>
        <v>0</v>
      </c>
      <c r="U48" s="49">
        <f>IF(BD_ESTADISTICA_INF_B[[#This Row],[POSICION]]="portero",BD_ESTADISTICA_INF_B[[#This Row],[Lanzam.]]-BD_ESTADISTICA_INF_B[[#This Row],[Paradas]],0)</f>
        <v>0</v>
      </c>
      <c r="V48" s="49">
        <f>IF(BD_ESTADISTICA_INF_B[[#This Row],[POSICION]]="jugador",BD_ESTADISTICA_INF_B[[#This Row],[Lanzam.]],0)</f>
        <v>0</v>
      </c>
      <c r="W48" s="49">
        <f>IF(BD_ESTADISTICA_INF_B[[#This Row],[POSICION]]="portero",BD_ESTADISTICA_INF_B[[#This Row],[Lanzam.]],0)</f>
        <v>0</v>
      </c>
    </row>
    <row r="49" spans="1:23">
      <c r="A49" s="44" t="s">
        <v>24</v>
      </c>
      <c r="B49" s="45"/>
      <c r="C49" s="45"/>
      <c r="D49" s="45"/>
      <c r="E49" s="39" t="str">
        <f>IF(BD_ESTADISTICA_INF_B[[#This Row],[Lanzam.]]="","",IF(BD_ESTADISTICA_INF_B[[#This Row],[POSICION]]="jugador",B49/D49,C49/D49))</f>
        <v/>
      </c>
      <c r="F49" s="45"/>
      <c r="G49" s="45"/>
      <c r="H49" s="45"/>
      <c r="I49" s="45"/>
      <c r="J49" s="45"/>
      <c r="K49" s="45"/>
      <c r="L49" s="45"/>
      <c r="M49" s="45"/>
      <c r="N49" s="45"/>
      <c r="O49" s="46">
        <v>3</v>
      </c>
      <c r="P49" s="47" t="s">
        <v>120</v>
      </c>
      <c r="Q49" s="48" t="s">
        <v>102</v>
      </c>
      <c r="R49" s="40" t="s">
        <v>123</v>
      </c>
      <c r="S49" s="49" t="str">
        <f>IF(OR(BD_ESTADISTICA_INF_B[[#This Row],[Jugador]]="eudald",BD_ESTADISTICA_INF_B[[#This Row],[Jugador]]="jules",BD_ESTADISTICA_INF_B[[#This Row],[Jugador]]="JAN"),"PORTERO","JUGADOR")</f>
        <v>JUGADOR</v>
      </c>
      <c r="T49" s="49">
        <f>IF(BD_ESTADISTICA_INF_B[[#This Row],[POSICION]]="jugador",BD_ESTADISTICA_INF_B[[#This Row],[Goles]],0)</f>
        <v>0</v>
      </c>
      <c r="U49" s="49">
        <f>IF(BD_ESTADISTICA_INF_B[[#This Row],[POSICION]]="portero",BD_ESTADISTICA_INF_B[[#This Row],[Lanzam.]]-BD_ESTADISTICA_INF_B[[#This Row],[Paradas]],0)</f>
        <v>0</v>
      </c>
      <c r="V49" s="49">
        <f>IF(BD_ESTADISTICA_INF_B[[#This Row],[POSICION]]="jugador",BD_ESTADISTICA_INF_B[[#This Row],[Lanzam.]],0)</f>
        <v>0</v>
      </c>
      <c r="W49" s="49">
        <f>IF(BD_ESTADISTICA_INF_B[[#This Row],[POSICION]]="portero",BD_ESTADISTICA_INF_B[[#This Row],[Lanzam.]],0)</f>
        <v>0</v>
      </c>
    </row>
    <row r="50" spans="1:23">
      <c r="A50" s="44" t="s">
        <v>25</v>
      </c>
      <c r="B50" s="45"/>
      <c r="C50" s="45"/>
      <c r="D50" s="45"/>
      <c r="E50" s="39" t="str">
        <f>IF(BD_ESTADISTICA_INF_B[[#This Row],[Lanzam.]]="","",IF(BD_ESTADISTICA_INF_B[[#This Row],[POSICION]]="jugador",B50/D50,C50/D50))</f>
        <v/>
      </c>
      <c r="F50" s="45"/>
      <c r="G50" s="45"/>
      <c r="H50" s="45"/>
      <c r="I50" s="45"/>
      <c r="J50" s="45"/>
      <c r="K50" s="45"/>
      <c r="L50" s="45"/>
      <c r="M50" s="45"/>
      <c r="N50" s="45"/>
      <c r="O50" s="46">
        <v>3</v>
      </c>
      <c r="P50" s="47" t="s">
        <v>120</v>
      </c>
      <c r="Q50" s="48" t="s">
        <v>102</v>
      </c>
      <c r="R50" s="40" t="s">
        <v>123</v>
      </c>
      <c r="S50" s="49" t="str">
        <f>IF(OR(BD_ESTADISTICA_INF_B[[#This Row],[Jugador]]="eudald",BD_ESTADISTICA_INF_B[[#This Row],[Jugador]]="jules",BD_ESTADISTICA_INF_B[[#This Row],[Jugador]]="JAN"),"PORTERO","JUGADOR")</f>
        <v>JUGADOR</v>
      </c>
      <c r="T50" s="49">
        <f>IF(BD_ESTADISTICA_INF_B[[#This Row],[POSICION]]="jugador",BD_ESTADISTICA_INF_B[[#This Row],[Goles]],0)</f>
        <v>0</v>
      </c>
      <c r="U50" s="49">
        <f>IF(BD_ESTADISTICA_INF_B[[#This Row],[POSICION]]="portero",BD_ESTADISTICA_INF_B[[#This Row],[Lanzam.]]-BD_ESTADISTICA_INF_B[[#This Row],[Paradas]],0)</f>
        <v>0</v>
      </c>
      <c r="V50" s="49">
        <f>IF(BD_ESTADISTICA_INF_B[[#This Row],[POSICION]]="jugador",BD_ESTADISTICA_INF_B[[#This Row],[Lanzam.]],0)</f>
        <v>0</v>
      </c>
      <c r="W50" s="49">
        <f>IF(BD_ESTADISTICA_INF_B[[#This Row],[POSICION]]="portero",BD_ESTADISTICA_INF_B[[#This Row],[Lanzam.]],0)</f>
        <v>0</v>
      </c>
    </row>
    <row r="51" spans="1:23">
      <c r="A51" s="44" t="s">
        <v>26</v>
      </c>
      <c r="B51" s="45"/>
      <c r="C51" s="45"/>
      <c r="D51" s="45"/>
      <c r="E51" s="39" t="str">
        <f>IF(BD_ESTADISTICA_INF_B[[#This Row],[Lanzam.]]="","",IF(BD_ESTADISTICA_INF_B[[#This Row],[POSICION]]="jugador",B51/D51,C51/D51))</f>
        <v/>
      </c>
      <c r="F51" s="45"/>
      <c r="G51" s="45"/>
      <c r="H51" s="45"/>
      <c r="I51" s="45"/>
      <c r="J51" s="45"/>
      <c r="K51" s="45"/>
      <c r="L51" s="45"/>
      <c r="M51" s="45"/>
      <c r="N51" s="45"/>
      <c r="O51" s="46">
        <v>3</v>
      </c>
      <c r="P51" s="47" t="s">
        <v>120</v>
      </c>
      <c r="Q51" s="48" t="s">
        <v>102</v>
      </c>
      <c r="R51" s="40" t="s">
        <v>123</v>
      </c>
      <c r="S51" s="49" t="str">
        <f>IF(OR(BD_ESTADISTICA_INF_B[[#This Row],[Jugador]]="eudald",BD_ESTADISTICA_INF_B[[#This Row],[Jugador]]="jules",BD_ESTADISTICA_INF_B[[#This Row],[Jugador]]="JAN"),"PORTERO","JUGADOR")</f>
        <v>JUGADOR</v>
      </c>
      <c r="T51" s="49">
        <f>IF(BD_ESTADISTICA_INF_B[[#This Row],[POSICION]]="jugador",BD_ESTADISTICA_INF_B[[#This Row],[Goles]],0)</f>
        <v>0</v>
      </c>
      <c r="U51" s="49">
        <f>IF(BD_ESTADISTICA_INF_B[[#This Row],[POSICION]]="portero",BD_ESTADISTICA_INF_B[[#This Row],[Lanzam.]]-BD_ESTADISTICA_INF_B[[#This Row],[Paradas]],0)</f>
        <v>0</v>
      </c>
      <c r="V51" s="49">
        <f>IF(BD_ESTADISTICA_INF_B[[#This Row],[POSICION]]="jugador",BD_ESTADISTICA_INF_B[[#This Row],[Lanzam.]],0)</f>
        <v>0</v>
      </c>
      <c r="W51" s="49">
        <f>IF(BD_ESTADISTICA_INF_B[[#This Row],[POSICION]]="portero",BD_ESTADISTICA_INF_B[[#This Row],[Lanzam.]],0)</f>
        <v>0</v>
      </c>
    </row>
    <row r="52" spans="1:23">
      <c r="A52" s="44" t="s">
        <v>27</v>
      </c>
      <c r="B52" s="45"/>
      <c r="C52" s="45"/>
      <c r="D52" s="45"/>
      <c r="E52" s="39" t="str">
        <f>IF(BD_ESTADISTICA_INF_B[[#This Row],[Lanzam.]]="","",IF(BD_ESTADISTICA_INF_B[[#This Row],[POSICION]]="jugador",B52/D52,C52/D52))</f>
        <v/>
      </c>
      <c r="F52" s="45"/>
      <c r="G52" s="45"/>
      <c r="H52" s="45"/>
      <c r="I52" s="45"/>
      <c r="J52" s="45"/>
      <c r="K52" s="45"/>
      <c r="L52" s="45"/>
      <c r="M52" s="45"/>
      <c r="N52" s="45"/>
      <c r="O52" s="46">
        <v>3</v>
      </c>
      <c r="P52" s="47" t="s">
        <v>120</v>
      </c>
      <c r="Q52" s="48" t="s">
        <v>102</v>
      </c>
      <c r="R52" s="40" t="s">
        <v>123</v>
      </c>
      <c r="S52" s="49" t="str">
        <f>IF(OR(BD_ESTADISTICA_INF_B[[#This Row],[Jugador]]="eudald",BD_ESTADISTICA_INF_B[[#This Row],[Jugador]]="jules",BD_ESTADISTICA_INF_B[[#This Row],[Jugador]]="JAN"),"PORTERO","JUGADOR")</f>
        <v>JUGADOR</v>
      </c>
      <c r="T52" s="49">
        <f>IF(BD_ESTADISTICA_INF_B[[#This Row],[POSICION]]="jugador",BD_ESTADISTICA_INF_B[[#This Row],[Goles]],0)</f>
        <v>0</v>
      </c>
      <c r="U52" s="49">
        <f>IF(BD_ESTADISTICA_INF_B[[#This Row],[POSICION]]="portero",BD_ESTADISTICA_INF_B[[#This Row],[Lanzam.]]-BD_ESTADISTICA_INF_B[[#This Row],[Paradas]],0)</f>
        <v>0</v>
      </c>
      <c r="V52" s="49">
        <f>IF(BD_ESTADISTICA_INF_B[[#This Row],[POSICION]]="jugador",BD_ESTADISTICA_INF_B[[#This Row],[Lanzam.]],0)</f>
        <v>0</v>
      </c>
      <c r="W52" s="49">
        <f>IF(BD_ESTADISTICA_INF_B[[#This Row],[POSICION]]="portero",BD_ESTADISTICA_INF_B[[#This Row],[Lanzam.]],0)</f>
        <v>0</v>
      </c>
    </row>
    <row r="53" spans="1:23">
      <c r="A53" s="44" t="s">
        <v>28</v>
      </c>
      <c r="B53" s="45"/>
      <c r="C53" s="45"/>
      <c r="D53" s="45"/>
      <c r="E53" s="39" t="str">
        <f>IF(BD_ESTADISTICA_INF_B[[#This Row],[Lanzam.]]="","",IF(BD_ESTADISTICA_INF_B[[#This Row],[POSICION]]="jugador",B53/D53,C53/D53))</f>
        <v/>
      </c>
      <c r="F53" s="45"/>
      <c r="G53" s="45"/>
      <c r="H53" s="45"/>
      <c r="I53" s="45"/>
      <c r="J53" s="45"/>
      <c r="K53" s="45"/>
      <c r="L53" s="45"/>
      <c r="M53" s="45"/>
      <c r="N53" s="45"/>
      <c r="O53" s="46">
        <v>3</v>
      </c>
      <c r="P53" s="47" t="s">
        <v>120</v>
      </c>
      <c r="Q53" s="48" t="s">
        <v>102</v>
      </c>
      <c r="R53" s="40" t="s">
        <v>123</v>
      </c>
      <c r="S53" s="49" t="str">
        <f>IF(OR(BD_ESTADISTICA_INF_B[[#This Row],[Jugador]]="eudald",BD_ESTADISTICA_INF_B[[#This Row],[Jugador]]="jules",BD_ESTADISTICA_INF_B[[#This Row],[Jugador]]="JAN"),"PORTERO","JUGADOR")</f>
        <v>JUGADOR</v>
      </c>
      <c r="T53" s="49">
        <f>IF(BD_ESTADISTICA_INF_B[[#This Row],[POSICION]]="jugador",BD_ESTADISTICA_INF_B[[#This Row],[Goles]],0)</f>
        <v>0</v>
      </c>
      <c r="U53" s="49">
        <f>IF(BD_ESTADISTICA_INF_B[[#This Row],[POSICION]]="portero",BD_ESTADISTICA_INF_B[[#This Row],[Lanzam.]]-BD_ESTADISTICA_INF_B[[#This Row],[Paradas]],0)</f>
        <v>0</v>
      </c>
      <c r="V53" s="49">
        <f>IF(BD_ESTADISTICA_INF_B[[#This Row],[POSICION]]="jugador",BD_ESTADISTICA_INF_B[[#This Row],[Lanzam.]],0)</f>
        <v>0</v>
      </c>
      <c r="W53" s="49">
        <f>IF(BD_ESTADISTICA_INF_B[[#This Row],[POSICION]]="portero",BD_ESTADISTICA_INF_B[[#This Row],[Lanzam.]],0)</f>
        <v>0</v>
      </c>
    </row>
    <row r="54" spans="1:23">
      <c r="A54" s="44" t="s">
        <v>31</v>
      </c>
      <c r="B54" s="45"/>
      <c r="C54" s="45"/>
      <c r="D54" s="45"/>
      <c r="E54" s="39" t="str">
        <f>IF(BD_ESTADISTICA_INF_B[[#This Row],[Lanzam.]]="","",IF(BD_ESTADISTICA_INF_B[[#This Row],[POSICION]]="jugador",B54/D54,C54/D54))</f>
        <v/>
      </c>
      <c r="F54" s="45"/>
      <c r="G54" s="45"/>
      <c r="H54" s="45"/>
      <c r="I54" s="45"/>
      <c r="J54" s="45"/>
      <c r="K54" s="45"/>
      <c r="L54" s="45"/>
      <c r="M54" s="45"/>
      <c r="N54" s="45"/>
      <c r="O54" s="46">
        <v>3</v>
      </c>
      <c r="P54" s="47" t="s">
        <v>120</v>
      </c>
      <c r="Q54" s="48" t="s">
        <v>102</v>
      </c>
      <c r="R54" s="40" t="s">
        <v>123</v>
      </c>
      <c r="S54" s="49" t="str">
        <f>IF(OR(BD_ESTADISTICA_INF_B[[#This Row],[Jugador]]="eudald",BD_ESTADISTICA_INF_B[[#This Row],[Jugador]]="jules",BD_ESTADISTICA_INF_B[[#This Row],[Jugador]]="JAN"),"PORTERO","JUGADOR")</f>
        <v>PORTERO</v>
      </c>
      <c r="T54" s="49">
        <f>IF(BD_ESTADISTICA_INF_B[[#This Row],[POSICION]]="jugador",BD_ESTADISTICA_INF_B[[#This Row],[Goles]],0)</f>
        <v>0</v>
      </c>
      <c r="U54" s="49">
        <f>IF(BD_ESTADISTICA_INF_B[[#This Row],[POSICION]]="portero",BD_ESTADISTICA_INF_B[[#This Row],[Lanzam.]]-BD_ESTADISTICA_INF_B[[#This Row],[Paradas]],0)</f>
        <v>0</v>
      </c>
      <c r="V54" s="49">
        <f>IF(BD_ESTADISTICA_INF_B[[#This Row],[POSICION]]="jugador",BD_ESTADISTICA_INF_B[[#This Row],[Lanzam.]],0)</f>
        <v>0</v>
      </c>
      <c r="W54" s="49">
        <f>IF(BD_ESTADISTICA_INF_B[[#This Row],[POSICION]]="portero",BD_ESTADISTICA_INF_B[[#This Row],[Lanzam.]],0)</f>
        <v>0</v>
      </c>
    </row>
    <row r="55" spans="1:23">
      <c r="A55" s="44" t="s">
        <v>29</v>
      </c>
      <c r="B55" s="45"/>
      <c r="C55" s="45"/>
      <c r="D55" s="45"/>
      <c r="E55" s="39" t="str">
        <f>IF(BD_ESTADISTICA_INF_B[[#This Row],[Lanzam.]]="","",IF(BD_ESTADISTICA_INF_B[[#This Row],[POSICION]]="jugador",B55/D55,C55/D55))</f>
        <v/>
      </c>
      <c r="F55" s="45"/>
      <c r="G55" s="45"/>
      <c r="H55" s="45"/>
      <c r="I55" s="45"/>
      <c r="J55" s="45"/>
      <c r="K55" s="45"/>
      <c r="L55" s="45"/>
      <c r="M55" s="45"/>
      <c r="N55" s="45"/>
      <c r="O55" s="46">
        <v>3</v>
      </c>
      <c r="P55" s="47" t="s">
        <v>120</v>
      </c>
      <c r="Q55" s="48" t="s">
        <v>102</v>
      </c>
      <c r="R55" s="40" t="s">
        <v>123</v>
      </c>
      <c r="S55" s="49" t="str">
        <f>IF(OR(BD_ESTADISTICA_INF_B[[#This Row],[Jugador]]="eudald",BD_ESTADISTICA_INF_B[[#This Row],[Jugador]]="jules",BD_ESTADISTICA_INF_B[[#This Row],[Jugador]]="JAN"),"PORTERO","JUGADOR")</f>
        <v>PORTERO</v>
      </c>
      <c r="T55" s="49">
        <f>IF(BD_ESTADISTICA_INF_B[[#This Row],[POSICION]]="jugador",BD_ESTADISTICA_INF_B[[#This Row],[Goles]],0)</f>
        <v>0</v>
      </c>
      <c r="U55" s="49">
        <f>IF(BD_ESTADISTICA_INF_B[[#This Row],[POSICION]]="portero",BD_ESTADISTICA_INF_B[[#This Row],[Lanzam.]]-BD_ESTADISTICA_INF_B[[#This Row],[Paradas]],0)</f>
        <v>0</v>
      </c>
      <c r="V55" s="49">
        <f>IF(BD_ESTADISTICA_INF_B[[#This Row],[POSICION]]="jugador",BD_ESTADISTICA_INF_B[[#This Row],[Lanzam.]],0)</f>
        <v>0</v>
      </c>
      <c r="W55" s="49">
        <f>IF(BD_ESTADISTICA_INF_B[[#This Row],[POSICION]]="portero",BD_ESTADISTICA_INF_B[[#This Row],[Lanzam.]],0)</f>
        <v>0</v>
      </c>
    </row>
    <row r="56" spans="1:23">
      <c r="A56" s="44" t="s">
        <v>30</v>
      </c>
      <c r="B56" s="45"/>
      <c r="C56" s="45"/>
      <c r="D56" s="45"/>
      <c r="E56" s="39" t="str">
        <f>IF(BD_ESTADISTICA_INF_B[[#This Row],[Lanzam.]]="","",IF(BD_ESTADISTICA_INF_B[[#This Row],[POSICION]]="jugador",B56/D56,C56/D56))</f>
        <v/>
      </c>
      <c r="F56" s="45"/>
      <c r="G56" s="45"/>
      <c r="H56" s="45"/>
      <c r="I56" s="45"/>
      <c r="J56" s="45"/>
      <c r="K56" s="45"/>
      <c r="L56" s="45"/>
      <c r="M56" s="45"/>
      <c r="N56" s="45"/>
      <c r="O56" s="46">
        <v>3</v>
      </c>
      <c r="P56" s="47" t="s">
        <v>120</v>
      </c>
      <c r="Q56" s="48" t="s">
        <v>102</v>
      </c>
      <c r="R56" s="40" t="s">
        <v>123</v>
      </c>
      <c r="S56" s="49" t="str">
        <f>IF(OR(BD_ESTADISTICA_INF_B[[#This Row],[Jugador]]="eudald",BD_ESTADISTICA_INF_B[[#This Row],[Jugador]]="jules",BD_ESTADISTICA_INF_B[[#This Row],[Jugador]]="JAN"),"PORTERO","JUGADOR")</f>
        <v>PORTERO</v>
      </c>
      <c r="T56" s="49">
        <f>IF(BD_ESTADISTICA_INF_B[[#This Row],[POSICION]]="jugador",BD_ESTADISTICA_INF_B[[#This Row],[Goles]],0)</f>
        <v>0</v>
      </c>
      <c r="U56" s="49">
        <f>IF(BD_ESTADISTICA_INF_B[[#This Row],[POSICION]]="portero",BD_ESTADISTICA_INF_B[[#This Row],[Lanzam.]]-BD_ESTADISTICA_INF_B[[#This Row],[Paradas]],0)</f>
        <v>0</v>
      </c>
      <c r="V56" s="49">
        <f>IF(BD_ESTADISTICA_INF_B[[#This Row],[POSICION]]="jugador",BD_ESTADISTICA_INF_B[[#This Row],[Lanzam.]],0)</f>
        <v>0</v>
      </c>
      <c r="W56" s="49">
        <f>IF(BD_ESTADISTICA_INF_B[[#This Row],[POSICION]]="portero",BD_ESTADISTICA_INF_B[[#This Row],[Lanzam.]],0)</f>
        <v>0</v>
      </c>
    </row>
    <row r="57" spans="1:23">
      <c r="A57" s="44" t="s">
        <v>42</v>
      </c>
      <c r="B57" s="45"/>
      <c r="C57" s="45"/>
      <c r="D57" s="45"/>
      <c r="E57" s="39" t="str">
        <f>IF(BD_ESTADISTICA_INF_B[[#This Row],[Lanzam.]]="","",IF(BD_ESTADISTICA_INF_B[[#This Row],[POSICION]]="jugador",B57/D57,C57/D57))</f>
        <v/>
      </c>
      <c r="F57" s="45"/>
      <c r="G57" s="45"/>
      <c r="H57" s="45"/>
      <c r="I57" s="45"/>
      <c r="J57" s="45"/>
      <c r="K57" s="45"/>
      <c r="L57" s="45"/>
      <c r="M57" s="45"/>
      <c r="N57" s="45"/>
      <c r="O57" s="46">
        <v>3</v>
      </c>
      <c r="P57" s="47" t="s">
        <v>120</v>
      </c>
      <c r="Q57" s="48" t="s">
        <v>102</v>
      </c>
      <c r="R57" s="40" t="s">
        <v>123</v>
      </c>
      <c r="S57" s="49" t="str">
        <f>IF(OR(BD_ESTADISTICA_INF_B[[#This Row],[Jugador]]="eudald",BD_ESTADISTICA_INF_B[[#This Row],[Jugador]]="jules",BD_ESTADISTICA_INF_B[[#This Row],[Jugador]]="JAN"),"PORTERO","JUGADOR")</f>
        <v>JUGADOR</v>
      </c>
      <c r="T57" s="49">
        <f>IF(BD_ESTADISTICA_INF_B[[#This Row],[POSICION]]="jugador",BD_ESTADISTICA_INF_B[[#This Row],[Goles]],0)</f>
        <v>0</v>
      </c>
      <c r="U57" s="49">
        <f>IF(BD_ESTADISTICA_INF_B[[#This Row],[POSICION]]="portero",BD_ESTADISTICA_INF_B[[#This Row],[Lanzam.]]-BD_ESTADISTICA_INF_B[[#This Row],[Paradas]],0)</f>
        <v>0</v>
      </c>
      <c r="V57" s="49">
        <f>IF(BD_ESTADISTICA_INF_B[[#This Row],[POSICION]]="jugador",BD_ESTADISTICA_INF_B[[#This Row],[Lanzam.]],0)</f>
        <v>0</v>
      </c>
      <c r="W57" s="49">
        <f>IF(BD_ESTADISTICA_INF_B[[#This Row],[POSICION]]="portero",BD_ESTADISTICA_INF_B[[#This Row],[Lanzam.]],0)</f>
        <v>0</v>
      </c>
    </row>
    <row r="58" spans="1:23">
      <c r="A58" s="44" t="s">
        <v>22</v>
      </c>
      <c r="B58" s="45"/>
      <c r="C58" s="45"/>
      <c r="D58" s="45"/>
      <c r="E58" s="39" t="str">
        <f>IF(BD_ESTADISTICA_INF_B[[#This Row],[Lanzam.]]="","",IF(BD_ESTADISTICA_INF_B[[#This Row],[POSICION]]="jugador",B58/D58,C58/D58))</f>
        <v/>
      </c>
      <c r="F58" s="45"/>
      <c r="G58" s="45"/>
      <c r="H58" s="45"/>
      <c r="I58" s="45"/>
      <c r="J58" s="45"/>
      <c r="K58" s="45"/>
      <c r="L58" s="45"/>
      <c r="M58" s="45"/>
      <c r="N58" s="45"/>
      <c r="O58" s="46">
        <v>3</v>
      </c>
      <c r="P58" s="47" t="s">
        <v>120</v>
      </c>
      <c r="Q58" s="48" t="s">
        <v>102</v>
      </c>
      <c r="R58" s="40" t="s">
        <v>123</v>
      </c>
      <c r="S58" s="49" t="str">
        <f>IF(OR(BD_ESTADISTICA_INF_B[[#This Row],[Jugador]]="eudald",BD_ESTADISTICA_INF_B[[#This Row],[Jugador]]="jules",BD_ESTADISTICA_INF_B[[#This Row],[Jugador]]="JAN"),"PORTERO","JUGADOR")</f>
        <v>JUGADOR</v>
      </c>
      <c r="T58" s="49">
        <f>IF(BD_ESTADISTICA_INF_B[[#This Row],[POSICION]]="jugador",BD_ESTADISTICA_INF_B[[#This Row],[Goles]],0)</f>
        <v>0</v>
      </c>
      <c r="U58" s="49">
        <f>IF(BD_ESTADISTICA_INF_B[[#This Row],[POSICION]]="portero",BD_ESTADISTICA_INF_B[[#This Row],[Lanzam.]]-BD_ESTADISTICA_INF_B[[#This Row],[Paradas]],0)</f>
        <v>0</v>
      </c>
      <c r="V58" s="49">
        <f>IF(BD_ESTADISTICA_INF_B[[#This Row],[POSICION]]="jugador",BD_ESTADISTICA_INF_B[[#This Row],[Lanzam.]],0)</f>
        <v>0</v>
      </c>
      <c r="W58" s="49">
        <f>IF(BD_ESTADISTICA_INF_B[[#This Row],[POSICION]]="portero",BD_ESTADISTICA_INF_B[[#This Row],[Lanzam.]],0)</f>
        <v>0</v>
      </c>
    </row>
  </sheetData>
  <phoneticPr fontId="3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12"/>
  <sheetViews>
    <sheetView zoomScale="99" zoomScaleNormal="90" workbookViewId="0">
      <selection activeCell="C13" sqref="C13"/>
    </sheetView>
  </sheetViews>
  <sheetFormatPr baseColWidth="10" defaultRowHeight="13.8"/>
  <cols>
    <col min="1" max="1" width="2.796875" customWidth="1"/>
    <col min="3" max="3" width="22.89843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1.3984375" bestFit="1" customWidth="1"/>
    <col min="15" max="15" width="9.296875" bestFit="1" customWidth="1"/>
    <col min="16" max="16" width="24.796875" bestFit="1" customWidth="1"/>
    <col min="17" max="17" width="25.0976562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5.0976562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41" t="s">
        <v>13</v>
      </c>
      <c r="O1" s="38" t="s">
        <v>33</v>
      </c>
    </row>
    <row r="2" spans="1:44">
      <c r="A2" s="12"/>
    </row>
    <row r="3" spans="1:44">
      <c r="A3" s="13"/>
      <c r="D3" s="38" t="s">
        <v>36</v>
      </c>
      <c r="E3" s="38" t="s">
        <v>37</v>
      </c>
      <c r="G3" s="41" t="s">
        <v>34</v>
      </c>
      <c r="H3" t="s">
        <v>39</v>
      </c>
      <c r="J3" s="41" t="s">
        <v>34</v>
      </c>
      <c r="K3" s="38" t="s">
        <v>36</v>
      </c>
      <c r="L3" s="38" t="s">
        <v>37</v>
      </c>
      <c r="N3" s="41" t="s">
        <v>34</v>
      </c>
      <c r="R3" s="38" t="s">
        <v>45</v>
      </c>
      <c r="S3" s="38" t="s">
        <v>47</v>
      </c>
      <c r="T3" s="38" t="s">
        <v>46</v>
      </c>
      <c r="U3" s="38" t="s">
        <v>44</v>
      </c>
      <c r="X3" s="38" t="s">
        <v>51</v>
      </c>
      <c r="Y3" s="38" t="s">
        <v>50</v>
      </c>
      <c r="Z3" s="38" t="s">
        <v>49</v>
      </c>
      <c r="AA3" s="38" t="s">
        <v>48</v>
      </c>
      <c r="AC3" t="s">
        <v>39</v>
      </c>
    </row>
    <row r="4" spans="1:44">
      <c r="A4" s="14"/>
      <c r="C4" s="42">
        <v>1</v>
      </c>
      <c r="D4" s="52"/>
      <c r="E4" s="52"/>
      <c r="F4" s="17"/>
      <c r="G4" s="42">
        <v>1</v>
      </c>
      <c r="H4" s="43" t="e">
        <v>#DIV/0!</v>
      </c>
      <c r="J4" s="42" t="s">
        <v>28</v>
      </c>
      <c r="K4" s="52"/>
      <c r="L4" s="52"/>
      <c r="N4" s="42" t="s">
        <v>121</v>
      </c>
      <c r="Q4" s="42">
        <v>1</v>
      </c>
      <c r="R4" s="52"/>
      <c r="S4" s="52"/>
      <c r="T4" s="52"/>
      <c r="U4" s="52"/>
      <c r="W4" s="42">
        <v>1</v>
      </c>
      <c r="X4" s="52"/>
      <c r="Y4" s="52"/>
      <c r="Z4" s="52"/>
      <c r="AA4" s="52"/>
      <c r="AC4" s="43" t="e">
        <v>#DIV/0!</v>
      </c>
      <c r="AE4" s="38" t="s">
        <v>45</v>
      </c>
      <c r="AF4" s="38" t="s">
        <v>47</v>
      </c>
      <c r="AG4" s="38" t="s">
        <v>46</v>
      </c>
      <c r="AH4" s="38" t="s">
        <v>44</v>
      </c>
      <c r="AJ4" s="38" t="s">
        <v>89</v>
      </c>
      <c r="AK4" s="38" t="s">
        <v>90</v>
      </c>
      <c r="AL4" s="38" t="s">
        <v>91</v>
      </c>
      <c r="AM4" s="38" t="s">
        <v>94</v>
      </c>
      <c r="AO4" s="42">
        <v>1</v>
      </c>
      <c r="AQ4" t="s">
        <v>95</v>
      </c>
      <c r="AR4">
        <f>GETPIVOTDATA("Recuperaciones",$AE$4)/Analisis_Equipo!AI2</f>
        <v>0</v>
      </c>
    </row>
    <row r="5" spans="1:44">
      <c r="C5" s="50" t="s">
        <v>121</v>
      </c>
      <c r="D5" s="52"/>
      <c r="E5" s="52"/>
      <c r="F5" s="17"/>
      <c r="G5" s="42">
        <v>2</v>
      </c>
      <c r="H5" s="43" t="e">
        <v>#DIV/0!</v>
      </c>
      <c r="J5" s="42" t="s">
        <v>35</v>
      </c>
      <c r="K5" s="52"/>
      <c r="L5" s="52"/>
      <c r="N5" s="42" t="s">
        <v>122</v>
      </c>
      <c r="Q5" s="50" t="s">
        <v>121</v>
      </c>
      <c r="R5" s="52"/>
      <c r="S5" s="52"/>
      <c r="T5" s="52"/>
      <c r="U5" s="52"/>
      <c r="W5" s="50" t="s">
        <v>121</v>
      </c>
      <c r="X5" s="52"/>
      <c r="Y5" s="52"/>
      <c r="Z5" s="52"/>
      <c r="AA5" s="52"/>
      <c r="AE5" s="52"/>
      <c r="AF5" s="52"/>
      <c r="AG5" s="52"/>
      <c r="AH5" s="52"/>
      <c r="AJ5" s="52"/>
      <c r="AK5" s="52"/>
      <c r="AL5" s="52"/>
      <c r="AM5" s="52"/>
      <c r="AO5" s="42">
        <v>2</v>
      </c>
      <c r="AQ5" t="s">
        <v>96</v>
      </c>
      <c r="AR5">
        <f>GETPIVOTDATA("Exclusiones provocadas",$AE$4)/Analisis_Equipo!AI2</f>
        <v>0</v>
      </c>
    </row>
    <row r="6" spans="1:44">
      <c r="C6" s="42">
        <v>2</v>
      </c>
      <c r="D6" s="52"/>
      <c r="E6" s="52"/>
      <c r="F6" s="17"/>
      <c r="G6" s="42">
        <v>3</v>
      </c>
      <c r="H6" s="43" t="e">
        <v>#DIV/0!</v>
      </c>
      <c r="N6" s="42" t="s">
        <v>123</v>
      </c>
      <c r="Q6" s="42">
        <v>2</v>
      </c>
      <c r="R6" s="52"/>
      <c r="S6" s="52"/>
      <c r="T6" s="52"/>
      <c r="U6" s="52"/>
      <c r="W6" s="42">
        <v>2</v>
      </c>
      <c r="X6" s="52"/>
      <c r="Y6" s="52"/>
      <c r="Z6" s="52"/>
      <c r="AA6" s="52"/>
      <c r="AO6" s="42">
        <v>3</v>
      </c>
      <c r="AQ6" t="s">
        <v>97</v>
      </c>
      <c r="AR6">
        <f>GETPIVOTDATA("Penaltis provocados",$AE$4)/Analisis_Equipo!AI2</f>
        <v>0</v>
      </c>
    </row>
    <row r="7" spans="1:44">
      <c r="C7" s="50" t="s">
        <v>122</v>
      </c>
      <c r="D7" s="52"/>
      <c r="E7" s="52"/>
      <c r="F7" s="17"/>
      <c r="G7" s="42" t="s">
        <v>35</v>
      </c>
      <c r="H7" s="43" t="e">
        <v>#DIV/0!</v>
      </c>
      <c r="N7" s="42" t="s">
        <v>35</v>
      </c>
      <c r="Q7" s="50" t="s">
        <v>122</v>
      </c>
      <c r="R7" s="52"/>
      <c r="S7" s="52"/>
      <c r="T7" s="52"/>
      <c r="U7" s="52"/>
      <c r="W7" s="50" t="s">
        <v>122</v>
      </c>
      <c r="X7" s="52"/>
      <c r="Y7" s="52"/>
      <c r="Z7" s="52"/>
      <c r="AA7" s="52"/>
      <c r="AO7" s="42" t="s">
        <v>35</v>
      </c>
      <c r="AQ7" t="s">
        <v>98</v>
      </c>
      <c r="AR7">
        <f>GETPIVOTDATA("Asistencias",$AE$4)/Analisis_Equipo!AI2</f>
        <v>0</v>
      </c>
    </row>
    <row r="8" spans="1:44">
      <c r="C8" s="42">
        <v>3</v>
      </c>
      <c r="D8" s="52"/>
      <c r="E8" s="52"/>
      <c r="F8" s="17"/>
      <c r="Q8" s="42">
        <v>3</v>
      </c>
      <c r="R8" s="52"/>
      <c r="S8" s="52"/>
      <c r="T8" s="52"/>
      <c r="U8" s="52"/>
      <c r="W8" s="42">
        <v>3</v>
      </c>
      <c r="X8" s="52"/>
      <c r="Y8" s="52"/>
      <c r="Z8" s="52"/>
      <c r="AA8" s="52"/>
    </row>
    <row r="9" spans="1:44">
      <c r="C9" s="50" t="s">
        <v>123</v>
      </c>
      <c r="D9" s="52"/>
      <c r="E9" s="52"/>
      <c r="F9" s="17"/>
      <c r="Q9" s="50" t="s">
        <v>123</v>
      </c>
      <c r="R9" s="52"/>
      <c r="S9" s="52"/>
      <c r="T9" s="52"/>
      <c r="U9" s="52"/>
      <c r="W9" s="50" t="s">
        <v>123</v>
      </c>
      <c r="X9" s="52"/>
      <c r="Y9" s="52"/>
      <c r="Z9" s="52"/>
      <c r="AA9" s="52"/>
    </row>
    <row r="10" spans="1:44">
      <c r="C10" s="42" t="s">
        <v>35</v>
      </c>
      <c r="D10" s="52"/>
      <c r="E10" s="52"/>
      <c r="F10" s="17"/>
      <c r="Q10" s="42" t="s">
        <v>35</v>
      </c>
      <c r="R10" s="52"/>
      <c r="S10" s="52"/>
      <c r="T10" s="52"/>
      <c r="U10" s="52"/>
      <c r="W10" s="42" t="s">
        <v>35</v>
      </c>
      <c r="X10" s="52"/>
      <c r="Y10" s="52"/>
      <c r="Z10" s="52"/>
      <c r="AA10" s="52"/>
    </row>
    <row r="11" spans="1:44">
      <c r="F11" s="17"/>
    </row>
    <row r="12" spans="1:44">
      <c r="F12" s="17"/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31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22.8984375" bestFit="1" customWidth="1"/>
    <col min="4" max="4" width="19.19921875" bestFit="1" customWidth="1"/>
    <col min="5" max="5" width="30.69921875" bestFit="1" customWidth="1"/>
    <col min="6" max="6" width="17.796875" style="19" bestFit="1" customWidth="1"/>
    <col min="7" max="7" width="19.19921875" bestFit="1" customWidth="1"/>
    <col min="8" max="8" width="30.69921875" style="17" bestFit="1" customWidth="1"/>
    <col min="9" max="9" width="17.59765625" style="20" bestFit="1" customWidth="1"/>
    <col min="10" max="10" width="17" bestFit="1" customWidth="1"/>
    <col min="11" max="11" width="22.8984375" bestFit="1" customWidth="1"/>
    <col min="12" max="12" width="16.3984375" bestFit="1" customWidth="1"/>
    <col min="13" max="13" width="20.19921875" bestFit="1" customWidth="1"/>
    <col min="14" max="14" width="25.296875" style="20" bestFit="1" customWidth="1"/>
    <col min="15" max="15" width="24.296875" style="20" customWidth="1"/>
    <col min="16" max="16" width="20.19921875" bestFit="1" customWidth="1"/>
    <col min="17" max="17" width="16.3984375" bestFit="1" customWidth="1"/>
    <col min="18" max="18" width="17.59765625" style="20" bestFit="1" customWidth="1"/>
    <col min="19" max="19" width="10.796875" bestFit="1" customWidth="1"/>
    <col min="20" max="20" width="25.0976562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5.0976562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s="38" t="s">
        <v>56</v>
      </c>
      <c r="E2" s="38" t="s">
        <v>57</v>
      </c>
      <c r="F2" s="51" t="s">
        <v>58</v>
      </c>
      <c r="G2" s="38" t="s">
        <v>56</v>
      </c>
      <c r="H2" s="38" t="s">
        <v>57</v>
      </c>
      <c r="I2" s="51" t="s">
        <v>59</v>
      </c>
      <c r="L2" s="38" t="s">
        <v>61</v>
      </c>
      <c r="M2" s="38" t="s">
        <v>60</v>
      </c>
      <c r="N2" s="51" t="s">
        <v>62</v>
      </c>
      <c r="P2" s="38" t="s">
        <v>60</v>
      </c>
      <c r="Q2" s="38" t="s">
        <v>61</v>
      </c>
      <c r="R2" s="51" t="s">
        <v>63</v>
      </c>
      <c r="U2" s="38" t="s">
        <v>45</v>
      </c>
      <c r="V2" s="38" t="s">
        <v>47</v>
      </c>
      <c r="W2" s="38" t="s">
        <v>46</v>
      </c>
      <c r="X2" s="38" t="s">
        <v>44</v>
      </c>
      <c r="AA2" s="38" t="s">
        <v>51</v>
      </c>
      <c r="AB2" s="38" t="s">
        <v>50</v>
      </c>
      <c r="AC2" s="38" t="s">
        <v>49</v>
      </c>
      <c r="AD2" s="38" t="s">
        <v>48</v>
      </c>
      <c r="AH2" t="s">
        <v>64</v>
      </c>
      <c r="AI2">
        <v>8</v>
      </c>
      <c r="AK2" s="38" t="s">
        <v>51</v>
      </c>
      <c r="AL2" s="38" t="s">
        <v>50</v>
      </c>
      <c r="AM2" s="38" t="s">
        <v>49</v>
      </c>
      <c r="AN2" s="38" t="s">
        <v>48</v>
      </c>
    </row>
    <row r="3" spans="1:50">
      <c r="A3" s="13"/>
      <c r="C3" s="42">
        <v>1</v>
      </c>
      <c r="D3" s="52">
        <v>0</v>
      </c>
      <c r="E3" s="52">
        <v>0</v>
      </c>
      <c r="F3" s="51" t="e">
        <v>#DIV/0!</v>
      </c>
      <c r="G3" s="52">
        <v>0</v>
      </c>
      <c r="H3" s="52">
        <v>0</v>
      </c>
      <c r="I3" s="51" t="e">
        <v>#DIV/0!</v>
      </c>
      <c r="K3" s="42">
        <v>1</v>
      </c>
      <c r="L3" s="52">
        <v>0</v>
      </c>
      <c r="M3" s="52">
        <v>0</v>
      </c>
      <c r="N3" s="51" t="e">
        <v>#DIV/0!</v>
      </c>
      <c r="P3" s="52">
        <v>0</v>
      </c>
      <c r="Q3" s="52"/>
      <c r="R3" s="51" t="e">
        <v>#DIV/0!</v>
      </c>
      <c r="T3" s="42">
        <v>1</v>
      </c>
      <c r="U3" s="52"/>
      <c r="V3" s="52"/>
      <c r="W3" s="52"/>
      <c r="X3" s="52"/>
      <c r="Z3" s="42">
        <v>1</v>
      </c>
      <c r="AA3" s="52"/>
      <c r="AB3" s="52"/>
      <c r="AC3" s="52"/>
      <c r="AD3" s="52"/>
      <c r="AH3" t="s">
        <v>65</v>
      </c>
      <c r="AI3">
        <f>GETPIVOTDATA("Suma de goles favor",$G$2)</f>
        <v>0</v>
      </c>
      <c r="AK3" s="52"/>
      <c r="AL3" s="52"/>
      <c r="AM3" s="52"/>
      <c r="AN3" s="52"/>
    </row>
    <row r="4" spans="1:50">
      <c r="A4" s="14"/>
      <c r="C4" s="50" t="s">
        <v>121</v>
      </c>
      <c r="D4" s="52">
        <v>0</v>
      </c>
      <c r="E4" s="52">
        <v>0</v>
      </c>
      <c r="F4" s="51" t="e">
        <v>#DIV/0!</v>
      </c>
      <c r="H4"/>
      <c r="K4" s="50" t="s">
        <v>121</v>
      </c>
      <c r="L4" s="52">
        <v>0</v>
      </c>
      <c r="M4" s="52">
        <v>0</v>
      </c>
      <c r="N4" s="51" t="e">
        <v>#DIV/0!</v>
      </c>
      <c r="T4" s="50" t="s">
        <v>121</v>
      </c>
      <c r="U4" s="52"/>
      <c r="V4" s="52"/>
      <c r="W4" s="52"/>
      <c r="X4" s="52"/>
      <c r="Z4" s="50" t="s">
        <v>121</v>
      </c>
      <c r="AA4" s="52"/>
      <c r="AB4" s="52"/>
      <c r="AC4" s="52"/>
      <c r="AD4" s="52"/>
      <c r="AH4" t="s">
        <v>66</v>
      </c>
      <c r="AI4">
        <f>GETPIVOTDATA("Suma de goles contra",$P$2)</f>
        <v>0</v>
      </c>
      <c r="AP4" s="38" t="s">
        <v>45</v>
      </c>
      <c r="AQ4" s="38" t="s">
        <v>47</v>
      </c>
      <c r="AR4" s="38" t="s">
        <v>46</v>
      </c>
      <c r="AS4" s="38" t="s">
        <v>44</v>
      </c>
      <c r="AU4" s="38" t="s">
        <v>51</v>
      </c>
      <c r="AV4" s="38" t="s">
        <v>50</v>
      </c>
      <c r="AW4" s="38" t="s">
        <v>49</v>
      </c>
      <c r="AX4" s="38" t="s">
        <v>48</v>
      </c>
    </row>
    <row r="5" spans="1:50">
      <c r="C5" s="42">
        <v>2</v>
      </c>
      <c r="D5" s="52">
        <v>0</v>
      </c>
      <c r="E5" s="52">
        <v>0</v>
      </c>
      <c r="F5" s="51" t="e">
        <v>#DIV/0!</v>
      </c>
      <c r="H5"/>
      <c r="K5" s="42">
        <v>2</v>
      </c>
      <c r="L5" s="52">
        <v>0</v>
      </c>
      <c r="M5" s="52">
        <v>0</v>
      </c>
      <c r="N5" s="51" t="e">
        <v>#DIV/0!</v>
      </c>
      <c r="T5" s="42">
        <v>2</v>
      </c>
      <c r="U5" s="52"/>
      <c r="V5" s="52"/>
      <c r="W5" s="52"/>
      <c r="X5" s="52"/>
      <c r="Z5" s="42">
        <v>2</v>
      </c>
      <c r="AA5" s="52"/>
      <c r="AB5" s="52"/>
      <c r="AC5" s="52"/>
      <c r="AD5" s="52"/>
      <c r="AH5" t="s">
        <v>67</v>
      </c>
      <c r="AI5">
        <f>GETPIVOTDATA("Suma de Paradas",$P$2)</f>
        <v>0</v>
      </c>
      <c r="AJ5" s="26">
        <f>AI5/AI2</f>
        <v>0</v>
      </c>
      <c r="AK5" s="38" t="s">
        <v>45</v>
      </c>
      <c r="AL5" s="38" t="s">
        <v>44</v>
      </c>
      <c r="AM5" s="38" t="s">
        <v>75</v>
      </c>
      <c r="AP5" s="52"/>
      <c r="AQ5" s="52"/>
      <c r="AR5" s="52"/>
      <c r="AS5" s="52"/>
      <c r="AU5" s="52"/>
      <c r="AV5" s="52"/>
      <c r="AW5" s="52"/>
      <c r="AX5" s="52"/>
    </row>
    <row r="6" spans="1:50">
      <c r="C6" s="50" t="s">
        <v>122</v>
      </c>
      <c r="D6" s="52">
        <v>0</v>
      </c>
      <c r="E6" s="52">
        <v>0</v>
      </c>
      <c r="F6" s="51" t="e">
        <v>#DIV/0!</v>
      </c>
      <c r="H6"/>
      <c r="K6" s="50" t="s">
        <v>122</v>
      </c>
      <c r="L6" s="52">
        <v>0</v>
      </c>
      <c r="M6" s="52">
        <v>0</v>
      </c>
      <c r="N6" s="51" t="e">
        <v>#DIV/0!</v>
      </c>
      <c r="T6" s="50" t="s">
        <v>122</v>
      </c>
      <c r="U6" s="52"/>
      <c r="V6" s="52"/>
      <c r="W6" s="52"/>
      <c r="X6" s="52"/>
      <c r="Z6" s="50" t="s">
        <v>122</v>
      </c>
      <c r="AA6" s="52"/>
      <c r="AB6" s="52"/>
      <c r="AC6" s="52"/>
      <c r="AD6" s="52"/>
      <c r="AH6" t="s">
        <v>68</v>
      </c>
      <c r="AI6">
        <f>GETPIVOTDATA("Suma de lanzamientos realizados",$G$2)</f>
        <v>0</v>
      </c>
      <c r="AJ6" s="26">
        <f>AI6/AI2</f>
        <v>0</v>
      </c>
      <c r="AK6" s="52"/>
      <c r="AL6" s="52"/>
      <c r="AM6" s="52"/>
    </row>
    <row r="7" spans="1:50">
      <c r="C7" s="42">
        <v>3</v>
      </c>
      <c r="D7" s="52">
        <v>0</v>
      </c>
      <c r="E7" s="52">
        <v>0</v>
      </c>
      <c r="F7" s="51" t="e">
        <v>#DIV/0!</v>
      </c>
      <c r="H7"/>
      <c r="K7" s="42">
        <v>3</v>
      </c>
      <c r="L7" s="52">
        <v>0</v>
      </c>
      <c r="M7" s="52">
        <v>0</v>
      </c>
      <c r="N7" s="51" t="e">
        <v>#DIV/0!</v>
      </c>
      <c r="T7" s="42">
        <v>3</v>
      </c>
      <c r="U7" s="52"/>
      <c r="V7" s="52"/>
      <c r="W7" s="52"/>
      <c r="X7" s="52"/>
      <c r="Z7" s="42">
        <v>3</v>
      </c>
      <c r="AA7" s="52"/>
      <c r="AB7" s="52"/>
      <c r="AC7" s="52"/>
      <c r="AD7" s="52"/>
      <c r="AH7" t="s">
        <v>69</v>
      </c>
      <c r="AI7" s="21" t="e">
        <f>GETPIVOTDATA("Suma de Campo11",$G$2)</f>
        <v>#DIV/0!</v>
      </c>
    </row>
    <row r="8" spans="1:50">
      <c r="C8" s="50" t="s">
        <v>123</v>
      </c>
      <c r="D8" s="52">
        <v>0</v>
      </c>
      <c r="E8" s="52">
        <v>0</v>
      </c>
      <c r="F8" s="51" t="e">
        <v>#DIV/0!</v>
      </c>
      <c r="H8"/>
      <c r="K8" s="50" t="s">
        <v>123</v>
      </c>
      <c r="L8" s="52">
        <v>0</v>
      </c>
      <c r="M8" s="52">
        <v>0</v>
      </c>
      <c r="N8" s="51" t="e">
        <v>#DIV/0!</v>
      </c>
      <c r="T8" s="50" t="s">
        <v>123</v>
      </c>
      <c r="U8" s="52"/>
      <c r="V8" s="52"/>
      <c r="W8" s="52"/>
      <c r="X8" s="52"/>
      <c r="Z8" s="50" t="s">
        <v>123</v>
      </c>
      <c r="AA8" s="52"/>
      <c r="AB8" s="52"/>
      <c r="AC8" s="52"/>
      <c r="AD8" s="52"/>
      <c r="AH8" t="s">
        <v>72</v>
      </c>
      <c r="AI8" s="21">
        <f>AI3/AI2</f>
        <v>0</v>
      </c>
    </row>
    <row r="9" spans="1:50">
      <c r="C9" s="42" t="s">
        <v>35</v>
      </c>
      <c r="D9" s="52">
        <v>0</v>
      </c>
      <c r="E9" s="52">
        <v>0</v>
      </c>
      <c r="F9" s="51" t="e">
        <v>#DIV/0!</v>
      </c>
      <c r="H9"/>
      <c r="K9" s="42" t="s">
        <v>35</v>
      </c>
      <c r="L9" s="52">
        <v>0</v>
      </c>
      <c r="M9" s="52">
        <v>0</v>
      </c>
      <c r="N9" s="51" t="e">
        <v>#DIV/0!</v>
      </c>
      <c r="O9"/>
      <c r="T9" s="42" t="s">
        <v>35</v>
      </c>
      <c r="U9" s="52"/>
      <c r="V9" s="52"/>
      <c r="W9" s="52"/>
      <c r="X9" s="52"/>
      <c r="Z9" s="42" t="s">
        <v>35</v>
      </c>
      <c r="AA9" s="52"/>
      <c r="AB9" s="52"/>
      <c r="AC9" s="52"/>
      <c r="AD9" s="52"/>
      <c r="AH9" t="s">
        <v>70</v>
      </c>
      <c r="AI9" s="18" t="e">
        <f>GETPIVOTDATA("Suma de Paradas",$P$2)/(AI4+AI5)</f>
        <v>#DIV/0!</v>
      </c>
    </row>
    <row r="10" spans="1:50">
      <c r="F10"/>
      <c r="G10" s="16"/>
      <c r="N10"/>
      <c r="AH10" t="s">
        <v>71</v>
      </c>
      <c r="AI10" s="21">
        <f>AI4/AI2</f>
        <v>0</v>
      </c>
    </row>
    <row r="11" spans="1:50">
      <c r="F11"/>
      <c r="G11" s="16"/>
      <c r="N11"/>
      <c r="AH11" t="s">
        <v>73</v>
      </c>
      <c r="AI11">
        <f>GETPIVOTDATA("Asistencias",$AK$5)</f>
        <v>0</v>
      </c>
      <c r="AJ11" s="21">
        <f>AI11/AI2</f>
        <v>0</v>
      </c>
    </row>
    <row r="12" spans="1:50">
      <c r="F12"/>
      <c r="G12" s="16"/>
      <c r="N12"/>
      <c r="AH12" t="s">
        <v>74</v>
      </c>
      <c r="AI12">
        <f>GETPIVOTDATA("Pérdidas pase",$AK$2)+GETPIVOTDATA("Áreas",$AK$2)+GETPIVOTDATA("Perdidas otros",$AK$2)</f>
        <v>0</v>
      </c>
      <c r="AJ12" s="21">
        <f>AI12/$AI$2</f>
        <v>0</v>
      </c>
    </row>
    <row r="13" spans="1:50">
      <c r="F13"/>
      <c r="N13"/>
      <c r="AH13" t="s">
        <v>76</v>
      </c>
      <c r="AI13">
        <f>GETPIVOTDATA("Recuperaciones",$AK$5)</f>
        <v>0</v>
      </c>
      <c r="AJ13" s="21">
        <f>AI13/$AI$2</f>
        <v>0</v>
      </c>
    </row>
    <row r="14" spans="1:50">
      <c r="F14"/>
      <c r="N14"/>
      <c r="AH14" t="s">
        <v>77</v>
      </c>
      <c r="AI14">
        <f>GETPIVOTDATA("Suma de Exclusión +",$AK$5)</f>
        <v>0</v>
      </c>
      <c r="AJ14" s="21">
        <f>AI14/$AI$2</f>
        <v>0</v>
      </c>
    </row>
    <row r="15" spans="1:50">
      <c r="F15"/>
      <c r="N15"/>
      <c r="AH15" t="s">
        <v>78</v>
      </c>
      <c r="AI15">
        <f>GETPIVOTDATA("Exclusiones",$AK$2)</f>
        <v>0</v>
      </c>
      <c r="AJ15" s="21">
        <f>AI15/$AI$2</f>
        <v>0</v>
      </c>
    </row>
    <row r="16" spans="1:50">
      <c r="F16"/>
      <c r="N16"/>
      <c r="AH16" t="s">
        <v>80</v>
      </c>
      <c r="AI16">
        <f>GETPIVOTDATA("Penaltis provocados",$T$2)</f>
        <v>0</v>
      </c>
    </row>
    <row r="17" spans="6:35">
      <c r="F17"/>
      <c r="N17"/>
      <c r="AH17" t="s">
        <v>81</v>
      </c>
      <c r="AI17">
        <f>GETPIVOTDATA("Pérdidas pase",$Z$2)</f>
        <v>0</v>
      </c>
    </row>
    <row r="18" spans="6:35">
      <c r="F18"/>
      <c r="N18"/>
      <c r="AH18" t="s">
        <v>82</v>
      </c>
      <c r="AI18">
        <f>GETPIVOTDATA("Perdidas otros",$Z$2)</f>
        <v>0</v>
      </c>
    </row>
    <row r="19" spans="6:35">
      <c r="F19"/>
      <c r="N19"/>
      <c r="AH19" t="s">
        <v>83</v>
      </c>
      <c r="AI19">
        <f>GETPIVOTDATA("Áreas",$Z$2)</f>
        <v>0</v>
      </c>
    </row>
    <row r="20" spans="6:35">
      <c r="F20"/>
      <c r="N20"/>
    </row>
    <row r="21" spans="6:35">
      <c r="F21"/>
      <c r="N21"/>
    </row>
    <row r="22" spans="6:35">
      <c r="F22"/>
      <c r="N22"/>
    </row>
    <row r="23" spans="6:35">
      <c r="F23"/>
      <c r="N23"/>
    </row>
    <row r="24" spans="6:35">
      <c r="F24"/>
      <c r="N24"/>
    </row>
    <row r="25" spans="6:35">
      <c r="F25"/>
      <c r="N25"/>
    </row>
    <row r="26" spans="6:35">
      <c r="F26"/>
      <c r="N26"/>
    </row>
    <row r="27" spans="6:35">
      <c r="F27"/>
      <c r="N27"/>
    </row>
    <row r="28" spans="6:35">
      <c r="F28"/>
      <c r="N28"/>
    </row>
    <row r="29" spans="6:35">
      <c r="F29"/>
      <c r="N29"/>
    </row>
    <row r="30" spans="6:35">
      <c r="F30"/>
      <c r="N30"/>
    </row>
    <row r="31" spans="6:35">
      <c r="F31"/>
      <c r="N31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24" zoomScaleNormal="140" workbookViewId="0">
      <selection activeCell="O16" sqref="O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24" zoomScaleNormal="140" workbookViewId="0">
      <selection activeCell="O30" sqref="O30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53" t="s">
        <v>87</v>
      </c>
      <c r="E2" s="54"/>
      <c r="F2" s="25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22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55" t="s">
        <v>99</v>
      </c>
      <c r="E2" s="56"/>
      <c r="F2" s="57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22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23" t="s">
        <v>85</v>
      </c>
      <c r="D4" s="23" t="s">
        <v>86</v>
      </c>
      <c r="E4" s="23" t="s">
        <v>87</v>
      </c>
      <c r="F4" s="23" t="s">
        <v>88</v>
      </c>
      <c r="G4" s="24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2026-04-27T12:46:43Z</dcterms:modified>
</cp:coreProperties>
</file>