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handbol-frontend\public\2026\"/>
    </mc:Choice>
  </mc:AlternateContent>
  <xr:revisionPtr revIDLastSave="0" documentId="13_ncr:80001_{21C69241-2FD4-4DFB-9665-DEB89F558F1A}" xr6:coauthVersionLast="36" xr6:coauthVersionMax="47" xr10:uidLastSave="{00000000-0000-0000-0000-000000000000}"/>
  <bookViews>
    <workbookView xWindow="0" yWindow="0" windowWidth="23040" windowHeight="8940" xr2:uid="{3B2EC4C0-8558-47FA-8786-A516E5352AED}"/>
  </bookViews>
  <sheets>
    <sheet name="Datos" sheetId="1" r:id="rId1"/>
    <sheet name="Analisis" sheetId="2" r:id="rId2"/>
    <sheet name="Analisis_Equipo" sheetId="6" r:id="rId3"/>
    <sheet name="Individual" sheetId="3" r:id="rId4"/>
    <sheet name="Equipo" sheetId="4" r:id="rId5"/>
    <sheet name="fitlro_individual" sheetId="7" r:id="rId6"/>
    <sheet name="filtro_equipo" sheetId="9" r:id="rId7"/>
    <sheet name="cuadro desplegable" sheetId="8" r:id="rId8"/>
  </sheets>
  <definedNames>
    <definedName name="_xlnm._FilterDatabase" localSheetId="0" hidden="1">Datos!$A$1:$U$58</definedName>
    <definedName name="SegmentaciónDeDatos_Jugador">#N/A</definedName>
    <definedName name="SegmentaciónDeDatos_Jugador1">""</definedName>
    <definedName name="SegmentaciónDeDatos_POSICION1">#N/A</definedName>
    <definedName name="SegmentaciónDeDatos_rival">#N/A</definedName>
  </definedNames>
  <calcPr calcId="191029"/>
  <pivotCaches>
    <pivotCache cacheId="6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8" i="1" l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W40" i="1"/>
  <c r="W41" i="1"/>
  <c r="AA41" i="1" s="1"/>
  <c r="W42" i="1"/>
  <c r="W43" i="1"/>
  <c r="W44" i="1"/>
  <c r="Z44" i="1" s="1"/>
  <c r="W45" i="1"/>
  <c r="W46" i="1"/>
  <c r="W47" i="1"/>
  <c r="W48" i="1"/>
  <c r="W49" i="1"/>
  <c r="AA49" i="1" s="1"/>
  <c r="W50" i="1"/>
  <c r="W51" i="1"/>
  <c r="W52" i="1"/>
  <c r="Z52" i="1" s="1"/>
  <c r="W53" i="1"/>
  <c r="W54" i="1"/>
  <c r="W55" i="1"/>
  <c r="W56" i="1"/>
  <c r="W57" i="1"/>
  <c r="AA57" i="1" s="1"/>
  <c r="W58" i="1"/>
  <c r="X40" i="1"/>
  <c r="X42" i="1"/>
  <c r="X43" i="1"/>
  <c r="X45" i="1"/>
  <c r="X46" i="1"/>
  <c r="X47" i="1"/>
  <c r="X48" i="1"/>
  <c r="X49" i="1"/>
  <c r="X50" i="1"/>
  <c r="X51" i="1"/>
  <c r="X53" i="1"/>
  <c r="X54" i="1"/>
  <c r="X55" i="1"/>
  <c r="X56" i="1"/>
  <c r="X57" i="1"/>
  <c r="X58" i="1"/>
  <c r="Y40" i="1"/>
  <c r="Y42" i="1"/>
  <c r="Y43" i="1"/>
  <c r="Y45" i="1"/>
  <c r="Y46" i="1"/>
  <c r="Y47" i="1"/>
  <c r="Y48" i="1"/>
  <c r="Y50" i="1"/>
  <c r="Y51" i="1"/>
  <c r="Y53" i="1"/>
  <c r="Y54" i="1"/>
  <c r="Y55" i="1"/>
  <c r="Y56" i="1"/>
  <c r="Y58" i="1"/>
  <c r="Z40" i="1"/>
  <c r="Z42" i="1"/>
  <c r="Z43" i="1"/>
  <c r="Z45" i="1"/>
  <c r="Z46" i="1"/>
  <c r="Z47" i="1"/>
  <c r="Z48" i="1"/>
  <c r="Z50" i="1"/>
  <c r="Z51" i="1"/>
  <c r="Z53" i="1"/>
  <c r="Z54" i="1"/>
  <c r="Z55" i="1"/>
  <c r="Z56" i="1"/>
  <c r="Z58" i="1"/>
  <c r="AA40" i="1"/>
  <c r="AA42" i="1"/>
  <c r="AA43" i="1"/>
  <c r="AA45" i="1"/>
  <c r="AA46" i="1"/>
  <c r="AA47" i="1"/>
  <c r="AA48" i="1"/>
  <c r="AA50" i="1"/>
  <c r="AA51" i="1"/>
  <c r="AA53" i="1"/>
  <c r="AA54" i="1"/>
  <c r="AA55" i="1"/>
  <c r="AA56" i="1"/>
  <c r="AA58" i="1"/>
  <c r="X41" i="1" l="1"/>
  <c r="Z57" i="1"/>
  <c r="Z49" i="1"/>
  <c r="Z41" i="1"/>
  <c r="Y52" i="1"/>
  <c r="Y44" i="1"/>
  <c r="AA52" i="1"/>
  <c r="AA44" i="1"/>
  <c r="Y57" i="1"/>
  <c r="Y49" i="1"/>
  <c r="Y41" i="1"/>
  <c r="X52" i="1"/>
  <c r="X44" i="1"/>
  <c r="I37" i="1"/>
  <c r="I36" i="1"/>
  <c r="I35" i="1"/>
  <c r="I34" i="1"/>
  <c r="I33" i="1"/>
  <c r="I32" i="1"/>
  <c r="I31" i="1"/>
  <c r="I30" i="1"/>
  <c r="F30" i="1"/>
  <c r="I29" i="1"/>
  <c r="I28" i="1"/>
  <c r="F28" i="1"/>
  <c r="I27" i="1"/>
  <c r="I26" i="1"/>
  <c r="I25" i="1"/>
  <c r="F25" i="1"/>
  <c r="I24" i="1"/>
  <c r="I23" i="1"/>
  <c r="F23" i="1"/>
  <c r="I22" i="1"/>
  <c r="I21" i="1"/>
  <c r="W21" i="1"/>
  <c r="X21" i="1" s="1"/>
  <c r="AA21" i="1"/>
  <c r="W22" i="1"/>
  <c r="X22" i="1" s="1"/>
  <c r="W23" i="1"/>
  <c r="Z23" i="1" s="1"/>
  <c r="W24" i="1"/>
  <c r="X24" i="1" s="1"/>
  <c r="W25" i="1"/>
  <c r="X25" i="1" s="1"/>
  <c r="W26" i="1"/>
  <c r="AA26" i="1" s="1"/>
  <c r="Z26" i="1"/>
  <c r="W27" i="1"/>
  <c r="X27" i="1" s="1"/>
  <c r="AA27" i="1"/>
  <c r="W28" i="1"/>
  <c r="Y28" i="1" s="1"/>
  <c r="W29" i="1"/>
  <c r="X29" i="1" s="1"/>
  <c r="W30" i="1"/>
  <c r="X30" i="1" s="1"/>
  <c r="Z30" i="1"/>
  <c r="W31" i="1"/>
  <c r="Z31" i="1" s="1"/>
  <c r="W32" i="1"/>
  <c r="AA32" i="1" s="1"/>
  <c r="W33" i="1"/>
  <c r="X33" i="1" s="1"/>
  <c r="W34" i="1"/>
  <c r="AA34" i="1" s="1"/>
  <c r="X34" i="1"/>
  <c r="Y34" i="1"/>
  <c r="Z34" i="1"/>
  <c r="W35" i="1"/>
  <c r="AA35" i="1" s="1"/>
  <c r="X35" i="1"/>
  <c r="W36" i="1"/>
  <c r="Y36" i="1" s="1"/>
  <c r="X36" i="1"/>
  <c r="W37" i="1"/>
  <c r="AA37" i="1" s="1"/>
  <c r="W38" i="1"/>
  <c r="X38" i="1" s="1"/>
  <c r="W39" i="1"/>
  <c r="Z39" i="1" s="1"/>
  <c r="X39" i="1"/>
  <c r="Z37" i="1" l="1"/>
  <c r="Z27" i="1"/>
  <c r="F27" i="1"/>
  <c r="F31" i="1"/>
  <c r="F35" i="1"/>
  <c r="Y39" i="1"/>
  <c r="Y37" i="1"/>
  <c r="AA30" i="1"/>
  <c r="Y27" i="1"/>
  <c r="F24" i="1"/>
  <c r="F32" i="1"/>
  <c r="F36" i="1"/>
  <c r="Y26" i="1"/>
  <c r="F21" i="1"/>
  <c r="F29" i="1"/>
  <c r="F33" i="1"/>
  <c r="F37" i="1"/>
  <c r="X28" i="1"/>
  <c r="AA38" i="1"/>
  <c r="Z38" i="1"/>
  <c r="Z35" i="1"/>
  <c r="Y38" i="1"/>
  <c r="Y35" i="1"/>
  <c r="Z32" i="1"/>
  <c r="F22" i="1"/>
  <c r="F26" i="1"/>
  <c r="F34" i="1"/>
  <c r="X37" i="1"/>
  <c r="Y32" i="1"/>
  <c r="Y30" i="1"/>
  <c r="X26" i="1"/>
  <c r="Y23" i="1"/>
  <c r="Z21" i="1"/>
  <c r="X32" i="1"/>
  <c r="X23" i="1"/>
  <c r="Y21" i="1"/>
  <c r="AA29" i="1"/>
  <c r="Y31" i="1"/>
  <c r="Z29" i="1"/>
  <c r="AA24" i="1"/>
  <c r="AA22" i="1"/>
  <c r="X31" i="1"/>
  <c r="Y29" i="1"/>
  <c r="Z24" i="1"/>
  <c r="Z22" i="1"/>
  <c r="Y24" i="1"/>
  <c r="Y22" i="1"/>
  <c r="AA33" i="1"/>
  <c r="AA25" i="1"/>
  <c r="AA36" i="1"/>
  <c r="Z33" i="1"/>
  <c r="AA28" i="1"/>
  <c r="Z25" i="1"/>
  <c r="AA39" i="1"/>
  <c r="Z36" i="1"/>
  <c r="Y33" i="1"/>
  <c r="AA31" i="1"/>
  <c r="Z28" i="1"/>
  <c r="Y25" i="1"/>
  <c r="AA23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AI2" i="6" l="1"/>
  <c r="W20" i="1"/>
  <c r="F20" i="1"/>
  <c r="W19" i="1"/>
  <c r="Z19" i="1" s="1"/>
  <c r="W18" i="1"/>
  <c r="F18" i="1" s="1"/>
  <c r="W17" i="1"/>
  <c r="Z17" i="1" s="1"/>
  <c r="W16" i="1"/>
  <c r="F16" i="1" s="1"/>
  <c r="W15" i="1"/>
  <c r="Z15" i="1" s="1"/>
  <c r="W14" i="1"/>
  <c r="F14" i="1" s="1"/>
  <c r="W13" i="1"/>
  <c r="Z13" i="1" s="1"/>
  <c r="W12" i="1"/>
  <c r="F12" i="1" s="1"/>
  <c r="W11" i="1"/>
  <c r="Z11" i="1" s="1"/>
  <c r="F11" i="1"/>
  <c r="W10" i="1"/>
  <c r="F10" i="1" s="1"/>
  <c r="W9" i="1"/>
  <c r="Z9" i="1" s="1"/>
  <c r="W8" i="1"/>
  <c r="F8" i="1" s="1"/>
  <c r="W7" i="1"/>
  <c r="Z7" i="1" s="1"/>
  <c r="W6" i="1"/>
  <c r="F6" i="1" s="1"/>
  <c r="W5" i="1"/>
  <c r="Z5" i="1" s="1"/>
  <c r="W4" i="1"/>
  <c r="F4" i="1" s="1"/>
  <c r="W3" i="1"/>
  <c r="Z3" i="1" s="1"/>
  <c r="W2" i="1"/>
  <c r="Z2" i="1" s="1"/>
  <c r="AI5" i="6"/>
  <c r="AI7" i="6"/>
  <c r="AI17" i="6"/>
  <c r="AR5" i="2"/>
  <c r="AI13" i="6"/>
  <c r="AI3" i="6"/>
  <c r="AR4" i="2"/>
  <c r="AI6" i="6"/>
  <c r="AR6" i="2"/>
  <c r="AI12" i="6"/>
  <c r="AI15" i="6"/>
  <c r="AI19" i="6"/>
  <c r="AI16" i="6"/>
  <c r="AI14" i="6"/>
  <c r="AI11" i="6"/>
  <c r="AI18" i="6"/>
  <c r="AR7" i="2"/>
  <c r="AI4" i="6"/>
  <c r="F13" i="1" l="1"/>
  <c r="AJ6" i="6"/>
  <c r="AJ5" i="6"/>
  <c r="F3" i="1"/>
  <c r="F2" i="1"/>
  <c r="F7" i="1"/>
  <c r="F15" i="1"/>
  <c r="F9" i="1"/>
  <c r="F17" i="1"/>
  <c r="F19" i="1"/>
  <c r="AA19" i="1"/>
  <c r="AA11" i="1"/>
  <c r="AA7" i="1"/>
  <c r="AA3" i="1"/>
  <c r="AA13" i="1"/>
  <c r="AA5" i="1"/>
  <c r="AA15" i="1"/>
  <c r="AA17" i="1"/>
  <c r="F5" i="1"/>
  <c r="AA9" i="1"/>
  <c r="AA20" i="1"/>
  <c r="Z20" i="1"/>
  <c r="Y20" i="1"/>
  <c r="X20" i="1"/>
  <c r="AA6" i="1"/>
  <c r="Z6" i="1"/>
  <c r="Y6" i="1"/>
  <c r="X6" i="1"/>
  <c r="AA16" i="1"/>
  <c r="Z16" i="1"/>
  <c r="Y16" i="1"/>
  <c r="X16" i="1"/>
  <c r="AA10" i="1"/>
  <c r="Z10" i="1"/>
  <c r="Y10" i="1"/>
  <c r="X10" i="1"/>
  <c r="AA2" i="1"/>
  <c r="Y2" i="1"/>
  <c r="X2" i="1"/>
  <c r="AA12" i="1"/>
  <c r="Z12" i="1"/>
  <c r="Y12" i="1"/>
  <c r="X12" i="1"/>
  <c r="AA8" i="1"/>
  <c r="Z8" i="1"/>
  <c r="Y8" i="1"/>
  <c r="X8" i="1"/>
  <c r="AA18" i="1"/>
  <c r="Z18" i="1"/>
  <c r="Y18" i="1"/>
  <c r="X18" i="1"/>
  <c r="AA4" i="1"/>
  <c r="Z4" i="1"/>
  <c r="Y4" i="1"/>
  <c r="X4" i="1"/>
  <c r="AA14" i="1"/>
  <c r="Z14" i="1"/>
  <c r="Y14" i="1"/>
  <c r="X14" i="1"/>
  <c r="X3" i="1"/>
  <c r="X5" i="1"/>
  <c r="X7" i="1"/>
  <c r="X9" i="1"/>
  <c r="X11" i="1"/>
  <c r="X13" i="1"/>
  <c r="X15" i="1"/>
  <c r="X17" i="1"/>
  <c r="X19" i="1"/>
  <c r="Y3" i="1"/>
  <c r="Y5" i="1"/>
  <c r="Y7" i="1"/>
  <c r="Y9" i="1"/>
  <c r="Y11" i="1"/>
  <c r="Y13" i="1"/>
  <c r="Y15" i="1"/>
  <c r="Y17" i="1"/>
  <c r="Y19" i="1"/>
  <c r="AJ11" i="6"/>
  <c r="AJ12" i="6"/>
  <c r="AI8" i="6"/>
  <c r="AJ13" i="6"/>
  <c r="AI10" i="6"/>
  <c r="AJ14" i="6"/>
  <c r="AJ15" i="6"/>
  <c r="AI9" i="6"/>
</calcChain>
</file>

<file path=xl/sharedStrings.xml><?xml version="1.0" encoding="utf-8"?>
<sst xmlns="http://schemas.openxmlformats.org/spreadsheetml/2006/main" count="324" uniqueCount="110">
  <si>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</si>
  <si>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</si>
  <si>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</si>
  <si>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</si>
  <si>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</si>
  <si>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</si>
  <si>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</si>
  <si>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</si>
  <si>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</si>
  <si>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</si>
  <si>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</si>
  <si>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</si>
  <si>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</si>
  <si>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</si>
  <si>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</si>
  <si>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</si>
  <si>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</si>
  <si>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</si>
  <si>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</si>
  <si>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</si>
  <si>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</si>
  <si>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</si>
  <si>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</si>
  <si>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</si>
  <si>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</si>
  <si>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</si>
  <si>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</si>
  <si>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</si>
  <si>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</si>
  <si>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</si>
  <si>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</si>
  <si>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</si>
  <si>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</si>
  <si>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</si>
  <si>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</si>
  <si>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</si>
  <si>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</si>
  <si>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</si>
  <si>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</si>
  <si>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</si>
  <si>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</si>
  <si>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</si>
  <si>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</si>
  <si>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</si>
  <si>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</si>
  <si>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</si>
  <si>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</si>
  <si>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</si>
  <si>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</si>
  <si>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</si>
  <si>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</si>
  <si>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</si>
  <si>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</si>
  <si>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</si>
  <si>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</si>
  <si>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</si>
  <si>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</si>
  <si>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</si>
  <si>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</si>
  <si>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</si>
  <si>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</si>
  <si>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</si>
  <si>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</si>
  <si>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</si>
  <si>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</si>
  <si>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</si>
  <si>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</si>
  <si>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</si>
  <si>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</si>
  <si>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</si>
  <si>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</si>
  <si>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</si>
  <si>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</si>
  <si>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</si>
  <si>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</si>
  <si>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</si>
  <si>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</si>
  <si>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</si>
  <si>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</si>
  <si>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</si>
  <si>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</si>
  <si>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</si>
  <si>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</si>
  <si>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</si>
  <si>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</si>
  <si>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</si>
  <si>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</si>
  <si>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</si>
  <si>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</si>
  <si>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</si>
  <si>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</si>
  <si>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</si>
  <si>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</si>
  <si>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</si>
  <si>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</si>
  <si>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</si>
  <si>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</si>
  <si>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</si>
  <si>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</si>
  <si>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</si>
  <si>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</si>
  <si>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</si>
  <si>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Lanzam. 7m</t>
  </si>
  <si>
    <t>Goles 7m</t>
  </si>
  <si>
    <t>dorsal</t>
  </si>
  <si>
    <t>BM GRANOLLERS B(L)</t>
  </si>
  <si>
    <t>%7m</t>
  </si>
  <si>
    <t>V</t>
  </si>
  <si>
    <t>H SANT CUGAT (V)</t>
  </si>
  <si>
    <t>BM GRANOLLERS A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</si>
</sst>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2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rgb="FFFF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62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0" fontId="4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5" fillId="0" borderId="0" xfId="2" applyFont="1" applyAlignment="1" applyProtection="1">
      <alignment horizontal="center"/>
      <protection locked="0"/>
    </xf>
    <xf numFmtId="0" fontId="7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9" fillId="6" borderId="1" xfId="0" applyFont="1" applyFill="1" applyBorder="1"/>
    <xf numFmtId="166" fontId="0" fillId="0" borderId="0" xfId="0" applyNumberFormat="1"/>
    <xf numFmtId="0" fontId="0" fillId="0" borderId="0" xfId="0" applyNumberFormat="1"/>
    <xf numFmtId="1" fontId="2" fillId="2" borderId="0" xfId="1" applyNumberFormat="1" applyFont="1" applyFill="1" applyAlignment="1">
      <alignment horizontal="center"/>
    </xf>
    <xf numFmtId="1" fontId="1" fillId="0" borderId="0" xfId="1" applyNumberFormat="1" applyFill="1" applyAlignment="1">
      <alignment horizontal="center"/>
    </xf>
    <xf numFmtId="9" fontId="2" fillId="2" borderId="0" xfId="1" applyNumberFormat="1" applyFont="1" applyFill="1" applyAlignment="1">
      <alignment horizontal="center"/>
    </xf>
    <xf numFmtId="9" fontId="1" fillId="0" borderId="0" xfId="1" applyNumberFormat="1" applyFill="1" applyAlignment="1">
      <alignment horizontal="center"/>
    </xf>
    <xf numFmtId="1" fontId="1" fillId="0" borderId="0" xfId="2" applyNumberFormat="1" applyFont="1" applyFill="1" applyAlignment="1">
      <alignment horizontal="center"/>
    </xf>
    <xf numFmtId="9" fontId="1" fillId="0" borderId="0" xfId="1" applyNumberFormat="1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49" fontId="10" fillId="6" borderId="4" xfId="0" applyNumberFormat="1" applyFont="1" applyFill="1" applyBorder="1" applyAlignment="1">
      <alignment horizontal="center"/>
    </xf>
    <xf numFmtId="49" fontId="10" fillId="6" borderId="5" xfId="0" applyNumberFormat="1" applyFont="1" applyFill="1" applyBorder="1" applyAlignment="1">
      <alignment horizontal="center"/>
    </xf>
    <xf numFmtId="49" fontId="10" fillId="6" borderId="6" xfId="0" applyNumberFormat="1" applyFont="1" applyFill="1" applyBorder="1" applyAlignment="1">
      <alignment horizontal="center"/>
    </xf>
    <xf numFmtId="0" fontId="5" fillId="0" borderId="0" xfId="2" applyFont="1" applyAlignment="1">
      <alignment horizontal="center"/>
    </xf>
    <xf numFmtId="9" fontId="5" fillId="0" borderId="0" xfId="1" applyFont="1" applyFill="1" applyAlignment="1">
      <alignment horizontal="center"/>
    </xf>
    <xf numFmtId="1" fontId="5" fillId="0" borderId="0" xfId="2" applyNumberFormat="1" applyFont="1" applyFill="1" applyAlignment="1">
      <alignment horizontal="center"/>
    </xf>
    <xf numFmtId="9" fontId="5" fillId="0" borderId="0" xfId="1" applyNumberFormat="1" applyFont="1" applyFill="1" applyAlignment="1">
      <alignment horizontal="center"/>
    </xf>
    <xf numFmtId="0" fontId="5" fillId="0" borderId="0" xfId="3" applyFont="1" applyAlignment="1">
      <alignment horizontal="center"/>
    </xf>
    <xf numFmtId="0" fontId="5" fillId="0" borderId="0" xfId="3" applyFont="1" applyAlignment="1">
      <alignment horizontal="center" vertical="center"/>
    </xf>
    <xf numFmtId="0" fontId="5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0" xfId="2" applyNumberFormat="1" applyFont="1"/>
    <xf numFmtId="0" fontId="11" fillId="0" borderId="0" xfId="2" applyFont="1"/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42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  <name val="Calibr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41"/>
      <tableStyleElement type="headerRow" dxfId="40"/>
    </tableStyle>
    <tableStyle name="mi estilo personalizado 2" pivot="0" table="0" count="10" xr9:uid="{3D081C6B-30F4-4F84-BB75-048369B2BAFE}">
      <tableStyleElement type="wholeTable" dxfId="39"/>
      <tableStyleElement type="headerRow" dxfId="38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Analisis!$X$4:$X$8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Analisis!$Y$4:$Y$8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Analisis!$Z$4:$Z$8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Analisis!$AA$4:$AA$8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72.807017543859658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Analisis_Equipo!$L$3:$L$7</c:f>
              <c:numCache>
                <c:formatCode>General</c:formatCode>
                <c:ptCount val="2"/>
                <c:pt idx="0">
                  <c:v>18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Analisis_Equipo!$M$3:$M$7</c:f>
              <c:numCache>
                <c:formatCode>General</c:formatCode>
                <c:ptCount val="2"/>
                <c:pt idx="0">
                  <c:v>31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Analisis_Equipo!$N$3:$N$7</c:f>
              <c:numCache>
                <c:formatCode>0</c:formatCode>
                <c:ptCount val="2"/>
                <c:pt idx="0">
                  <c:v>36.734693877551024</c:v>
                </c:pt>
                <c:pt idx="1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28.08988764044944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Analisis_Equipo!$U$3:$U$7</c:f>
              <c:numCache>
                <c:formatCode>General</c:formatCode>
                <c:ptCount val="2"/>
                <c:pt idx="0">
                  <c:v>24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Analisis_Equipo!$V$3:$V$7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Analisis_Equipo!$W$3:$W$7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Analisis_Equipo!$X$3:$X$7</c:f>
              <c:numCache>
                <c:formatCode>General</c:formatCode>
                <c:ptCount val="2"/>
                <c:pt idx="0">
                  <c:v>14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Analisis_Equipo!$AA$3:$AA$7</c:f>
              <c:numCache>
                <c:formatCode>General</c:formatCode>
                <c:ptCount val="2"/>
                <c:pt idx="0">
                  <c:v>14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Analisis_Equipo!$AB$3:$AB$7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Analisis_Equipo!$AC$3:$AC$7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Analisis_Equipo!$AD$3:$AD$7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Analisis!$D$4:$D$8</c:f>
              <c:numCache>
                <c:formatCode>General</c:formatCode>
                <c:ptCount val="2"/>
                <c:pt idx="0">
                  <c:v>9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70-4530-9BFB-B9C4C300D1B0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Analisis!$E$4:$E$8</c:f>
              <c:numCache>
                <c:formatCode>General</c:formatCode>
                <c:ptCount val="2"/>
                <c:pt idx="0">
                  <c:v>11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70-4530-9BFB-B9C4C300D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Analisis!$G$4:$G$6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Analisis!$H$4:$H$6</c:f>
              <c:numCache>
                <c:formatCode>0%</c:formatCode>
                <c:ptCount val="2"/>
                <c:pt idx="0">
                  <c:v>0.81818181818181823</c:v>
                </c:pt>
                <c:pt idx="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dLbl>
              <c:idx val="0"/>
              <c:layout>
                <c:manualLayout>
                  <c:x val="0.14555013865981248"/>
                  <c:y val="2.5604916143899627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40783492517485"/>
                      <c:h val="0.456246708709557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dLbl>
              <c:idx val="0"/>
              <c:layout>
                <c:manualLayout>
                  <c:x val="-6.6094438483734206E-3"/>
                  <c:y val="-1.2845479162250629E-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1459847024387"/>
                      <c:h val="0.457102708489895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3E7E-4C99-ABDE-43695ADF9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Analisis!$R$4:$R$8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Analisis!$S$4:$S$8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Analisis!$T$4:$T$8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Analisis!$U$4:$U$8</c:f>
              <c:numCache>
                <c:formatCode>General</c:formatCode>
                <c:ptCount val="2"/>
                <c:pt idx="0">
                  <c:v>4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Analisis!$X$4:$X$8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Analisis!$Y$4:$Y$8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Analisis!$Z$4:$Z$8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Analisis!$AA$4:$AA$8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Analisis_Equipo!$D$3:$D$7</c:f>
              <c:numCache>
                <c:formatCode>General</c:formatCode>
                <c:ptCount val="2"/>
                <c:pt idx="0">
                  <c:v>43</c:v>
                </c:pt>
                <c:pt idx="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Analisis_Equipo!$E$3:$E$7</c:f>
              <c:numCache>
                <c:formatCode>General</c:formatCode>
                <c:ptCount val="2"/>
                <c:pt idx="0">
                  <c:v>60</c:v>
                </c:pt>
                <c:pt idx="1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Analisis_Equipo!$F$3:$F$7</c:f>
              <c:numCache>
                <c:formatCode>0</c:formatCode>
                <c:ptCount val="2"/>
                <c:pt idx="0">
                  <c:v>71.666666666666671</c:v>
                </c:pt>
                <c:pt idx="1">
                  <c:v>74.074074074074076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72.807017543859658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Analisis_Equipo!$L$3:$L$7</c:f>
              <c:numCache>
                <c:formatCode>General</c:formatCode>
                <c:ptCount val="2"/>
                <c:pt idx="0">
                  <c:v>18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Analisis_Equipo!$M$3:$M$7</c:f>
              <c:numCache>
                <c:formatCode>General</c:formatCode>
                <c:ptCount val="2"/>
                <c:pt idx="0">
                  <c:v>31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Analisis_Equipo!$N$3:$N$7</c:f>
              <c:numCache>
                <c:formatCode>0</c:formatCode>
                <c:ptCount val="2"/>
                <c:pt idx="0">
                  <c:v>36.734693877551024</c:v>
                </c:pt>
                <c:pt idx="1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28.08988764044944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Analisis_Equipo!$U$3:$U$7</c:f>
              <c:numCache>
                <c:formatCode>General</c:formatCode>
                <c:ptCount val="2"/>
                <c:pt idx="0">
                  <c:v>24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Analisis_Equipo!$V$3:$V$7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Analisis_Equipo!$W$3:$W$7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Analisis_Equipo!$X$3:$X$7</c:f>
              <c:numCache>
                <c:formatCode>General</c:formatCode>
                <c:ptCount val="2"/>
                <c:pt idx="0">
                  <c:v>14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Analisis_Equipo!$AA$3:$AA$7</c:f>
              <c:numCache>
                <c:formatCode>General</c:formatCode>
                <c:ptCount val="2"/>
                <c:pt idx="0">
                  <c:v>14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Analisis_Equipo!$AB$3:$AB$7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Analisis_Equipo!$AC$3:$AC$7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Analisis_Equipo!$AD$3:$AD$7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Analisis!$D$4:$D$8</c:f>
              <c:numCache>
                <c:formatCode>General</c:formatCode>
                <c:ptCount val="2"/>
                <c:pt idx="0">
                  <c:v>9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0-4525-A40A-6509AFEB29D1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Analisis!$E$4:$E$8</c:f>
              <c:numCache>
                <c:formatCode>General</c:formatCode>
                <c:ptCount val="2"/>
                <c:pt idx="0">
                  <c:v>11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60-4525-A40A-6509AFEB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Leo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Analisis!$G$4:$G$6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Analisis!$H$4:$H$6</c:f>
              <c:numCache>
                <c:formatCode>0%</c:formatCode>
                <c:ptCount val="2"/>
                <c:pt idx="0">
                  <c:v>0.81818181818181823</c:v>
                </c:pt>
                <c:pt idx="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0.78947368421052633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Analisis!$R$4:$R$8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Analisis!$S$4:$S$8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Analisis!$T$4:$T$8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Analisis!$U$4:$U$8</c:f>
              <c:numCache>
                <c:formatCode>General</c:formatCode>
                <c:ptCount val="2"/>
                <c:pt idx="0">
                  <c:v>4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Analisis!$X$4:$X$8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Analisis!$Y$4:$Y$8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Analisis!$Z$4:$Z$8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Analisis!$AA$4:$AA$8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Analisis!$G$4:$G$6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Analisis!$H$4:$H$6</c:f>
              <c:numCache>
                <c:formatCode>0%</c:formatCode>
                <c:ptCount val="2"/>
                <c:pt idx="0">
                  <c:v>0.81818181818181823</c:v>
                </c:pt>
                <c:pt idx="1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0.78947368421052633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Analisis!$R$4:$R$8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Analisis!$S$4:$S$8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Analisis!$T$4:$T$8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Analisis!$U$4:$U$8</c:f>
              <c:numCache>
                <c:formatCode>General</c:formatCode>
                <c:ptCount val="2"/>
                <c:pt idx="0">
                  <c:v>4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Analisis!$X$4:$X$8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Analisis!$Y$4:$Y$8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Analisis!$Z$4:$Z$8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Analisis!$W$4:$W$8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Analisis!$AA$4:$AA$8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Analisis_Equipo!$D$3:$D$7</c:f>
              <c:numCache>
                <c:formatCode>General</c:formatCode>
                <c:ptCount val="2"/>
                <c:pt idx="0">
                  <c:v>43</c:v>
                </c:pt>
                <c:pt idx="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Analisis_Equipo!$E$3:$E$7</c:f>
              <c:numCache>
                <c:formatCode>General</c:formatCode>
                <c:ptCount val="2"/>
                <c:pt idx="0">
                  <c:v>60</c:v>
                </c:pt>
                <c:pt idx="1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Analisis_Equipo!$F$3:$F$7</c:f>
              <c:numCache>
                <c:formatCode>0</c:formatCode>
                <c:ptCount val="2"/>
                <c:pt idx="0">
                  <c:v>71.666666666666671</c:v>
                </c:pt>
                <c:pt idx="1">
                  <c:v>74.074074074074076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72.807017543859658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Analisis_Equipo!$U$3:$U$7</c:f>
              <c:numCache>
                <c:formatCode>General</c:formatCode>
                <c:ptCount val="2"/>
                <c:pt idx="0">
                  <c:v>24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Analisis_Equipo!$V$3:$V$7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Analisis_Equipo!$W$3:$W$7</c:f>
              <c:numCache>
                <c:formatCode>General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Analisis_Equipo!$X$3:$X$7</c:f>
              <c:numCache>
                <c:formatCode>General</c:formatCode>
                <c:ptCount val="2"/>
                <c:pt idx="0">
                  <c:v>14</c:v>
                </c:pt>
                <c:pt idx="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Analisis_Equipo!$AA$3:$AA$7</c:f>
              <c:numCache>
                <c:formatCode>General</c:formatCode>
                <c:ptCount val="2"/>
                <c:pt idx="0">
                  <c:v>14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Analisis_Equipo!$AB$3:$AB$7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Analisis_Equipo!$AC$3:$AC$7</c:f>
              <c:numCache>
                <c:formatCode>General</c:formatCode>
                <c:ptCount val="2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Analisis_Equipo!$Z$3:$Z$7</c:f>
              <c:multiLvlStrCache>
                <c:ptCount val="2"/>
                <c:lvl>
                  <c:pt idx="0">
                    <c:v>BM GRANOLLERS B(L)</c:v>
                  </c:pt>
                  <c:pt idx="1">
                    <c:v>H SANT CUGAT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</c:lvl>
              </c:multiLvlStrCache>
            </c:multiLvlStrRef>
          </c:cat>
          <c:val>
            <c:numRef>
              <c:f>Analisis_Equipo!$AD$3:$AD$7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DRETS FEDERATIUS INFANTIL MASCULI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179521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11707" y="1032667"/>
          <a:ext cx="4967785" cy="2185479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5" name="CuadroTexto 34">
          <a:extLst>
            <a:ext uri="{FF2B5EF4-FFF2-40B4-BE49-F238E27FC236}">
              <a16:creationId xmlns:a16="http://schemas.microsoft.com/office/drawing/2014/main" id="{676BA3CA-C608-496F-B1C1-788D2F376D03}"/>
            </a:ext>
          </a:extLst>
        </xdr:cNvPr>
        <xdr:cNvSpPr txBox="1"/>
      </xdr:nvSpPr>
      <xdr:spPr>
        <a:xfrm>
          <a:off x="9419167" y="16351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4,333333333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42" name="CuadroTexto 41">
          <a:extLst>
            <a:ext uri="{FF2B5EF4-FFF2-40B4-BE49-F238E27FC236}">
              <a16:creationId xmlns:a16="http://schemas.microsoft.com/office/drawing/2014/main" id="{4B0C0603-006F-4E24-970B-ABFDF2C30218}"/>
            </a:ext>
          </a:extLst>
        </xdr:cNvPr>
        <xdr:cNvSpPr txBox="1"/>
      </xdr:nvSpPr>
      <xdr:spPr>
        <a:xfrm>
          <a:off x="9466792" y="2011547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21" name="CuadroTexto 20">
          <a:extLst>
            <a:ext uri="{FF2B5EF4-FFF2-40B4-BE49-F238E27FC236}">
              <a16:creationId xmlns:a16="http://schemas.microsoft.com/office/drawing/2014/main" id="{502B917D-326C-405C-AD65-3891D7709025}"/>
            </a:ext>
          </a:extLst>
        </xdr:cNvPr>
        <xdr:cNvSpPr txBox="1"/>
      </xdr:nvSpPr>
      <xdr:spPr>
        <a:xfrm>
          <a:off x="9387417" y="2328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0,666666667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39" name="CuadroTexto 38">
          <a:extLst>
            <a:ext uri="{FF2B5EF4-FFF2-40B4-BE49-F238E27FC236}">
              <a16:creationId xmlns:a16="http://schemas.microsoft.com/office/drawing/2014/main" id="{53D2065F-B098-47A1-ADC3-5C8211CA7FEA}"/>
            </a:ext>
          </a:extLst>
        </xdr:cNvPr>
        <xdr:cNvSpPr txBox="1"/>
      </xdr:nvSpPr>
      <xdr:spPr>
        <a:xfrm>
          <a:off x="9392708" y="2698750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79375</xdr:rowOff>
    </xdr:from>
    <xdr:to>
      <xdr:col>13</xdr:col>
      <xdr:colOff>269875</xdr:colOff>
      <xdr:row>6</xdr:row>
      <xdr:rowOff>56951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97917" y="79375"/>
          <a:ext cx="5058833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                    				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153461</xdr:colOff>
      <xdr:row>1</xdr:row>
      <xdr:rowOff>132294</xdr:rowOff>
    </xdr:from>
    <xdr:to>
      <xdr:col>8</xdr:col>
      <xdr:colOff>619127</xdr:colOff>
      <xdr:row>3</xdr:row>
      <xdr:rowOff>148169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6011336" y="31750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72,8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349252</xdr:colOff>
      <xdr:row>1</xdr:row>
      <xdr:rowOff>132292</xdr:rowOff>
    </xdr:from>
    <xdr:to>
      <xdr:col>9</xdr:col>
      <xdr:colOff>5293</xdr:colOff>
      <xdr:row>3</xdr:row>
      <xdr:rowOff>148167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207127" y="31750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27,7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793751</xdr:colOff>
      <xdr:row>2</xdr:row>
      <xdr:rowOff>79375</xdr:rowOff>
    </xdr:from>
    <xdr:to>
      <xdr:col>8</xdr:col>
      <xdr:colOff>587376</xdr:colOff>
      <xdr:row>3</xdr:row>
      <xdr:rowOff>68792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42001" y="449792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28,1%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15875</xdr:colOff>
      <xdr:row>5</xdr:row>
      <xdr:rowOff>2540</xdr:rowOff>
    </xdr:from>
    <xdr:to>
      <xdr:col>13</xdr:col>
      <xdr:colOff>481541</xdr:colOff>
      <xdr:row>7</xdr:row>
      <xdr:rowOff>18416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9302750" y="928582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47414</xdr:colOff>
      <xdr:row>3</xdr:row>
      <xdr:rowOff>15160</xdr:rowOff>
    </xdr:from>
    <xdr:to>
      <xdr:col>10</xdr:col>
      <xdr:colOff>513080</xdr:colOff>
      <xdr:row>4</xdr:row>
      <xdr:rowOff>26459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24539" y="570785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259291</xdr:colOff>
      <xdr:row>1</xdr:row>
      <xdr:rowOff>140123</xdr:rowOff>
    </xdr:from>
    <xdr:to>
      <xdr:col>10</xdr:col>
      <xdr:colOff>724957</xdr:colOff>
      <xdr:row>3</xdr:row>
      <xdr:rowOff>155998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6416" y="325331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559857</xdr:colOff>
      <xdr:row>1</xdr:row>
      <xdr:rowOff>133774</xdr:rowOff>
    </xdr:from>
    <xdr:to>
      <xdr:col>13</xdr:col>
      <xdr:colOff>25398</xdr:colOff>
      <xdr:row>2</xdr:row>
      <xdr:rowOff>127000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46607" y="318982"/>
          <a:ext cx="465666" cy="178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8,7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236008</xdr:colOff>
      <xdr:row>2</xdr:row>
      <xdr:rowOff>79798</xdr:rowOff>
    </xdr:from>
    <xdr:to>
      <xdr:col>10</xdr:col>
      <xdr:colOff>701674</xdr:colOff>
      <xdr:row>3</xdr:row>
      <xdr:rowOff>79375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713133" y="450215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68791</xdr:colOff>
      <xdr:row>2</xdr:row>
      <xdr:rowOff>76622</xdr:rowOff>
    </xdr:from>
    <xdr:to>
      <xdr:col>13</xdr:col>
      <xdr:colOff>343957</xdr:colOff>
      <xdr:row>4</xdr:row>
      <xdr:rowOff>92498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65166" y="447039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72,8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28,1%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27,7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8,7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310.600919791665" createdVersion="8" refreshedVersion="6" minRefreshableVersion="3" recordCount="38" xr:uid="{1D5A0481-97D5-4A5B-AEA2-7E4FD00ADECA}">
  <cacheSource type="worksheet">
    <worksheetSource name="BD_ESTADISTICA_INF_B"/>
  </cacheSource>
  <cacheFields count="43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dorsal" numFmtId="0">
      <sharedItems containsNonDate="0" containsString="0" containsBlank="1"/>
    </cacheField>
    <cacheField name="Goles" numFmtId="0">
      <sharedItems containsString="0" containsBlank="1" containsNumber="1" containsInteger="1" minValue="0" maxValue="9"/>
    </cacheField>
    <cacheField name="Paradas" numFmtId="0">
      <sharedItems containsString="0" containsBlank="1" containsNumber="1" containsInteger="1" minValue="2" maxValue="10"/>
    </cacheField>
    <cacheField name="Lanzam." numFmtId="0">
      <sharedItems containsString="0" containsBlank="1" containsNumber="1" containsInteger="1" minValue="2" maxValue="24"/>
    </cacheField>
    <cacheField name="% lanz" numFmtId="9">
      <sharedItems containsMixedTypes="1" containsNumber="1" minValue="0" maxValue="1"/>
    </cacheField>
    <cacheField name="Lanzam. 7m" numFmtId="0">
      <sharedItems containsString="0" containsBlank="1" containsNumber="1" containsInteger="1" minValue="1" maxValue="6"/>
    </cacheField>
    <cacheField name="Goles 7m" numFmtId="0">
      <sharedItems containsString="0" containsBlank="1" containsNumber="1" containsInteger="1" minValue="0" maxValue="6"/>
    </cacheField>
    <cacheField name="%7m" numFmtId="9">
      <sharedItems containsMixedTypes="1" containsNumber="1" containsInteger="1" minValue="0" maxValue="1"/>
    </cacheField>
    <cacheField name="Asistencia" numFmtId="0">
      <sharedItems containsString="0" containsBlank="1" containsNumber="1" containsInteger="1" minValue="1" maxValue="8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4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1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2" maxValue="2"/>
    </cacheField>
    <cacheField name="JORNADA" numFmtId="0">
      <sharedItems containsSemiMixedTypes="0" containsString="0" containsNumber="1" containsInteger="1" minValue="1" maxValue="12" count="12">
        <n v="1"/>
        <n v="2"/>
        <n v="11" u="1"/>
        <n v="12" u="1"/>
        <n v="6" u="1"/>
        <n v="3" u="1"/>
        <n v="7" u="1"/>
        <n v="8" u="1"/>
        <n v="4" u="1"/>
        <n v="9" u="1"/>
        <n v="10" u="1"/>
        <n v="5" u="1"/>
      </sharedItems>
    </cacheField>
    <cacheField name="FASE" numFmtId="0">
      <sharedItems containsSemiMixedTypes="0" containsString="0" containsNumber="1" containsInteger="1" minValue="1" maxValue="1"/>
    </cacheField>
    <cacheField name="L/V" numFmtId="0">
      <sharedItems/>
    </cacheField>
    <cacheField name="rival" numFmtId="0">
      <sharedItems containsBlank="1" count="38">
        <s v="BM GRANOLLERS B(L)"/>
        <s v="H SANT CUGAT (V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9"/>
    </cacheField>
    <cacheField name="goles contra" numFmtId="0">
      <sharedItems containsSemiMixedTypes="0" containsString="0" containsNumber="1" containsInteger="1" minValue="0" maxValue="16"/>
    </cacheField>
    <cacheField name="lanzamientos realizados" numFmtId="0">
      <sharedItems containsSemiMixedTypes="0" containsString="0" containsNumber="1" containsInteger="1" minValue="0" maxValue="11"/>
    </cacheField>
    <cacheField name="lanzamientos recibidos" numFmtId="0">
      <sharedItems containsSemiMixedTypes="0" containsString="0" containsNumber="1" containsInteger="1" minValue="0" maxValue="24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m/>
    <n v="1"/>
    <m/>
    <n v="2"/>
    <n v="0.5"/>
    <m/>
    <m/>
    <s v=""/>
    <m/>
    <n v="1"/>
    <m/>
    <m/>
    <m/>
    <m/>
    <n v="2"/>
    <m/>
    <m/>
    <x v="0"/>
    <n v="1"/>
    <s v="L"/>
    <x v="0"/>
    <x v="0"/>
    <n v="1"/>
    <n v="0"/>
    <n v="2"/>
    <n v="0"/>
  </r>
  <r>
    <x v="1"/>
    <m/>
    <n v="4"/>
    <m/>
    <n v="4"/>
    <n v="1"/>
    <m/>
    <m/>
    <s v=""/>
    <m/>
    <m/>
    <n v="1"/>
    <m/>
    <m/>
    <m/>
    <m/>
    <m/>
    <m/>
    <x v="0"/>
    <n v="1"/>
    <s v="L"/>
    <x v="0"/>
    <x v="0"/>
    <n v="4"/>
    <n v="0"/>
    <n v="4"/>
    <n v="0"/>
  </r>
  <r>
    <x v="2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3"/>
    <m/>
    <n v="4"/>
    <m/>
    <n v="8"/>
    <n v="0.5"/>
    <m/>
    <m/>
    <s v=""/>
    <n v="2"/>
    <m/>
    <n v="1"/>
    <m/>
    <m/>
    <m/>
    <n v="2"/>
    <m/>
    <n v="2"/>
    <x v="0"/>
    <n v="1"/>
    <s v="L"/>
    <x v="0"/>
    <x v="0"/>
    <n v="4"/>
    <n v="0"/>
    <n v="8"/>
    <n v="0"/>
  </r>
  <r>
    <x v="4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5"/>
    <m/>
    <n v="6"/>
    <m/>
    <n v="7"/>
    <n v="0.8571428571428571"/>
    <m/>
    <m/>
    <s v=""/>
    <n v="2"/>
    <m/>
    <m/>
    <m/>
    <m/>
    <m/>
    <n v="1"/>
    <m/>
    <m/>
    <x v="0"/>
    <n v="1"/>
    <s v="L"/>
    <x v="0"/>
    <x v="0"/>
    <n v="6"/>
    <n v="0"/>
    <n v="7"/>
    <n v="0"/>
  </r>
  <r>
    <x v="6"/>
    <m/>
    <m/>
    <m/>
    <n v="2"/>
    <n v="0"/>
    <m/>
    <m/>
    <s v=""/>
    <m/>
    <m/>
    <n v="3"/>
    <m/>
    <m/>
    <m/>
    <m/>
    <m/>
    <m/>
    <x v="0"/>
    <n v="1"/>
    <s v="L"/>
    <x v="0"/>
    <x v="0"/>
    <n v="0"/>
    <n v="0"/>
    <n v="2"/>
    <n v="0"/>
  </r>
  <r>
    <x v="7"/>
    <m/>
    <n v="4"/>
    <m/>
    <n v="4"/>
    <n v="1"/>
    <m/>
    <m/>
    <s v=""/>
    <n v="1"/>
    <m/>
    <m/>
    <m/>
    <m/>
    <m/>
    <n v="1"/>
    <m/>
    <n v="2"/>
    <x v="0"/>
    <n v="1"/>
    <s v="L"/>
    <x v="0"/>
    <x v="0"/>
    <n v="4"/>
    <n v="0"/>
    <n v="4"/>
    <n v="0"/>
  </r>
  <r>
    <x v="8"/>
    <m/>
    <n v="1"/>
    <m/>
    <n v="5"/>
    <n v="0.2"/>
    <m/>
    <m/>
    <s v=""/>
    <n v="4"/>
    <m/>
    <n v="4"/>
    <m/>
    <m/>
    <m/>
    <n v="2"/>
    <m/>
    <m/>
    <x v="0"/>
    <n v="1"/>
    <s v="L"/>
    <x v="0"/>
    <x v="0"/>
    <n v="1"/>
    <n v="0"/>
    <n v="5"/>
    <n v="0"/>
  </r>
  <r>
    <x v="9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10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11"/>
    <m/>
    <n v="9"/>
    <m/>
    <n v="10"/>
    <n v="0.9"/>
    <m/>
    <m/>
    <s v=""/>
    <n v="8"/>
    <m/>
    <n v="1"/>
    <m/>
    <m/>
    <m/>
    <m/>
    <n v="1"/>
    <m/>
    <x v="0"/>
    <n v="1"/>
    <s v="L"/>
    <x v="0"/>
    <x v="0"/>
    <n v="9"/>
    <n v="0"/>
    <n v="10"/>
    <n v="0"/>
  </r>
  <r>
    <x v="12"/>
    <m/>
    <n v="9"/>
    <m/>
    <n v="11"/>
    <n v="0.81818181818181823"/>
    <n v="6"/>
    <n v="6"/>
    <n v="1"/>
    <m/>
    <m/>
    <n v="2"/>
    <m/>
    <m/>
    <m/>
    <n v="4"/>
    <m/>
    <n v="2"/>
    <x v="0"/>
    <n v="1"/>
    <s v="L"/>
    <x v="0"/>
    <x v="0"/>
    <n v="9"/>
    <n v="0"/>
    <n v="11"/>
    <n v="0"/>
  </r>
  <r>
    <x v="13"/>
    <m/>
    <n v="3"/>
    <m/>
    <n v="3"/>
    <n v="1"/>
    <m/>
    <m/>
    <s v=""/>
    <n v="3"/>
    <m/>
    <n v="2"/>
    <m/>
    <m/>
    <m/>
    <n v="1"/>
    <m/>
    <m/>
    <x v="0"/>
    <n v="1"/>
    <s v="L"/>
    <x v="0"/>
    <x v="0"/>
    <n v="3"/>
    <n v="0"/>
    <n v="3"/>
    <n v="0"/>
  </r>
  <r>
    <x v="14"/>
    <m/>
    <m/>
    <n v="10"/>
    <n v="24"/>
    <n v="0.41666666666666669"/>
    <n v="1"/>
    <n v="1"/>
    <n v="1"/>
    <n v="4"/>
    <m/>
    <m/>
    <m/>
    <m/>
    <m/>
    <m/>
    <m/>
    <m/>
    <x v="0"/>
    <n v="1"/>
    <s v="L"/>
    <x v="0"/>
    <x v="1"/>
    <n v="0"/>
    <n v="14"/>
    <n v="0"/>
    <n v="24"/>
  </r>
  <r>
    <x v="15"/>
    <m/>
    <m/>
    <n v="4"/>
    <n v="15"/>
    <n v="0.26666666666666666"/>
    <m/>
    <m/>
    <s v=""/>
    <m/>
    <m/>
    <m/>
    <m/>
    <m/>
    <m/>
    <m/>
    <m/>
    <m/>
    <x v="0"/>
    <n v="1"/>
    <s v="L"/>
    <x v="0"/>
    <x v="1"/>
    <n v="0"/>
    <n v="11"/>
    <n v="0"/>
    <n v="15"/>
  </r>
  <r>
    <x v="16"/>
    <m/>
    <m/>
    <n v="4"/>
    <n v="10"/>
    <n v="0.4"/>
    <n v="1"/>
    <n v="0"/>
    <n v="0"/>
    <m/>
    <m/>
    <m/>
    <m/>
    <m/>
    <m/>
    <m/>
    <m/>
    <m/>
    <x v="0"/>
    <n v="1"/>
    <s v="L"/>
    <x v="0"/>
    <x v="1"/>
    <n v="0"/>
    <n v="6"/>
    <n v="0"/>
    <n v="10"/>
  </r>
  <r>
    <x v="17"/>
    <m/>
    <n v="2"/>
    <m/>
    <n v="4"/>
    <n v="0.5"/>
    <m/>
    <m/>
    <s v=""/>
    <m/>
    <m/>
    <m/>
    <m/>
    <m/>
    <m/>
    <n v="1"/>
    <m/>
    <m/>
    <x v="0"/>
    <n v="1"/>
    <s v="L"/>
    <x v="0"/>
    <x v="0"/>
    <n v="2"/>
    <n v="0"/>
    <n v="4"/>
    <n v="0"/>
  </r>
  <r>
    <x v="18"/>
    <m/>
    <m/>
    <m/>
    <m/>
    <s v=""/>
    <m/>
    <m/>
    <s v=""/>
    <m/>
    <m/>
    <m/>
    <m/>
    <m/>
    <m/>
    <m/>
    <m/>
    <m/>
    <x v="0"/>
    <n v="1"/>
    <s v="L"/>
    <x v="0"/>
    <x v="0"/>
    <n v="0"/>
    <n v="0"/>
    <n v="0"/>
    <n v="0"/>
  </r>
  <r>
    <x v="0"/>
    <m/>
    <n v="0"/>
    <m/>
    <n v="2"/>
    <n v="0"/>
    <m/>
    <m/>
    <s v=""/>
    <n v="1"/>
    <m/>
    <m/>
    <m/>
    <m/>
    <m/>
    <m/>
    <m/>
    <m/>
    <x v="1"/>
    <n v="1"/>
    <s v="V"/>
    <x v="1"/>
    <x v="0"/>
    <n v="0"/>
    <n v="0"/>
    <n v="2"/>
    <n v="0"/>
  </r>
  <r>
    <x v="1"/>
    <m/>
    <n v="2"/>
    <m/>
    <n v="3"/>
    <n v="0.66666666666666663"/>
    <m/>
    <m/>
    <s v=""/>
    <m/>
    <m/>
    <m/>
    <m/>
    <m/>
    <m/>
    <n v="1"/>
    <m/>
    <m/>
    <x v="1"/>
    <n v="1"/>
    <s v="V"/>
    <x v="1"/>
    <x v="0"/>
    <n v="2"/>
    <n v="0"/>
    <n v="3"/>
    <n v="0"/>
  </r>
  <r>
    <x v="2"/>
    <m/>
    <m/>
    <m/>
    <m/>
    <s v=""/>
    <m/>
    <m/>
    <s v=""/>
    <m/>
    <m/>
    <m/>
    <m/>
    <m/>
    <m/>
    <m/>
    <m/>
    <m/>
    <x v="1"/>
    <n v="1"/>
    <s v="V"/>
    <x v="1"/>
    <x v="0"/>
    <n v="0"/>
    <n v="0"/>
    <n v="0"/>
    <n v="0"/>
  </r>
  <r>
    <x v="3"/>
    <m/>
    <n v="6"/>
    <m/>
    <n v="9"/>
    <n v="0.66666666666666663"/>
    <m/>
    <m/>
    <s v=""/>
    <n v="3"/>
    <m/>
    <m/>
    <n v="1"/>
    <n v="1"/>
    <n v="1"/>
    <n v="1"/>
    <m/>
    <m/>
    <x v="1"/>
    <n v="1"/>
    <s v="V"/>
    <x v="1"/>
    <x v="0"/>
    <n v="6"/>
    <n v="0"/>
    <n v="9"/>
    <n v="0"/>
  </r>
  <r>
    <x v="4"/>
    <m/>
    <m/>
    <m/>
    <m/>
    <s v=""/>
    <m/>
    <m/>
    <s v=""/>
    <m/>
    <m/>
    <m/>
    <m/>
    <m/>
    <m/>
    <m/>
    <m/>
    <m/>
    <x v="1"/>
    <n v="1"/>
    <s v="V"/>
    <x v="1"/>
    <x v="0"/>
    <n v="0"/>
    <n v="0"/>
    <n v="0"/>
    <n v="0"/>
  </r>
  <r>
    <x v="5"/>
    <m/>
    <n v="6"/>
    <m/>
    <n v="9"/>
    <n v="0.66666666666666663"/>
    <m/>
    <m/>
    <s v=""/>
    <m/>
    <m/>
    <n v="2"/>
    <m/>
    <m/>
    <m/>
    <n v="1"/>
    <m/>
    <m/>
    <x v="1"/>
    <n v="1"/>
    <s v="V"/>
    <x v="1"/>
    <x v="0"/>
    <n v="6"/>
    <n v="0"/>
    <n v="9"/>
    <n v="0"/>
  </r>
  <r>
    <x v="6"/>
    <m/>
    <n v="5"/>
    <m/>
    <n v="6"/>
    <n v="0.83333333333333337"/>
    <m/>
    <m/>
    <s v=""/>
    <m/>
    <n v="2"/>
    <n v="1"/>
    <m/>
    <m/>
    <m/>
    <n v="1"/>
    <n v="1"/>
    <n v="2"/>
    <x v="1"/>
    <n v="1"/>
    <s v="V"/>
    <x v="1"/>
    <x v="0"/>
    <n v="5"/>
    <n v="0"/>
    <n v="6"/>
    <n v="0"/>
  </r>
  <r>
    <x v="7"/>
    <m/>
    <m/>
    <m/>
    <m/>
    <s v=""/>
    <m/>
    <m/>
    <s v=""/>
    <m/>
    <m/>
    <m/>
    <m/>
    <m/>
    <m/>
    <n v="1"/>
    <m/>
    <m/>
    <x v="1"/>
    <n v="1"/>
    <s v="V"/>
    <x v="1"/>
    <x v="0"/>
    <n v="0"/>
    <n v="0"/>
    <n v="0"/>
    <n v="0"/>
  </r>
  <r>
    <x v="8"/>
    <m/>
    <n v="2"/>
    <m/>
    <n v="2"/>
    <n v="1"/>
    <m/>
    <m/>
    <s v=""/>
    <n v="2"/>
    <m/>
    <n v="2"/>
    <m/>
    <n v="1"/>
    <m/>
    <m/>
    <m/>
    <m/>
    <x v="1"/>
    <n v="1"/>
    <s v="V"/>
    <x v="1"/>
    <x v="0"/>
    <n v="2"/>
    <n v="0"/>
    <n v="2"/>
    <n v="0"/>
  </r>
  <r>
    <x v="9"/>
    <m/>
    <m/>
    <m/>
    <m/>
    <s v=""/>
    <m/>
    <m/>
    <s v=""/>
    <m/>
    <m/>
    <m/>
    <m/>
    <m/>
    <m/>
    <m/>
    <m/>
    <m/>
    <x v="1"/>
    <n v="1"/>
    <s v="V"/>
    <x v="1"/>
    <x v="0"/>
    <n v="0"/>
    <n v="0"/>
    <n v="0"/>
    <n v="0"/>
  </r>
  <r>
    <x v="10"/>
    <m/>
    <n v="4"/>
    <m/>
    <n v="4"/>
    <n v="1"/>
    <m/>
    <m/>
    <s v=""/>
    <n v="2"/>
    <n v="1"/>
    <n v="1"/>
    <m/>
    <n v="1"/>
    <m/>
    <n v="2"/>
    <n v="1"/>
    <m/>
    <x v="1"/>
    <n v="1"/>
    <s v="V"/>
    <x v="1"/>
    <x v="0"/>
    <n v="4"/>
    <n v="0"/>
    <n v="4"/>
    <n v="0"/>
  </r>
  <r>
    <x v="11"/>
    <m/>
    <n v="2"/>
    <m/>
    <n v="4"/>
    <n v="0.5"/>
    <m/>
    <m/>
    <s v=""/>
    <n v="1"/>
    <n v="1"/>
    <n v="2"/>
    <m/>
    <m/>
    <m/>
    <m/>
    <m/>
    <m/>
    <x v="1"/>
    <n v="1"/>
    <s v="V"/>
    <x v="1"/>
    <x v="0"/>
    <n v="2"/>
    <n v="0"/>
    <n v="4"/>
    <n v="0"/>
  </r>
  <r>
    <x v="12"/>
    <m/>
    <n v="6"/>
    <m/>
    <n v="8"/>
    <n v="0.75"/>
    <n v="2"/>
    <n v="2"/>
    <n v="1"/>
    <m/>
    <n v="1"/>
    <m/>
    <m/>
    <m/>
    <m/>
    <n v="9"/>
    <m/>
    <m/>
    <x v="1"/>
    <n v="1"/>
    <s v="V"/>
    <x v="1"/>
    <x v="0"/>
    <n v="6"/>
    <n v="0"/>
    <n v="8"/>
    <n v="0"/>
  </r>
  <r>
    <x v="13"/>
    <m/>
    <n v="7"/>
    <m/>
    <n v="7"/>
    <n v="1"/>
    <m/>
    <m/>
    <s v=""/>
    <n v="3"/>
    <m/>
    <n v="1"/>
    <m/>
    <m/>
    <n v="1"/>
    <n v="1"/>
    <n v="1"/>
    <m/>
    <x v="1"/>
    <n v="1"/>
    <s v="V"/>
    <x v="1"/>
    <x v="0"/>
    <n v="7"/>
    <n v="0"/>
    <n v="7"/>
    <n v="0"/>
  </r>
  <r>
    <x v="14"/>
    <m/>
    <m/>
    <n v="2"/>
    <n v="16"/>
    <n v="0.125"/>
    <m/>
    <m/>
    <s v=""/>
    <m/>
    <m/>
    <m/>
    <m/>
    <m/>
    <m/>
    <m/>
    <m/>
    <m/>
    <x v="1"/>
    <n v="1"/>
    <s v="V"/>
    <x v="1"/>
    <x v="1"/>
    <n v="0"/>
    <n v="14"/>
    <n v="0"/>
    <n v="16"/>
  </r>
  <r>
    <x v="15"/>
    <m/>
    <m/>
    <n v="3"/>
    <n v="19"/>
    <n v="0.15789473684210525"/>
    <m/>
    <m/>
    <s v=""/>
    <n v="1"/>
    <m/>
    <m/>
    <m/>
    <m/>
    <m/>
    <m/>
    <m/>
    <m/>
    <x v="1"/>
    <n v="1"/>
    <s v="V"/>
    <x v="1"/>
    <x v="1"/>
    <n v="0"/>
    <n v="16"/>
    <n v="0"/>
    <n v="19"/>
  </r>
  <r>
    <x v="16"/>
    <m/>
    <m/>
    <n v="2"/>
    <n v="5"/>
    <n v="0.4"/>
    <n v="1"/>
    <n v="1"/>
    <n v="1"/>
    <m/>
    <m/>
    <m/>
    <m/>
    <m/>
    <m/>
    <m/>
    <m/>
    <m/>
    <x v="1"/>
    <n v="1"/>
    <s v="V"/>
    <x v="1"/>
    <x v="1"/>
    <n v="0"/>
    <n v="3"/>
    <n v="0"/>
    <n v="5"/>
  </r>
  <r>
    <x v="17"/>
    <m/>
    <m/>
    <m/>
    <m/>
    <s v=""/>
    <m/>
    <m/>
    <s v=""/>
    <m/>
    <m/>
    <m/>
    <m/>
    <m/>
    <m/>
    <m/>
    <m/>
    <m/>
    <x v="1"/>
    <n v="1"/>
    <s v="V"/>
    <x v="1"/>
    <x v="0"/>
    <n v="0"/>
    <n v="0"/>
    <n v="0"/>
    <n v="0"/>
  </r>
  <r>
    <x v="18"/>
    <m/>
    <m/>
    <m/>
    <m/>
    <s v=""/>
    <m/>
    <m/>
    <s v=""/>
    <m/>
    <m/>
    <m/>
    <m/>
    <m/>
    <m/>
    <m/>
    <m/>
    <m/>
    <x v="1"/>
    <n v="1"/>
    <s v="V"/>
    <x v="1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5">
  <location ref="J3:L5" firstHeaderRow="0" firstDataRow="1" firstDataCol="1"/>
  <pivotFields count="43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2" baseField="0" baseItem="0"/>
    <dataField name="Suma de Lanzam." fld="4" baseField="0" baseItem="0"/>
  </dataFields>
  <chartFormats count="25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3">
  <location ref="C3:E8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axis="axisRow" showAll="0">
      <items count="39">
        <item m="1" x="29"/>
        <item m="1" x="21"/>
        <item m="1" x="25"/>
        <item m="1" x="6"/>
        <item m="1" x="26"/>
        <item m="1" x="34"/>
        <item m="1" x="13"/>
        <item m="1" x="17"/>
        <item m="1" x="8"/>
        <item m="1" x="9"/>
        <item m="1" x="11"/>
        <item m="1" x="7"/>
        <item m="1" x="35"/>
        <item m="1" x="31"/>
        <item m="1" x="2"/>
        <item m="1" x="23"/>
        <item m="1" x="18"/>
        <item m="1" x="12"/>
        <item m="1" x="5"/>
        <item m="1" x="32"/>
        <item m="1" x="24"/>
        <item m="1" x="19"/>
        <item m="1" x="14"/>
        <item m="1" x="10"/>
        <item m="1" x="15"/>
        <item m="1" x="30"/>
        <item m="1" x="3"/>
        <item m="1" x="37"/>
        <item m="1" x="16"/>
        <item m="1" x="20"/>
        <item m="1" x="33"/>
        <item m="1" x="36"/>
        <item m="1" x="27"/>
        <item m="1" x="4"/>
        <item m="1" x="22"/>
        <item m="1" x="28"/>
        <item x="0"/>
        <item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5">
    <i>
      <x/>
    </i>
    <i r="1">
      <x v="36"/>
    </i>
    <i>
      <x v="1"/>
    </i>
    <i r="1">
      <x v="37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2" baseField="0" baseItem="0"/>
    <dataField name="Suma de Lanzam." fld="4" baseField="0" baseItem="0"/>
  </dataFields>
  <chartFormats count="8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Q3:U8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axis="axisRow" showAll="0">
      <items count="39">
        <item m="1" x="29"/>
        <item m="1" x="21"/>
        <item m="1" x="25"/>
        <item m="1" x="6"/>
        <item m="1" x="26"/>
        <item m="1" x="34"/>
        <item m="1" x="13"/>
        <item m="1" x="17"/>
        <item m="1" x="8"/>
        <item m="1" x="9"/>
        <item m="1" x="11"/>
        <item m="1" x="7"/>
        <item m="1" x="35"/>
        <item m="1" x="31"/>
        <item m="1" x="2"/>
        <item m="1" x="23"/>
        <item m="1" x="18"/>
        <item m="1" x="12"/>
        <item m="1" x="5"/>
        <item m="1" x="32"/>
        <item m="1" x="24"/>
        <item m="1" x="19"/>
        <item m="1" x="14"/>
        <item m="1" x="10"/>
        <item m="1" x="15"/>
        <item m="1" x="30"/>
        <item m="1" x="3"/>
        <item m="1" x="37"/>
        <item m="1" x="16"/>
        <item m="1" x="20"/>
        <item m="1" x="33"/>
        <item m="1" x="36"/>
        <item m="1" x="27"/>
        <item m="1" x="4"/>
        <item m="1" x="22"/>
        <item m="1" x="28"/>
        <item x="0"/>
        <item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5">
    <i>
      <x/>
    </i>
    <i r="1">
      <x v="36"/>
    </i>
    <i>
      <x v="1"/>
    </i>
    <i r="1">
      <x v="3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2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10" baseField="0" baseItem="0"/>
    <dataField name="Suma de Pase" fld="11" baseField="0" baseItem="0"/>
    <dataField name="Suma de Área" fld="12" baseField="0" baseItem="0"/>
    <dataField name="Suma de Otro" fld="14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6">
  <location ref="W3:AA8" firstHeaderRow="0" firstDataRow="1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axis="axisRow" showAll="0">
      <items count="39">
        <item m="1" x="29"/>
        <item m="1" x="21"/>
        <item m="1" x="25"/>
        <item m="1" x="6"/>
        <item m="1" x="26"/>
        <item m="1" x="34"/>
        <item m="1" x="13"/>
        <item m="1" x="17"/>
        <item m="1" x="8"/>
        <item m="1" x="9"/>
        <item m="1" x="11"/>
        <item m="1" x="7"/>
        <item m="1" x="35"/>
        <item m="1" x="31"/>
        <item m="1" x="2"/>
        <item m="1" x="23"/>
        <item m="1" x="18"/>
        <item m="1" x="12"/>
        <item m="1" x="5"/>
        <item m="1" x="32"/>
        <item m="1" x="24"/>
        <item m="1" x="19"/>
        <item m="1" x="14"/>
        <item m="1" x="10"/>
        <item m="1" x="15"/>
        <item m="1" x="30"/>
        <item m="1" x="3"/>
        <item m="1" x="37"/>
        <item m="1" x="16"/>
        <item m="1" x="20"/>
        <item m="1" x="33"/>
        <item m="1" x="36"/>
        <item m="1" x="27"/>
        <item m="1" x="4"/>
        <item m="1" x="22"/>
        <item m="1" x="28"/>
        <item x="0"/>
        <item x="1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5">
    <i>
      <x/>
    </i>
    <i r="1">
      <x v="36"/>
    </i>
    <i>
      <x v="1"/>
    </i>
    <i r="1">
      <x v="3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16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6" firstHeaderRow="1" firstDataRow="1" firstDataCol="1" rowPageCount="1" colPageCount="1"/>
  <pivotFields count="4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0"/>
        <item x="1"/>
        <item m="1" x="5"/>
        <item m="1" x="8"/>
        <item m="1" x="4"/>
        <item m="1" x="6"/>
        <item m="1" x="10"/>
        <item m="1" x="11"/>
        <item m="1" x="7"/>
        <item m="1" x="9"/>
        <item m="1" x="2"/>
        <item m="1" x="3"/>
        <item t="default"/>
      </items>
    </pivotField>
    <pivotField showAll="0"/>
    <pivotField showAll="0"/>
    <pivotField axis="axisRow" showAll="0">
      <items count="39">
        <item m="1" x="29"/>
        <item m="1" x="21"/>
        <item m="1" x="25"/>
        <item m="1" x="26"/>
        <item m="1" x="34"/>
        <item m="1" x="13"/>
        <item m="1" x="8"/>
        <item m="1" x="17"/>
        <item m="1" x="6"/>
        <item m="1" x="9"/>
        <item m="1" x="11"/>
        <item m="1" x="7"/>
        <item m="1" x="35"/>
        <item m="1" x="31"/>
        <item m="1" x="2"/>
        <item m="1" x="23"/>
        <item m="1" x="18"/>
        <item m="1" x="12"/>
        <item m="1" x="5"/>
        <item m="1" x="32"/>
        <item m="1" x="24"/>
        <item m="1" x="19"/>
        <item m="1" x="14"/>
        <item m="1" x="10"/>
        <item m="1" x="15"/>
        <item m="1" x="30"/>
        <item m="1" x="3"/>
        <item m="1" x="37"/>
        <item m="1" x="16"/>
        <item m="1" x="20"/>
        <item m="1" x="33"/>
        <item m="1" x="36"/>
        <item m="1" x="27"/>
        <item m="1" x="4"/>
        <item m="1" x="22"/>
        <item m="1" x="28"/>
        <item x="0"/>
        <item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1"/>
  </rowFields>
  <rowItems count="3">
    <i>
      <x v="36"/>
    </i>
    <i>
      <x v="37"/>
    </i>
    <i t="grand">
      <x/>
    </i>
  </rowItems>
  <colItems count="1">
    <i/>
  </colItems>
  <pageFields count="1">
    <pageField fld="1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43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8" baseField="0" baseItem="0"/>
  </dataFields>
  <formats count="1">
    <format dxfId="8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8">
  <location ref="G3:H6" firstHeaderRow="1" firstDataRow="1" firstDataCol="1"/>
  <pivotFields count="43">
    <pivotField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Suma de Campo1" fld="28" baseField="0" baseItem="0"/>
  </dataFields>
  <formats count="2">
    <format dxfId="10">
      <pivotArea collapsedLevelsAreSubtotals="1" fieldPosition="0">
        <references count="1">
          <reference field="18" count="0"/>
        </references>
      </pivotArea>
    </format>
    <format dxfId="9">
      <pivotArea grandRow="1" outline="0" collapsedLevelsAreSubtotals="1" fieldPosition="0"/>
    </format>
  </formats>
  <chartFormats count="18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8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8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8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8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8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8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8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8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8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8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6" firstHeaderRow="0" firstDataRow="0" firstDataCol="1"/>
  <pivotFields count="43">
    <pivotField multipleItemSelectionAllowed="1" showAll="0">
      <items count="22">
        <item h="1" x="2"/>
        <item h="1" x="13"/>
        <item h="1" x="0"/>
        <item h="1" x="1"/>
        <item h="1" x="7"/>
        <item h="1" x="17"/>
        <item h="1" x="16"/>
        <item h="1" x="9"/>
        <item h="1" x="14"/>
        <item h="1" x="8"/>
        <item h="1" x="4"/>
        <item h="1" x="15"/>
        <item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8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43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4" baseField="0" baseItem="0"/>
    <dataField name="Suma de Paradas" fld="3" baseField="0" baseItem="0"/>
    <dataField name="Suma de Campo12" fld="42" baseField="0" baseItem="0" numFmtId="1"/>
  </dataFields>
  <formats count="2">
    <format dxfId="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7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axis="axisRow" showAll="0">
      <items count="39">
        <item m="1" x="29"/>
        <item m="1" x="21"/>
        <item m="1" x="25"/>
        <item m="1" x="6"/>
        <item m="1" x="26"/>
        <item m="1" x="34"/>
        <item m="1" x="13"/>
        <item m="1" x="17"/>
        <item m="1" x="8"/>
        <item m="1" x="9"/>
        <item m="1" x="11"/>
        <item m="1" x="7"/>
        <item m="1" x="35"/>
        <item m="1" x="31"/>
        <item m="1" x="2"/>
        <item m="1" x="23"/>
        <item m="1" x="18"/>
        <item m="1" x="12"/>
        <item m="1" x="5"/>
        <item m="1" x="32"/>
        <item m="1" x="24"/>
        <item m="1" x="19"/>
        <item m="1" x="14"/>
        <item m="1" x="10"/>
        <item m="1" x="15"/>
        <item m="1" x="30"/>
        <item m="1" x="3"/>
        <item m="1" x="37"/>
        <item m="1" x="16"/>
        <item m="1" x="20"/>
        <item m="1" x="33"/>
        <item m="1" x="36"/>
        <item m="1" x="27"/>
        <item m="1" x="4"/>
        <item m="1" x="22"/>
        <item m="1" x="28"/>
        <item x="0"/>
        <item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5">
    <i>
      <x/>
    </i>
    <i r="1">
      <x v="36"/>
    </i>
    <i>
      <x v="1"/>
    </i>
    <i r="1">
      <x v="3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9" baseField="0" baseItem="0"/>
    <dataField name="Penaltis provocados" fld="17" baseField="0" baseItem="0"/>
    <dataField name="Exclusiones provocadas" fld="16" baseField="0" baseItem="0"/>
    <dataField name="Recuperaciones" fld="15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3" baseField="0" baseItem="0"/>
    <dataField name="Suma de lanzamientos realizados" fld="25" baseField="0" baseItem="0"/>
    <dataField name="Suma de Campo11" fld="40" baseField="0" baseItem="0" numFmtId="1"/>
  </dataFields>
  <formats count="2">
    <format dxfId="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9" baseField="0" baseItem="0"/>
    <dataField name="Recuperaciones" fld="15" baseField="0" baseItem="0"/>
    <dataField name="Suma de Exclusión +" fld="16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39">
        <item m="1" x="35"/>
        <item m="1" x="30"/>
        <item m="1" x="33"/>
        <item m="1" x="29"/>
        <item m="1" x="22"/>
        <item m="1" x="28"/>
        <item x="0"/>
        <item m="1" x="21"/>
        <item m="1" x="9"/>
        <item m="1" x="25"/>
        <item m="1" x="4"/>
        <item m="1" x="36"/>
        <item m="1" x="3"/>
        <item m="1" x="6"/>
        <item m="1" x="26"/>
        <item m="1" x="37"/>
        <item m="1" x="27"/>
        <item m="1" x="34"/>
        <item x="1"/>
        <item m="1" x="13"/>
        <item m="1" x="7"/>
        <item m="1" x="20"/>
        <item m="1" x="15"/>
        <item m="1" x="31"/>
        <item m="1" x="23"/>
        <item m="1" x="18"/>
        <item m="1" x="12"/>
        <item m="1" x="5"/>
        <item m="1" x="32"/>
        <item m="1" x="24"/>
        <item m="1" x="19"/>
        <item m="1" x="14"/>
        <item m="1" x="17"/>
        <item m="1" x="8"/>
        <item m="1" x="11"/>
        <item m="1" x="10"/>
        <item m="1" x="16"/>
        <item m="1" x="2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50">
  <location ref="K2:N7" firstHeaderRow="0" firstDataRow="1" firstDataCol="1"/>
  <pivotFields count="43">
    <pivotField multipleItemSelectionAllowe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axis="axisRow" showAll="0">
      <items count="39">
        <item m="1" x="29"/>
        <item m="1" x="21"/>
        <item m="1" x="25"/>
        <item m="1" x="6"/>
        <item m="1" x="26"/>
        <item m="1" x="34"/>
        <item m="1" x="13"/>
        <item m="1" x="17"/>
        <item m="1" x="8"/>
        <item m="1" x="9"/>
        <item m="1" x="11"/>
        <item m="1" x="7"/>
        <item m="1" x="35"/>
        <item m="1" x="31"/>
        <item m="1" x="2"/>
        <item m="1" x="23"/>
        <item m="1" x="18"/>
        <item m="1" x="12"/>
        <item m="1" x="5"/>
        <item m="1" x="32"/>
        <item m="1" x="24"/>
        <item m="1" x="19"/>
        <item m="1" x="14"/>
        <item m="1" x="10"/>
        <item m="1" x="15"/>
        <item m="1" x="30"/>
        <item m="1" x="3"/>
        <item m="1" x="37"/>
        <item m="1" x="16"/>
        <item m="1" x="20"/>
        <item m="1" x="33"/>
        <item m="1" x="36"/>
        <item m="1" x="27"/>
        <item m="1" x="4"/>
        <item m="1" x="22"/>
        <item m="1" x="28"/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5">
    <i>
      <x/>
    </i>
    <i r="1">
      <x v="36"/>
    </i>
    <i>
      <x v="1"/>
    </i>
    <i r="1">
      <x v="3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3" baseField="0" baseItem="0"/>
    <dataField name="Suma de goles contra" fld="24" baseField="0" baseItem="0"/>
    <dataField name="Suma de eficiencia porteria" fld="41" baseField="0" baseItem="0" numFmtId="1"/>
  </dataFields>
  <formats count="2"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7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axis="axisRow" showAll="0">
      <items count="39">
        <item m="1" x="29"/>
        <item m="1" x="21"/>
        <item m="1" x="25"/>
        <item m="1" x="6"/>
        <item m="1" x="26"/>
        <item m="1" x="34"/>
        <item m="1" x="13"/>
        <item m="1" x="17"/>
        <item m="1" x="8"/>
        <item m="1" x="9"/>
        <item m="1" x="11"/>
        <item m="1" x="7"/>
        <item m="1" x="35"/>
        <item m="1" x="31"/>
        <item m="1" x="2"/>
        <item m="1" x="23"/>
        <item m="1" x="18"/>
        <item m="1" x="12"/>
        <item m="1" x="5"/>
        <item m="1" x="32"/>
        <item m="1" x="24"/>
        <item m="1" x="19"/>
        <item m="1" x="14"/>
        <item m="1" x="10"/>
        <item m="1" x="15"/>
        <item m="1" x="30"/>
        <item m="1" x="3"/>
        <item m="1" x="37"/>
        <item m="1" x="16"/>
        <item m="1" x="20"/>
        <item m="1" x="33"/>
        <item m="1" x="36"/>
        <item m="1" x="27"/>
        <item m="1" x="4"/>
        <item m="1" x="22"/>
        <item m="1" x="28"/>
        <item x="0"/>
        <item x="1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5">
    <i>
      <x/>
    </i>
    <i r="1">
      <x v="36"/>
    </i>
    <i>
      <x v="1"/>
    </i>
    <i r="1">
      <x v="3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11" baseField="0" baseItem="0"/>
    <dataField name="Áreas" fld="12" baseField="0" baseItem="0"/>
    <dataField name="Perdidas otros" fld="14" baseField="0" baseItem="0"/>
    <dataField name="Exclusiones" fld="10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7" firstHeaderRow="0" firstDataRow="1" firstDataCol="1"/>
  <pivotFields count="43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0"/>
        <item x="1"/>
        <item m="1" x="5"/>
        <item m="1" x="8"/>
        <item m="1" x="11"/>
        <item m="1" x="4"/>
        <item m="1" x="6"/>
        <item m="1" x="7"/>
        <item m="1" x="9"/>
        <item m="1" x="10"/>
        <item m="1" x="2"/>
        <item m="1" x="3"/>
        <item t="default"/>
      </items>
    </pivotField>
    <pivotField showAll="0"/>
    <pivotField showAll="0"/>
    <pivotField axis="axisRow" showAll="0">
      <items count="39">
        <item m="1" x="29"/>
        <item m="1" x="21"/>
        <item m="1" x="25"/>
        <item m="1" x="6"/>
        <item m="1" x="26"/>
        <item m="1" x="34"/>
        <item m="1" x="13"/>
        <item m="1" x="17"/>
        <item m="1" x="8"/>
        <item m="1" x="9"/>
        <item m="1" x="11"/>
        <item m="1" x="7"/>
        <item m="1" x="35"/>
        <item m="1" x="31"/>
        <item m="1" x="2"/>
        <item m="1" x="23"/>
        <item m="1" x="18"/>
        <item m="1" x="12"/>
        <item m="1" x="5"/>
        <item m="1" x="32"/>
        <item m="1" x="24"/>
        <item m="1" x="19"/>
        <item m="1" x="14"/>
        <item m="1" x="10"/>
        <item m="1" x="15"/>
        <item m="1" x="30"/>
        <item m="1" x="3"/>
        <item m="1" x="37"/>
        <item m="1" x="16"/>
        <item m="1" x="20"/>
        <item m="1" x="33"/>
        <item m="1" x="36"/>
        <item m="1" x="27"/>
        <item m="1" x="4"/>
        <item m="1" x="22"/>
        <item m="1" x="28"/>
        <item x="0"/>
        <item x="1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8"/>
    <field x="21"/>
  </rowFields>
  <rowItems count="5">
    <i>
      <x/>
    </i>
    <i r="1">
      <x v="36"/>
    </i>
    <i>
      <x v="1"/>
    </i>
    <i r="1">
      <x v="3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23" baseField="0" baseItem="0"/>
    <dataField name="Suma de lanzamientos realizados" fld="25" baseField="0" baseItem="0"/>
    <dataField name="Suma de eficiencia" fld="39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8" count="1" selected="0">
            <x v="0"/>
          </reference>
          <reference field="21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2"/>
        <i x="13"/>
        <i x="0"/>
        <i x="1"/>
        <i x="7"/>
        <i x="17"/>
        <i x="16"/>
        <i x="9"/>
        <i x="14"/>
        <i x="8"/>
        <i x="4"/>
        <i x="15"/>
        <i x="12" s="1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38">
        <i x="0" s="1"/>
        <i x="1" s="1"/>
        <i x="35" s="1" nd="1"/>
        <i x="30" s="1" nd="1"/>
        <i x="33" s="1" nd="1"/>
        <i x="29" s="1" nd="1"/>
        <i x="22" s="1" nd="1"/>
        <i x="28" s="1" nd="1"/>
        <i x="21" s="1" nd="1"/>
        <i x="9" s="1" nd="1"/>
        <i x="25" s="1" nd="1"/>
        <i x="4" s="1" nd="1"/>
        <i x="36" s="1" nd="1"/>
        <i x="3" s="1" nd="1"/>
        <i x="6" s="1" nd="1"/>
        <i x="26" s="1" nd="1"/>
        <i x="37" s="1" nd="1"/>
        <i x="27" s="1" nd="1"/>
        <i x="34" s="1" nd="1"/>
        <i x="13" s="1" nd="1"/>
        <i x="7" s="1" nd="1"/>
        <i x="20" s="1" nd="1"/>
        <i x="15" s="1" nd="1"/>
        <i x="31" s="1" nd="1"/>
        <i x="23" s="1" nd="1"/>
        <i x="18" s="1" nd="1"/>
        <i x="12" s="1" nd="1"/>
        <i x="5" s="1" nd="1"/>
        <i x="32" s="1" nd="1"/>
        <i x="24" s="1" nd="1"/>
        <i x="19" s="1" nd="1"/>
        <i x="14" s="1" nd="1"/>
        <i x="17" s="1" nd="1"/>
        <i x="8" s="1" nd="1"/>
        <i x="11" s="1" nd="1"/>
        <i x="10" s="1" nd="1"/>
        <i x="16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AA58" totalsRowShown="0">
  <autoFilter ref="A1:AA58" xr:uid="{4E0CACF7-2516-40E4-A13A-36A69BFCF042}"/>
  <tableColumns count="27">
    <tableColumn id="1" xr3:uid="{52391530-6B4D-4F5B-A13F-EBEFDEBFF05D}" name="Jugador" dataDxfId="37" dataCellStyle="Normal 3"/>
    <tableColumn id="26" xr3:uid="{D9F75196-180E-4CE3-AE9D-6DB86ED6305E}" name="dorsal" dataDxfId="36" dataCellStyle="Normal 3"/>
    <tableColumn id="2" xr3:uid="{20EFE687-939F-4CE3-B940-223B282FF463}" name="Goles" dataDxfId="35" dataCellStyle="Normal 3"/>
    <tableColumn id="3" xr3:uid="{684A7D4D-D7B7-43F6-9A93-2ACF8C669153}" name="Paradas" dataDxfId="34" dataCellStyle="Normal 3"/>
    <tableColumn id="4" xr3:uid="{AAA14793-E69C-41E1-B0A0-4517D77AAD17}" name="Lanzam." dataDxfId="33" dataCellStyle="Normal 3"/>
    <tableColumn id="5" xr3:uid="{F7F9DF44-8244-4CC7-A0D1-06835389FDF4}" name="% lanz" dataDxfId="32" dataCellStyle="Porcentaje"/>
    <tableColumn id="25" xr3:uid="{C760EC5A-2C9B-48D2-AF45-E84FD37FED16}" name="Lanzam. 7m" dataDxfId="31" dataCellStyle="Normal 3"/>
    <tableColumn id="22" xr3:uid="{317F374D-6165-40D0-9DBC-F8A999C0ED02}" name="Goles 7m" dataDxfId="30" dataCellStyle="Normal 3"/>
    <tableColumn id="29" xr3:uid="{27CA9BB0-877A-4227-B54B-32DC734BE3EF}" name="%7m" dataDxfId="29" dataCellStyle="Porcentaje">
      <calculatedColumnFormula>IF(BD_ESTADISTICA_INF_B[[#This Row],[Lanzam. 7m]]="","",BD_ESTADISTICA_INF_B[[#This Row],[Goles 7m]]/BD_ESTADISTICA_INF_B[[#This Row],[Lanzam. 7m]])</calculatedColumnFormula>
    </tableColumn>
    <tableColumn id="7" xr3:uid="{08DF6B37-12B5-4917-A522-F9142A96DB9B}" name="Asistencia" dataDxfId="28" dataCellStyle="Normal 3"/>
    <tableColumn id="8" xr3:uid="{50A8FB8C-4A7A-49D3-9AE9-3E8F48319DD1}" name="Exclusión" dataDxfId="27" dataCellStyle="Normal 3"/>
    <tableColumn id="9" xr3:uid="{0AF59981-5FBC-4DB2-8698-5D9F1ABC4155}" name="Pase" dataDxfId="26" dataCellStyle="Normal 3"/>
    <tableColumn id="10" xr3:uid="{9ABA852E-5F94-4462-B626-D21E860A5324}" name="Área" dataDxfId="25" dataCellStyle="Normal 3"/>
    <tableColumn id="12" xr3:uid="{541EE240-2B80-4C0C-B283-653D786EBF8E}" name="Pasos" dataDxfId="24" dataCellStyle="Normal 3"/>
    <tableColumn id="13" xr3:uid="{B9EEDD3B-D6DD-47C4-B010-4986464C3E47}" name="Otro" dataDxfId="23" dataCellStyle="Normal 3"/>
    <tableColumn id="14" xr3:uid="{5E37AACF-BE34-4507-831A-2294DC02D750}" name="Recup." dataDxfId="22" dataCellStyle="Normal 3"/>
    <tableColumn id="17" xr3:uid="{5CB4A98F-AC59-4C79-8B6E-D9EBC0F6C1BD}" name="Exclusión +" dataDxfId="21" dataCellStyle="Normal 3"/>
    <tableColumn id="6" xr3:uid="{2C6E471F-6D3B-42C8-81FA-7636186D2DE9}" name="PenaltiProvocado" dataDxfId="20" dataCellStyle="Normal 3"/>
    <tableColumn id="19" xr3:uid="{7C109E22-7D05-4D3D-9416-9760085CC706}" name="JORNADA" dataDxfId="19" dataCellStyle="Normal 2"/>
    <tableColumn id="20" xr3:uid="{6759F103-2E20-4B91-8851-820730AE8C35}" name="FASE" dataDxfId="18" dataCellStyle="Normal 2"/>
    <tableColumn id="21" xr3:uid="{DEA2EBD3-381A-4D3F-B764-26F8F743F131}" name="L/V" dataDxfId="17" dataCellStyle="Normal 3"/>
    <tableColumn id="23" xr3:uid="{D5CC1344-44F2-4559-86D2-5CD43B67B00C}" name="rival" dataDxfId="16" dataCellStyle="Normal 3"/>
    <tableColumn id="24" xr3:uid="{ECA9CC20-8ECF-411F-8B7A-C9AFCD3B84C9}" name="POSICION" dataDxfId="15" dataCellStyle="Normal 3">
      <calculatedColumnFormula>IF(OR(BD_ESTADISTICA_INF_B[[#This Row],[Jugador]]="eudald",BD_ESTADISTICA_INF_B[[#This Row],[Jugador]]="jules",BD_ESTADISTICA_INF_B[[#This Row],[Jugador]]="JAN"),"PORTERO","JUGADOR")</calculatedColumnFormula>
    </tableColumn>
    <tableColumn id="11" xr3:uid="{96A71FE8-7C2B-4C18-AC1B-E8C62789BC53}" name="goles favor" dataDxfId="14" dataCellStyle="Normal 3">
      <calculatedColumnFormula>IF(BD_ESTADISTICA_INF_B[[#This Row],[POSICION]]="jugador",BD_ESTADISTICA_INF_B[[#This Row],[Goles]],0)</calculatedColumnFormula>
    </tableColumn>
    <tableColumn id="15" xr3:uid="{46089932-E578-45E8-A8AB-7B2B44941717}" name="goles contra" dataDxfId="13" dataCellStyle="Normal 3">
      <calculatedColumnFormula>IF(BD_ESTADISTICA_INF_B[[#This Row],[POSICION]]="portero",BD_ESTADISTICA_INF_B[[#This Row],[Lanzam.]]-BD_ESTADISTICA_INF_B[[#This Row],[Paradas]],0)</calculatedColumnFormula>
    </tableColumn>
    <tableColumn id="16" xr3:uid="{BDAED3E0-6A88-4C71-B9F0-1E82A087A2F2}" name="lanzamientos realizados" dataDxfId="12" dataCellStyle="Normal 3">
      <calculatedColumnFormula>IF(BD_ESTADISTICA_INF_B[[#This Row],[POSICION]]="jugador",BD_ESTADISTICA_INF_B[[#This Row],[Lanzam.]],0)</calculatedColumnFormula>
    </tableColumn>
    <tableColumn id="18" xr3:uid="{7B0893AD-D9E4-4F00-8941-20FDECBB17AC}" name="lanzamientos recibidos" dataDxfId="11" dataCellStyle="Normal 3">
      <calculatedColumnFormula>IF(BD_ESTADISTICA_INF_B[[#This Row],[POSICION]]="portero",BD_ESTADISTICA_INF_B[[#This Row],[Lanzam.]],0)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AA58"/>
  <sheetViews>
    <sheetView tabSelected="1" workbookViewId="0">
      <pane ySplit="1" topLeftCell="A33" activePane="bottomLeft" state="frozen"/>
      <selection pane="bottomLeft" activeCell="G55" sqref="G55"/>
    </sheetView>
  </sheetViews>
  <sheetFormatPr baseColWidth="10" defaultColWidth="11.59765625" defaultRowHeight="14.4"/>
  <cols>
    <col min="1" max="1" width="10.3984375" style="7" bestFit="1" customWidth="1"/>
    <col min="2" max="2" width="9.19921875" style="7" hidden="1" customWidth="1"/>
    <col min="3" max="3" width="8.8984375" style="7" bestFit="1" customWidth="1"/>
    <col min="4" max="4" width="10.3984375" style="7" bestFit="1" customWidth="1"/>
    <col min="5" max="5" width="10.69921875" style="7" bestFit="1" customWidth="1"/>
    <col min="6" max="6" width="9.296875" style="8" bestFit="1" customWidth="1"/>
    <col min="7" max="7" width="13.3984375" style="42" bestFit="1" customWidth="1"/>
    <col min="8" max="8" width="11.59765625" style="42" bestFit="1" customWidth="1"/>
    <col min="9" max="9" width="8.3984375" style="44" bestFit="1" customWidth="1"/>
    <col min="10" max="10" width="12" style="7" bestFit="1" customWidth="1"/>
    <col min="11" max="11" width="11.3984375" style="7" bestFit="1" customWidth="1"/>
    <col min="12" max="13" width="8.19921875" style="7" bestFit="1" customWidth="1"/>
    <col min="14" max="14" width="8.8984375" style="7" bestFit="1" customWidth="1"/>
    <col min="15" max="15" width="8.19921875" style="7" bestFit="1" customWidth="1"/>
    <col min="16" max="16" width="9.796875" style="7" bestFit="1" customWidth="1"/>
    <col min="17" max="17" width="12.59765625" style="7" bestFit="1" customWidth="1"/>
    <col min="18" max="18" width="17.19921875" style="7" bestFit="1" customWidth="1"/>
    <col min="19" max="19" width="13.296875" style="9" bestFit="1" customWidth="1"/>
    <col min="20" max="20" width="9.69921875" style="10" bestFit="1" customWidth="1"/>
    <col min="21" max="21" width="8.09765625" style="11" bestFit="1" customWidth="1"/>
    <col min="22" max="22" width="23.59765625" style="11" bestFit="1" customWidth="1"/>
    <col min="23" max="23" width="11.69921875" style="6" bestFit="1" customWidth="1"/>
    <col min="24" max="24" width="12.69921875" style="6" bestFit="1" customWidth="1"/>
    <col min="25" max="25" width="13.69921875" style="6" bestFit="1" customWidth="1"/>
    <col min="26" max="26" width="24.09765625" style="6" bestFit="1" customWidth="1"/>
    <col min="27" max="27" width="23.296875" style="6" bestFit="1" customWidth="1"/>
    <col min="28" max="16384" width="11.59765625" style="6"/>
  </cols>
  <sheetData>
    <row r="1" spans="1:27">
      <c r="A1" s="1" t="s">
        <v>0</v>
      </c>
      <c r="B1" s="1" t="s">
        <v>104</v>
      </c>
      <c r="C1" s="2" t="s">
        <v>1</v>
      </c>
      <c r="D1" s="2" t="s">
        <v>2</v>
      </c>
      <c r="E1" s="2" t="s">
        <v>3</v>
      </c>
      <c r="F1" s="1" t="s">
        <v>4</v>
      </c>
      <c r="G1" s="41" t="s">
        <v>102</v>
      </c>
      <c r="H1" s="41" t="s">
        <v>103</v>
      </c>
      <c r="I1" s="43" t="s">
        <v>106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  <c r="P1" s="2" t="s">
        <v>11</v>
      </c>
      <c r="Q1" s="2" t="s">
        <v>12</v>
      </c>
      <c r="R1" s="2" t="s">
        <v>43</v>
      </c>
      <c r="S1" s="3" t="s">
        <v>13</v>
      </c>
      <c r="T1" s="4" t="s">
        <v>14</v>
      </c>
      <c r="U1" s="5" t="s">
        <v>15</v>
      </c>
      <c r="V1" s="5" t="s">
        <v>32</v>
      </c>
      <c r="W1" s="6" t="s">
        <v>38</v>
      </c>
      <c r="X1" s="6" t="s">
        <v>52</v>
      </c>
      <c r="Y1" s="6" t="s">
        <v>55</v>
      </c>
      <c r="Z1" s="6" t="s">
        <v>53</v>
      </c>
      <c r="AA1" s="6" t="s">
        <v>54</v>
      </c>
    </row>
    <row r="2" spans="1:27">
      <c r="A2" s="21" t="s">
        <v>16</v>
      </c>
      <c r="B2" s="21"/>
      <c r="C2" s="22">
        <v>1</v>
      </c>
      <c r="D2" s="22"/>
      <c r="E2" s="22">
        <v>2</v>
      </c>
      <c r="F2" s="8">
        <f>IF(BD_ESTADISTICA_INF_B[[#This Row],[Lanzam.]]="","",IF(BD_ESTADISTICA_INF_B[[#This Row],[POSICION]]="jugador",C2/E2,D2/E2))</f>
        <v>0.5</v>
      </c>
      <c r="G2" s="22"/>
      <c r="H2" s="22"/>
      <c r="I2" s="8" t="str">
        <f>IF(BD_ESTADISTICA_INF_B[[#This Row],[Lanzam. 7m]]="","",BD_ESTADISTICA_INF_B[[#This Row],[Goles 7m]]/BD_ESTADISTICA_INF_B[[#This Row],[Lanzam. 7m]])</f>
        <v/>
      </c>
      <c r="J2" s="22"/>
      <c r="K2" s="22">
        <v>1</v>
      </c>
      <c r="L2" s="22"/>
      <c r="M2" s="22"/>
      <c r="N2" s="22"/>
      <c r="O2" s="22"/>
      <c r="P2" s="22">
        <v>2</v>
      </c>
      <c r="Q2" s="22"/>
      <c r="R2" s="22"/>
      <c r="S2" s="23">
        <v>1</v>
      </c>
      <c r="T2" s="24">
        <v>1</v>
      </c>
      <c r="U2" s="25" t="s">
        <v>79</v>
      </c>
      <c r="V2" s="11" t="s">
        <v>105</v>
      </c>
      <c r="W2" s="26" t="str">
        <f>IF(OR(BD_ESTADISTICA_INF_B[[#This Row],[Jugador]]="eudald",BD_ESTADISTICA_INF_B[[#This Row],[Jugador]]="jules",BD_ESTADISTICA_INF_B[[#This Row],[Jugador]]="JAN"),"PORTERO","JUGADOR")</f>
        <v>JUGADOR</v>
      </c>
      <c r="X2" s="26">
        <f>IF(BD_ESTADISTICA_INF_B[[#This Row],[POSICION]]="jugador",BD_ESTADISTICA_INF_B[[#This Row],[Goles]],0)</f>
        <v>1</v>
      </c>
      <c r="Y2" s="26">
        <f>IF(BD_ESTADISTICA_INF_B[[#This Row],[POSICION]]="portero",BD_ESTADISTICA_INF_B[[#This Row],[Lanzam.]]-BD_ESTADISTICA_INF_B[[#This Row],[Paradas]],0)</f>
        <v>0</v>
      </c>
      <c r="Z2" s="26">
        <f>IF(BD_ESTADISTICA_INF_B[[#This Row],[POSICION]]="jugador",BD_ESTADISTICA_INF_B[[#This Row],[Lanzam.]],0)</f>
        <v>2</v>
      </c>
      <c r="AA2" s="26">
        <f>IF(BD_ESTADISTICA_INF_B[[#This Row],[POSICION]]="portero",BD_ESTADISTICA_INF_B[[#This Row],[Lanzam.]],0)</f>
        <v>0</v>
      </c>
    </row>
    <row r="3" spans="1:27">
      <c r="A3" s="21" t="s">
        <v>17</v>
      </c>
      <c r="B3" s="21"/>
      <c r="C3" s="22">
        <v>4</v>
      </c>
      <c r="D3" s="22"/>
      <c r="E3" s="22">
        <v>4</v>
      </c>
      <c r="F3" s="8">
        <f>IF(BD_ESTADISTICA_INF_B[[#This Row],[Lanzam.]]="","",IF(BD_ESTADISTICA_INF_B[[#This Row],[POSICION]]="jugador",C3/E3,D3/E3))</f>
        <v>1</v>
      </c>
      <c r="G3" s="22"/>
      <c r="H3" s="22"/>
      <c r="I3" s="8" t="str">
        <f>IF(BD_ESTADISTICA_INF_B[[#This Row],[Lanzam. 7m]]="","",BD_ESTADISTICA_INF_B[[#This Row],[Goles 7m]]/BD_ESTADISTICA_INF_B[[#This Row],[Lanzam. 7m]])</f>
        <v/>
      </c>
      <c r="J3" s="22"/>
      <c r="K3" s="22"/>
      <c r="L3" s="22">
        <v>1</v>
      </c>
      <c r="M3" s="22"/>
      <c r="N3" s="22"/>
      <c r="O3" s="22"/>
      <c r="P3" s="22"/>
      <c r="Q3" s="22"/>
      <c r="R3" s="22"/>
      <c r="S3" s="23">
        <v>1</v>
      </c>
      <c r="T3" s="24">
        <v>1</v>
      </c>
      <c r="U3" s="25" t="s">
        <v>79</v>
      </c>
      <c r="V3" s="11" t="s">
        <v>105</v>
      </c>
      <c r="W3" s="26" t="str">
        <f>IF(OR(BD_ESTADISTICA_INF_B[[#This Row],[Jugador]]="eudald",BD_ESTADISTICA_INF_B[[#This Row],[Jugador]]="jules",BD_ESTADISTICA_INF_B[[#This Row],[Jugador]]="JAN"),"PORTERO","JUGADOR")</f>
        <v>JUGADOR</v>
      </c>
      <c r="X3" s="26">
        <f>IF(BD_ESTADISTICA_INF_B[[#This Row],[POSICION]]="jugador",BD_ESTADISTICA_INF_B[[#This Row],[Goles]],0)</f>
        <v>4</v>
      </c>
      <c r="Y3" s="26">
        <f>IF(BD_ESTADISTICA_INF_B[[#This Row],[POSICION]]="portero",BD_ESTADISTICA_INF_B[[#This Row],[Lanzam.]]-BD_ESTADISTICA_INF_B[[#This Row],[Paradas]],0)</f>
        <v>0</v>
      </c>
      <c r="Z3" s="26">
        <f>IF(BD_ESTADISTICA_INF_B[[#This Row],[POSICION]]="jugador",BD_ESTADISTICA_INF_B[[#This Row],[Lanzam.]],0)</f>
        <v>4</v>
      </c>
      <c r="AA3" s="26">
        <f>IF(BD_ESTADISTICA_INF_B[[#This Row],[POSICION]]="portero",BD_ESTADISTICA_INF_B[[#This Row],[Lanzam.]],0)</f>
        <v>0</v>
      </c>
    </row>
    <row r="4" spans="1:27">
      <c r="A4" s="21" t="s">
        <v>18</v>
      </c>
      <c r="B4" s="21"/>
      <c r="C4" s="22"/>
      <c r="D4" s="22"/>
      <c r="E4" s="22"/>
      <c r="F4" s="8" t="str">
        <f>IF(BD_ESTADISTICA_INF_B[[#This Row],[Lanzam.]]="","",IF(BD_ESTADISTICA_INF_B[[#This Row],[POSICION]]="jugador",C4/E4,D4/E4))</f>
        <v/>
      </c>
      <c r="G4" s="22"/>
      <c r="H4" s="22"/>
      <c r="I4" s="8" t="str">
        <f>IF(BD_ESTADISTICA_INF_B[[#This Row],[Lanzam. 7m]]="","",BD_ESTADISTICA_INF_B[[#This Row],[Goles 7m]]/BD_ESTADISTICA_INF_B[[#This Row],[Lanzam. 7m]])</f>
        <v/>
      </c>
      <c r="J4" s="22"/>
      <c r="K4" s="22"/>
      <c r="L4" s="22"/>
      <c r="M4" s="22"/>
      <c r="N4" s="22"/>
      <c r="O4" s="22"/>
      <c r="P4" s="22"/>
      <c r="Q4" s="22"/>
      <c r="R4" s="22"/>
      <c r="S4" s="23">
        <v>1</v>
      </c>
      <c r="T4" s="24">
        <v>1</v>
      </c>
      <c r="U4" s="25" t="s">
        <v>79</v>
      </c>
      <c r="V4" s="11" t="s">
        <v>105</v>
      </c>
      <c r="W4" s="26" t="str">
        <f>IF(OR(BD_ESTADISTICA_INF_B[[#This Row],[Jugador]]="eudald",BD_ESTADISTICA_INF_B[[#This Row],[Jugador]]="jules",BD_ESTADISTICA_INF_B[[#This Row],[Jugador]]="JAN"),"PORTERO","JUGADOR")</f>
        <v>JUGADOR</v>
      </c>
      <c r="X4" s="26">
        <f>IF(BD_ESTADISTICA_INF_B[[#This Row],[POSICION]]="jugador",BD_ESTADISTICA_INF_B[[#This Row],[Goles]],0)</f>
        <v>0</v>
      </c>
      <c r="Y4" s="26">
        <f>IF(BD_ESTADISTICA_INF_B[[#This Row],[POSICION]]="portero",BD_ESTADISTICA_INF_B[[#This Row],[Lanzam.]]-BD_ESTADISTICA_INF_B[[#This Row],[Paradas]],0)</f>
        <v>0</v>
      </c>
      <c r="Z4" s="26">
        <f>IF(BD_ESTADISTICA_INF_B[[#This Row],[POSICION]]="jugador",BD_ESTADISTICA_INF_B[[#This Row],[Lanzam.]],0)</f>
        <v>0</v>
      </c>
      <c r="AA4" s="26">
        <f>IF(BD_ESTADISTICA_INF_B[[#This Row],[POSICION]]="portero",BD_ESTADISTICA_INF_B[[#This Row],[Lanzam.]],0)</f>
        <v>0</v>
      </c>
    </row>
    <row r="5" spans="1:27">
      <c r="A5" s="21" t="s">
        <v>19</v>
      </c>
      <c r="B5" s="21"/>
      <c r="C5" s="22">
        <v>4</v>
      </c>
      <c r="D5" s="22"/>
      <c r="E5" s="22">
        <v>8</v>
      </c>
      <c r="F5" s="8">
        <f>IF(BD_ESTADISTICA_INF_B[[#This Row],[Lanzam.]]="","",IF(BD_ESTADISTICA_INF_B[[#This Row],[POSICION]]="jugador",C5/E5,D5/E5))</f>
        <v>0.5</v>
      </c>
      <c r="G5" s="22"/>
      <c r="H5" s="22"/>
      <c r="I5" s="8" t="str">
        <f>IF(BD_ESTADISTICA_INF_B[[#This Row],[Lanzam. 7m]]="","",BD_ESTADISTICA_INF_B[[#This Row],[Goles 7m]]/BD_ESTADISTICA_INF_B[[#This Row],[Lanzam. 7m]])</f>
        <v/>
      </c>
      <c r="J5" s="22">
        <v>2</v>
      </c>
      <c r="K5" s="22"/>
      <c r="L5" s="22">
        <v>1</v>
      </c>
      <c r="M5" s="22"/>
      <c r="N5" s="22"/>
      <c r="O5" s="22"/>
      <c r="P5" s="22">
        <v>2</v>
      </c>
      <c r="Q5" s="22"/>
      <c r="R5" s="22">
        <v>2</v>
      </c>
      <c r="S5" s="23">
        <v>1</v>
      </c>
      <c r="T5" s="24">
        <v>1</v>
      </c>
      <c r="U5" s="25" t="s">
        <v>79</v>
      </c>
      <c r="V5" s="11" t="s">
        <v>105</v>
      </c>
      <c r="W5" s="26" t="str">
        <f>IF(OR(BD_ESTADISTICA_INF_B[[#This Row],[Jugador]]="eudald",BD_ESTADISTICA_INF_B[[#This Row],[Jugador]]="jules",BD_ESTADISTICA_INF_B[[#This Row],[Jugador]]="JAN"),"PORTERO","JUGADOR")</f>
        <v>JUGADOR</v>
      </c>
      <c r="X5" s="26">
        <f>IF(BD_ESTADISTICA_INF_B[[#This Row],[POSICION]]="jugador",BD_ESTADISTICA_INF_B[[#This Row],[Goles]],0)</f>
        <v>4</v>
      </c>
      <c r="Y5" s="26">
        <f>IF(BD_ESTADISTICA_INF_B[[#This Row],[POSICION]]="portero",BD_ESTADISTICA_INF_B[[#This Row],[Lanzam.]]-BD_ESTADISTICA_INF_B[[#This Row],[Paradas]],0)</f>
        <v>0</v>
      </c>
      <c r="Z5" s="26">
        <f>IF(BD_ESTADISTICA_INF_B[[#This Row],[POSICION]]="jugador",BD_ESTADISTICA_INF_B[[#This Row],[Lanzam.]],0)</f>
        <v>8</v>
      </c>
      <c r="AA5" s="26">
        <f>IF(BD_ESTADISTICA_INF_B[[#This Row],[POSICION]]="portero",BD_ESTADISTICA_INF_B[[#This Row],[Lanzam.]],0)</f>
        <v>0</v>
      </c>
    </row>
    <row r="6" spans="1:27">
      <c r="A6" s="21" t="s">
        <v>20</v>
      </c>
      <c r="B6" s="21"/>
      <c r="C6" s="22"/>
      <c r="D6" s="22"/>
      <c r="E6" s="22"/>
      <c r="F6" s="8" t="str">
        <f>IF(BD_ESTADISTICA_INF_B[[#This Row],[Lanzam.]]="","",IF(BD_ESTADISTICA_INF_B[[#This Row],[POSICION]]="jugador",C6/E6,D6/E6))</f>
        <v/>
      </c>
      <c r="G6" s="22"/>
      <c r="H6" s="22"/>
      <c r="I6" s="8" t="str">
        <f>IF(BD_ESTADISTICA_INF_B[[#This Row],[Lanzam. 7m]]="","",BD_ESTADISTICA_INF_B[[#This Row],[Goles 7m]]/BD_ESTADISTICA_INF_B[[#This Row],[Lanzam. 7m]])</f>
        <v/>
      </c>
      <c r="J6" s="22"/>
      <c r="K6" s="22"/>
      <c r="L6" s="22"/>
      <c r="M6" s="22"/>
      <c r="N6" s="22"/>
      <c r="O6" s="22"/>
      <c r="P6" s="22"/>
      <c r="Q6" s="22"/>
      <c r="R6" s="22"/>
      <c r="S6" s="23">
        <v>1</v>
      </c>
      <c r="T6" s="24">
        <v>1</v>
      </c>
      <c r="U6" s="25" t="s">
        <v>79</v>
      </c>
      <c r="V6" s="11" t="s">
        <v>105</v>
      </c>
      <c r="W6" s="26" t="str">
        <f>IF(OR(BD_ESTADISTICA_INF_B[[#This Row],[Jugador]]="eudald",BD_ESTADISTICA_INF_B[[#This Row],[Jugador]]="jules",BD_ESTADISTICA_INF_B[[#This Row],[Jugador]]="JAN"),"PORTERO","JUGADOR")</f>
        <v>JUGADOR</v>
      </c>
      <c r="X6" s="26">
        <f>IF(BD_ESTADISTICA_INF_B[[#This Row],[POSICION]]="jugador",BD_ESTADISTICA_INF_B[[#This Row],[Goles]],0)</f>
        <v>0</v>
      </c>
      <c r="Y6" s="26">
        <f>IF(BD_ESTADISTICA_INF_B[[#This Row],[POSICION]]="portero",BD_ESTADISTICA_INF_B[[#This Row],[Lanzam.]]-BD_ESTADISTICA_INF_B[[#This Row],[Paradas]],0)</f>
        <v>0</v>
      </c>
      <c r="Z6" s="26">
        <f>IF(BD_ESTADISTICA_INF_B[[#This Row],[POSICION]]="jugador",BD_ESTADISTICA_INF_B[[#This Row],[Lanzam.]],0)</f>
        <v>0</v>
      </c>
      <c r="AA6" s="26">
        <f>IF(BD_ESTADISTICA_INF_B[[#This Row],[POSICION]]="portero",BD_ESTADISTICA_INF_B[[#This Row],[Lanzam.]],0)</f>
        <v>0</v>
      </c>
    </row>
    <row r="7" spans="1:27">
      <c r="A7" s="21" t="s">
        <v>21</v>
      </c>
      <c r="B7" s="21"/>
      <c r="C7" s="22">
        <v>6</v>
      </c>
      <c r="D7" s="22"/>
      <c r="E7" s="22">
        <v>7</v>
      </c>
      <c r="F7" s="8">
        <f>IF(BD_ESTADISTICA_INF_B[[#This Row],[Lanzam.]]="","",IF(BD_ESTADISTICA_INF_B[[#This Row],[POSICION]]="jugador",C7/E7,D7/E7))</f>
        <v>0.8571428571428571</v>
      </c>
      <c r="G7" s="22"/>
      <c r="H7" s="22"/>
      <c r="I7" s="8" t="str">
        <f>IF(BD_ESTADISTICA_INF_B[[#This Row],[Lanzam. 7m]]="","",BD_ESTADISTICA_INF_B[[#This Row],[Goles 7m]]/BD_ESTADISTICA_INF_B[[#This Row],[Lanzam. 7m]])</f>
        <v/>
      </c>
      <c r="J7" s="22">
        <v>2</v>
      </c>
      <c r="K7" s="22"/>
      <c r="L7" s="22"/>
      <c r="M7" s="22"/>
      <c r="N7" s="22"/>
      <c r="O7" s="22"/>
      <c r="P7" s="22">
        <v>1</v>
      </c>
      <c r="Q7" s="22"/>
      <c r="R7" s="22"/>
      <c r="S7" s="23">
        <v>1</v>
      </c>
      <c r="T7" s="24">
        <v>1</v>
      </c>
      <c r="U7" s="25" t="s">
        <v>79</v>
      </c>
      <c r="V7" s="11" t="s">
        <v>105</v>
      </c>
      <c r="W7" s="26" t="str">
        <f>IF(OR(BD_ESTADISTICA_INF_B[[#This Row],[Jugador]]="eudald",BD_ESTADISTICA_INF_B[[#This Row],[Jugador]]="jules",BD_ESTADISTICA_INF_B[[#This Row],[Jugador]]="JAN"),"PORTERO","JUGADOR")</f>
        <v>JUGADOR</v>
      </c>
      <c r="X7" s="26">
        <f>IF(BD_ESTADISTICA_INF_B[[#This Row],[POSICION]]="jugador",BD_ESTADISTICA_INF_B[[#This Row],[Goles]],0)</f>
        <v>6</v>
      </c>
      <c r="Y7" s="26">
        <f>IF(BD_ESTADISTICA_INF_B[[#This Row],[POSICION]]="portero",BD_ESTADISTICA_INF_B[[#This Row],[Lanzam.]]-BD_ESTADISTICA_INF_B[[#This Row],[Paradas]],0)</f>
        <v>0</v>
      </c>
      <c r="Z7" s="26">
        <f>IF(BD_ESTADISTICA_INF_B[[#This Row],[POSICION]]="jugador",BD_ESTADISTICA_INF_B[[#This Row],[Lanzam.]],0)</f>
        <v>7</v>
      </c>
      <c r="AA7" s="26">
        <f>IF(BD_ESTADISTICA_INF_B[[#This Row],[POSICION]]="portero",BD_ESTADISTICA_INF_B[[#This Row],[Lanzam.]],0)</f>
        <v>0</v>
      </c>
    </row>
    <row r="8" spans="1:27">
      <c r="A8" s="21" t="s">
        <v>40</v>
      </c>
      <c r="B8" s="21"/>
      <c r="C8" s="22"/>
      <c r="D8" s="22"/>
      <c r="E8" s="22">
        <v>2</v>
      </c>
      <c r="F8" s="8">
        <f>IF(BD_ESTADISTICA_INF_B[[#This Row],[Lanzam.]]="","",IF(BD_ESTADISTICA_INF_B[[#This Row],[POSICION]]="jugador",C8/E8,D8/E8))</f>
        <v>0</v>
      </c>
      <c r="G8" s="22"/>
      <c r="H8" s="22"/>
      <c r="I8" s="8" t="str">
        <f>IF(BD_ESTADISTICA_INF_B[[#This Row],[Lanzam. 7m]]="","",BD_ESTADISTICA_INF_B[[#This Row],[Goles 7m]]/BD_ESTADISTICA_INF_B[[#This Row],[Lanzam. 7m]])</f>
        <v/>
      </c>
      <c r="J8" s="22"/>
      <c r="K8" s="22"/>
      <c r="L8" s="22">
        <v>3</v>
      </c>
      <c r="M8" s="22"/>
      <c r="N8" s="22"/>
      <c r="O8" s="22"/>
      <c r="P8" s="22"/>
      <c r="Q8" s="22"/>
      <c r="R8" s="22"/>
      <c r="S8" s="23">
        <v>1</v>
      </c>
      <c r="T8" s="24">
        <v>1</v>
      </c>
      <c r="U8" s="25" t="s">
        <v>79</v>
      </c>
      <c r="V8" s="11" t="s">
        <v>105</v>
      </c>
      <c r="W8" s="26" t="str">
        <f>IF(OR(BD_ESTADISTICA_INF_B[[#This Row],[Jugador]]="eudald",BD_ESTADISTICA_INF_B[[#This Row],[Jugador]]="jules",BD_ESTADISTICA_INF_B[[#This Row],[Jugador]]="JAN"),"PORTERO","JUGADOR")</f>
        <v>JUGADOR</v>
      </c>
      <c r="X8" s="26">
        <f>IF(BD_ESTADISTICA_INF_B[[#This Row],[POSICION]]="jugador",BD_ESTADISTICA_INF_B[[#This Row],[Goles]],0)</f>
        <v>0</v>
      </c>
      <c r="Y8" s="26">
        <f>IF(BD_ESTADISTICA_INF_B[[#This Row],[POSICION]]="portero",BD_ESTADISTICA_INF_B[[#This Row],[Lanzam.]]-BD_ESTADISTICA_INF_B[[#This Row],[Paradas]],0)</f>
        <v>0</v>
      </c>
      <c r="Z8" s="26">
        <f>IF(BD_ESTADISTICA_INF_B[[#This Row],[POSICION]]="jugador",BD_ESTADISTICA_INF_B[[#This Row],[Lanzam.]],0)</f>
        <v>2</v>
      </c>
      <c r="AA8" s="26">
        <f>IF(BD_ESTADISTICA_INF_B[[#This Row],[POSICION]]="portero",BD_ESTADISTICA_INF_B[[#This Row],[Lanzam.]],0)</f>
        <v>0</v>
      </c>
    </row>
    <row r="9" spans="1:27">
      <c r="A9" s="21" t="s">
        <v>41</v>
      </c>
      <c r="B9" s="21"/>
      <c r="C9" s="22">
        <v>4</v>
      </c>
      <c r="D9" s="22"/>
      <c r="E9" s="22">
        <v>4</v>
      </c>
      <c r="F9" s="8">
        <f>IF(BD_ESTADISTICA_INF_B[[#This Row],[Lanzam.]]="","",IF(BD_ESTADISTICA_INF_B[[#This Row],[POSICION]]="jugador",C9/E9,D9/E9))</f>
        <v>1</v>
      </c>
      <c r="G9" s="22"/>
      <c r="H9" s="22"/>
      <c r="I9" s="8" t="str">
        <f>IF(BD_ESTADISTICA_INF_B[[#This Row],[Lanzam. 7m]]="","",BD_ESTADISTICA_INF_B[[#This Row],[Goles 7m]]/BD_ESTADISTICA_INF_B[[#This Row],[Lanzam. 7m]])</f>
        <v/>
      </c>
      <c r="J9" s="22">
        <v>1</v>
      </c>
      <c r="K9" s="22"/>
      <c r="L9" s="22"/>
      <c r="M9" s="22"/>
      <c r="N9" s="22"/>
      <c r="O9" s="22"/>
      <c r="P9" s="22">
        <v>1</v>
      </c>
      <c r="Q9" s="22"/>
      <c r="R9" s="22">
        <v>2</v>
      </c>
      <c r="S9" s="23">
        <v>1</v>
      </c>
      <c r="T9" s="24">
        <v>1</v>
      </c>
      <c r="U9" s="25" t="s">
        <v>79</v>
      </c>
      <c r="V9" s="11" t="s">
        <v>105</v>
      </c>
      <c r="W9" s="26" t="str">
        <f>IF(OR(BD_ESTADISTICA_INF_B[[#This Row],[Jugador]]="eudald",BD_ESTADISTICA_INF_B[[#This Row],[Jugador]]="jules",BD_ESTADISTICA_INF_B[[#This Row],[Jugador]]="JAN"),"PORTERO","JUGADOR")</f>
        <v>JUGADOR</v>
      </c>
      <c r="X9" s="26">
        <f>IF(BD_ESTADISTICA_INF_B[[#This Row],[POSICION]]="jugador",BD_ESTADISTICA_INF_B[[#This Row],[Goles]],0)</f>
        <v>4</v>
      </c>
      <c r="Y9" s="26">
        <f>IF(BD_ESTADISTICA_INF_B[[#This Row],[POSICION]]="portero",BD_ESTADISTICA_INF_B[[#This Row],[Lanzam.]]-BD_ESTADISTICA_INF_B[[#This Row],[Paradas]],0)</f>
        <v>0</v>
      </c>
      <c r="Z9" s="26">
        <f>IF(BD_ESTADISTICA_INF_B[[#This Row],[POSICION]]="jugador",BD_ESTADISTICA_INF_B[[#This Row],[Lanzam.]],0)</f>
        <v>4</v>
      </c>
      <c r="AA9" s="26">
        <f>IF(BD_ESTADISTICA_INF_B[[#This Row],[POSICION]]="portero",BD_ESTADISTICA_INF_B[[#This Row],[Lanzam.]],0)</f>
        <v>0</v>
      </c>
    </row>
    <row r="10" spans="1:27">
      <c r="A10" s="21" t="s">
        <v>23</v>
      </c>
      <c r="B10" s="21"/>
      <c r="C10" s="22">
        <v>1</v>
      </c>
      <c r="D10" s="22"/>
      <c r="E10" s="22">
        <v>5</v>
      </c>
      <c r="F10" s="8">
        <f>IF(BD_ESTADISTICA_INF_B[[#This Row],[Lanzam.]]="","",IF(BD_ESTADISTICA_INF_B[[#This Row],[POSICION]]="jugador",C10/E10,D10/E10))</f>
        <v>0.2</v>
      </c>
      <c r="G10" s="22"/>
      <c r="H10" s="22"/>
      <c r="I10" s="8" t="str">
        <f>IF(BD_ESTADISTICA_INF_B[[#This Row],[Lanzam. 7m]]="","",BD_ESTADISTICA_INF_B[[#This Row],[Goles 7m]]/BD_ESTADISTICA_INF_B[[#This Row],[Lanzam. 7m]])</f>
        <v/>
      </c>
      <c r="J10" s="22">
        <v>4</v>
      </c>
      <c r="K10" s="22"/>
      <c r="L10" s="22">
        <v>4</v>
      </c>
      <c r="M10" s="22"/>
      <c r="N10" s="22"/>
      <c r="O10" s="22"/>
      <c r="P10" s="22">
        <v>2</v>
      </c>
      <c r="Q10" s="22"/>
      <c r="R10" s="22"/>
      <c r="S10" s="23">
        <v>1</v>
      </c>
      <c r="T10" s="24">
        <v>1</v>
      </c>
      <c r="U10" s="25" t="s">
        <v>79</v>
      </c>
      <c r="V10" s="11" t="s">
        <v>105</v>
      </c>
      <c r="W10" s="26" t="str">
        <f>IF(OR(BD_ESTADISTICA_INF_B[[#This Row],[Jugador]]="eudald",BD_ESTADISTICA_INF_B[[#This Row],[Jugador]]="jules",BD_ESTADISTICA_INF_B[[#This Row],[Jugador]]="JAN"),"PORTERO","JUGADOR")</f>
        <v>JUGADOR</v>
      </c>
      <c r="X10" s="26">
        <f>IF(BD_ESTADISTICA_INF_B[[#This Row],[POSICION]]="jugador",BD_ESTADISTICA_INF_B[[#This Row],[Goles]],0)</f>
        <v>1</v>
      </c>
      <c r="Y10" s="26">
        <f>IF(BD_ESTADISTICA_INF_B[[#This Row],[POSICION]]="portero",BD_ESTADISTICA_INF_B[[#This Row],[Lanzam.]]-BD_ESTADISTICA_INF_B[[#This Row],[Paradas]],0)</f>
        <v>0</v>
      </c>
      <c r="Z10" s="26">
        <f>IF(BD_ESTADISTICA_INF_B[[#This Row],[POSICION]]="jugador",BD_ESTADISTICA_INF_B[[#This Row],[Lanzam.]],0)</f>
        <v>5</v>
      </c>
      <c r="AA10" s="26">
        <f>IF(BD_ESTADISTICA_INF_B[[#This Row],[POSICION]]="portero",BD_ESTADISTICA_INF_B[[#This Row],[Lanzam.]],0)</f>
        <v>0</v>
      </c>
    </row>
    <row r="11" spans="1:27">
      <c r="A11" s="34" t="s">
        <v>24</v>
      </c>
      <c r="B11" s="34"/>
      <c r="C11" s="22"/>
      <c r="D11" s="22"/>
      <c r="E11" s="22"/>
      <c r="F11" s="8" t="str">
        <f>IF(BD_ESTADISTICA_INF_B[[#This Row],[Lanzam.]]="","",IF(BD_ESTADISTICA_INF_B[[#This Row],[POSICION]]="jugador",C11/E11,D11/E11))</f>
        <v/>
      </c>
      <c r="G11" s="22"/>
      <c r="H11" s="22"/>
      <c r="I11" s="8" t="str">
        <f>IF(BD_ESTADISTICA_INF_B[[#This Row],[Lanzam. 7m]]="","",BD_ESTADISTICA_INF_B[[#This Row],[Goles 7m]]/BD_ESTADISTICA_INF_B[[#This Row],[Lanzam. 7m]])</f>
        <v/>
      </c>
      <c r="J11" s="22"/>
      <c r="K11" s="22"/>
      <c r="L11" s="22"/>
      <c r="M11" s="22"/>
      <c r="N11" s="22"/>
      <c r="O11" s="22"/>
      <c r="P11" s="22"/>
      <c r="Q11" s="22"/>
      <c r="R11" s="22"/>
      <c r="S11" s="23">
        <v>1</v>
      </c>
      <c r="T11" s="24">
        <v>1</v>
      </c>
      <c r="U11" s="25" t="s">
        <v>79</v>
      </c>
      <c r="V11" s="11" t="s">
        <v>105</v>
      </c>
      <c r="W11" s="26" t="str">
        <f>IF(OR(BD_ESTADISTICA_INF_B[[#This Row],[Jugador]]="eudald",BD_ESTADISTICA_INF_B[[#This Row],[Jugador]]="jules",BD_ESTADISTICA_INF_B[[#This Row],[Jugador]]="JAN"),"PORTERO","JUGADOR")</f>
        <v>JUGADOR</v>
      </c>
      <c r="X11" s="26">
        <f>IF(BD_ESTADISTICA_INF_B[[#This Row],[POSICION]]="jugador",BD_ESTADISTICA_INF_B[[#This Row],[Goles]],0)</f>
        <v>0</v>
      </c>
      <c r="Y11" s="26">
        <f>IF(BD_ESTADISTICA_INF_B[[#This Row],[POSICION]]="portero",BD_ESTADISTICA_INF_B[[#This Row],[Lanzam.]]-BD_ESTADISTICA_INF_B[[#This Row],[Paradas]],0)</f>
        <v>0</v>
      </c>
      <c r="Z11" s="26">
        <f>IF(BD_ESTADISTICA_INF_B[[#This Row],[POSICION]]="jugador",BD_ESTADISTICA_INF_B[[#This Row],[Lanzam.]],0)</f>
        <v>0</v>
      </c>
      <c r="AA11" s="26">
        <f>IF(BD_ESTADISTICA_INF_B[[#This Row],[POSICION]]="portero",BD_ESTADISTICA_INF_B[[#This Row],[Lanzam.]],0)</f>
        <v>0</v>
      </c>
    </row>
    <row r="12" spans="1:27">
      <c r="A12" s="21" t="s">
        <v>25</v>
      </c>
      <c r="B12" s="21"/>
      <c r="C12" s="22"/>
      <c r="D12" s="22"/>
      <c r="E12" s="22"/>
      <c r="F12" s="8" t="str">
        <f>IF(BD_ESTADISTICA_INF_B[[#This Row],[Lanzam.]]="","",IF(BD_ESTADISTICA_INF_B[[#This Row],[POSICION]]="jugador",C12/E12,D12/E12))</f>
        <v/>
      </c>
      <c r="G12" s="22"/>
      <c r="H12" s="22"/>
      <c r="I12" s="8" t="str">
        <f>IF(BD_ESTADISTICA_INF_B[[#This Row],[Lanzam. 7m]]="","",BD_ESTADISTICA_INF_B[[#This Row],[Goles 7m]]/BD_ESTADISTICA_INF_B[[#This Row],[Lanzam. 7m]])</f>
        <v/>
      </c>
      <c r="J12" s="22"/>
      <c r="K12" s="22"/>
      <c r="L12" s="22"/>
      <c r="M12" s="22"/>
      <c r="N12" s="22"/>
      <c r="O12" s="22"/>
      <c r="P12" s="22"/>
      <c r="Q12" s="22"/>
      <c r="R12" s="22"/>
      <c r="S12" s="23">
        <v>1</v>
      </c>
      <c r="T12" s="24">
        <v>1</v>
      </c>
      <c r="U12" s="25" t="s">
        <v>79</v>
      </c>
      <c r="V12" s="11" t="s">
        <v>105</v>
      </c>
      <c r="W12" s="26" t="str">
        <f>IF(OR(BD_ESTADISTICA_INF_B[[#This Row],[Jugador]]="eudald",BD_ESTADISTICA_INF_B[[#This Row],[Jugador]]="jules",BD_ESTADISTICA_INF_B[[#This Row],[Jugador]]="JAN"),"PORTERO","JUGADOR")</f>
        <v>JUGADOR</v>
      </c>
      <c r="X12" s="26">
        <f>IF(BD_ESTADISTICA_INF_B[[#This Row],[POSICION]]="jugador",BD_ESTADISTICA_INF_B[[#This Row],[Goles]],0)</f>
        <v>0</v>
      </c>
      <c r="Y12" s="26">
        <f>IF(BD_ESTADISTICA_INF_B[[#This Row],[POSICION]]="portero",BD_ESTADISTICA_INF_B[[#This Row],[Lanzam.]]-BD_ESTADISTICA_INF_B[[#This Row],[Paradas]],0)</f>
        <v>0</v>
      </c>
      <c r="Z12" s="26">
        <f>IF(BD_ESTADISTICA_INF_B[[#This Row],[POSICION]]="jugador",BD_ESTADISTICA_INF_B[[#This Row],[Lanzam.]],0)</f>
        <v>0</v>
      </c>
      <c r="AA12" s="26">
        <f>IF(BD_ESTADISTICA_INF_B[[#This Row],[POSICION]]="portero",BD_ESTADISTICA_INF_B[[#This Row],[Lanzam.]],0)</f>
        <v>0</v>
      </c>
    </row>
    <row r="13" spans="1:27">
      <c r="A13" s="34" t="s">
        <v>26</v>
      </c>
      <c r="B13" s="34"/>
      <c r="C13" s="22">
        <v>9</v>
      </c>
      <c r="D13" s="22"/>
      <c r="E13" s="22">
        <v>10</v>
      </c>
      <c r="F13" s="8">
        <f>IF(BD_ESTADISTICA_INF_B[[#This Row],[Lanzam.]]="","",IF(BD_ESTADISTICA_INF_B[[#This Row],[POSICION]]="jugador",C13/E13,D13/E13))</f>
        <v>0.9</v>
      </c>
      <c r="G13" s="22"/>
      <c r="H13" s="22"/>
      <c r="I13" s="8" t="str">
        <f>IF(BD_ESTADISTICA_INF_B[[#This Row],[Lanzam. 7m]]="","",BD_ESTADISTICA_INF_B[[#This Row],[Goles 7m]]/BD_ESTADISTICA_INF_B[[#This Row],[Lanzam. 7m]])</f>
        <v/>
      </c>
      <c r="J13" s="22">
        <v>8</v>
      </c>
      <c r="K13" s="22"/>
      <c r="L13" s="22">
        <v>1</v>
      </c>
      <c r="M13" s="22"/>
      <c r="N13" s="22"/>
      <c r="O13" s="22"/>
      <c r="P13" s="22"/>
      <c r="Q13" s="22">
        <v>1</v>
      </c>
      <c r="R13" s="22"/>
      <c r="S13" s="23">
        <v>1</v>
      </c>
      <c r="T13" s="24">
        <v>1</v>
      </c>
      <c r="U13" s="25" t="s">
        <v>79</v>
      </c>
      <c r="V13" s="11" t="s">
        <v>105</v>
      </c>
      <c r="W13" s="26" t="str">
        <f>IF(OR(BD_ESTADISTICA_INF_B[[#This Row],[Jugador]]="eudald",BD_ESTADISTICA_INF_B[[#This Row],[Jugador]]="jules",BD_ESTADISTICA_INF_B[[#This Row],[Jugador]]="JAN"),"PORTERO","JUGADOR")</f>
        <v>JUGADOR</v>
      </c>
      <c r="X13" s="26">
        <f>IF(BD_ESTADISTICA_INF_B[[#This Row],[POSICION]]="jugador",BD_ESTADISTICA_INF_B[[#This Row],[Goles]],0)</f>
        <v>9</v>
      </c>
      <c r="Y13" s="26">
        <f>IF(BD_ESTADISTICA_INF_B[[#This Row],[POSICION]]="portero",BD_ESTADISTICA_INF_B[[#This Row],[Lanzam.]]-BD_ESTADISTICA_INF_B[[#This Row],[Paradas]],0)</f>
        <v>0</v>
      </c>
      <c r="Z13" s="26">
        <f>IF(BD_ESTADISTICA_INF_B[[#This Row],[POSICION]]="jugador",BD_ESTADISTICA_INF_B[[#This Row],[Lanzam.]],0)</f>
        <v>10</v>
      </c>
      <c r="AA13" s="26">
        <f>IF(BD_ESTADISTICA_INF_B[[#This Row],[POSICION]]="portero",BD_ESTADISTICA_INF_B[[#This Row],[Lanzam.]],0)</f>
        <v>0</v>
      </c>
    </row>
    <row r="14" spans="1:27">
      <c r="A14" s="21" t="s">
        <v>27</v>
      </c>
      <c r="B14" s="21"/>
      <c r="C14" s="22">
        <v>9</v>
      </c>
      <c r="D14" s="22"/>
      <c r="E14" s="22">
        <v>11</v>
      </c>
      <c r="F14" s="8">
        <f>IF(BD_ESTADISTICA_INF_B[[#This Row],[Lanzam.]]="","",IF(BD_ESTADISTICA_INF_B[[#This Row],[POSICION]]="jugador",C14/E14,D14/E14))</f>
        <v>0.81818181818181823</v>
      </c>
      <c r="G14" s="22">
        <v>6</v>
      </c>
      <c r="H14" s="22">
        <v>6</v>
      </c>
      <c r="I14" s="8">
        <f>IF(BD_ESTADISTICA_INF_B[[#This Row],[Lanzam. 7m]]="","",BD_ESTADISTICA_INF_B[[#This Row],[Goles 7m]]/BD_ESTADISTICA_INF_B[[#This Row],[Lanzam. 7m]])</f>
        <v>1</v>
      </c>
      <c r="J14" s="22"/>
      <c r="K14" s="22"/>
      <c r="L14" s="22">
        <v>2</v>
      </c>
      <c r="M14" s="22"/>
      <c r="N14" s="22"/>
      <c r="O14" s="22"/>
      <c r="P14" s="22">
        <v>4</v>
      </c>
      <c r="Q14" s="22"/>
      <c r="R14" s="22">
        <v>2</v>
      </c>
      <c r="S14" s="23">
        <v>1</v>
      </c>
      <c r="T14" s="24">
        <v>1</v>
      </c>
      <c r="U14" s="25" t="s">
        <v>79</v>
      </c>
      <c r="V14" s="11" t="s">
        <v>105</v>
      </c>
      <c r="W14" s="26" t="str">
        <f>IF(OR(BD_ESTADISTICA_INF_B[[#This Row],[Jugador]]="eudald",BD_ESTADISTICA_INF_B[[#This Row],[Jugador]]="jules",BD_ESTADISTICA_INF_B[[#This Row],[Jugador]]="JAN"),"PORTERO","JUGADOR")</f>
        <v>JUGADOR</v>
      </c>
      <c r="X14" s="26">
        <f>IF(BD_ESTADISTICA_INF_B[[#This Row],[POSICION]]="jugador",BD_ESTADISTICA_INF_B[[#This Row],[Goles]],0)</f>
        <v>9</v>
      </c>
      <c r="Y14" s="26">
        <f>IF(BD_ESTADISTICA_INF_B[[#This Row],[POSICION]]="portero",BD_ESTADISTICA_INF_B[[#This Row],[Lanzam.]]-BD_ESTADISTICA_INF_B[[#This Row],[Paradas]],0)</f>
        <v>0</v>
      </c>
      <c r="Z14" s="26">
        <f>IF(BD_ESTADISTICA_INF_B[[#This Row],[POSICION]]="jugador",BD_ESTADISTICA_INF_B[[#This Row],[Lanzam.]],0)</f>
        <v>11</v>
      </c>
      <c r="AA14" s="26">
        <f>IF(BD_ESTADISTICA_INF_B[[#This Row],[POSICION]]="portero",BD_ESTADISTICA_INF_B[[#This Row],[Lanzam.]],0)</f>
        <v>0</v>
      </c>
    </row>
    <row r="15" spans="1:27">
      <c r="A15" s="21" t="s">
        <v>28</v>
      </c>
      <c r="B15" s="21"/>
      <c r="C15" s="22">
        <v>3</v>
      </c>
      <c r="D15" s="22"/>
      <c r="E15" s="22">
        <v>3</v>
      </c>
      <c r="F15" s="8">
        <f>IF(BD_ESTADISTICA_INF_B[[#This Row],[Lanzam.]]="","",IF(BD_ESTADISTICA_INF_B[[#This Row],[POSICION]]="jugador",C15/E15,D15/E15))</f>
        <v>1</v>
      </c>
      <c r="G15" s="22"/>
      <c r="H15" s="22"/>
      <c r="I15" s="8" t="str">
        <f>IF(BD_ESTADISTICA_INF_B[[#This Row],[Lanzam. 7m]]="","",BD_ESTADISTICA_INF_B[[#This Row],[Goles 7m]]/BD_ESTADISTICA_INF_B[[#This Row],[Lanzam. 7m]])</f>
        <v/>
      </c>
      <c r="J15" s="22">
        <v>3</v>
      </c>
      <c r="K15" s="22"/>
      <c r="L15" s="22">
        <v>2</v>
      </c>
      <c r="M15" s="22"/>
      <c r="N15" s="22"/>
      <c r="O15" s="22"/>
      <c r="P15" s="22">
        <v>1</v>
      </c>
      <c r="Q15" s="22"/>
      <c r="R15" s="22"/>
      <c r="S15" s="23">
        <v>1</v>
      </c>
      <c r="T15" s="24">
        <v>1</v>
      </c>
      <c r="U15" s="25" t="s">
        <v>79</v>
      </c>
      <c r="V15" s="11" t="s">
        <v>105</v>
      </c>
      <c r="W15" s="26" t="str">
        <f>IF(OR(BD_ESTADISTICA_INF_B[[#This Row],[Jugador]]="eudald",BD_ESTADISTICA_INF_B[[#This Row],[Jugador]]="jules",BD_ESTADISTICA_INF_B[[#This Row],[Jugador]]="JAN"),"PORTERO","JUGADOR")</f>
        <v>JUGADOR</v>
      </c>
      <c r="X15" s="26">
        <f>IF(BD_ESTADISTICA_INF_B[[#This Row],[POSICION]]="jugador",BD_ESTADISTICA_INF_B[[#This Row],[Goles]],0)</f>
        <v>3</v>
      </c>
      <c r="Y15" s="26">
        <f>IF(BD_ESTADISTICA_INF_B[[#This Row],[POSICION]]="portero",BD_ESTADISTICA_INF_B[[#This Row],[Lanzam.]]-BD_ESTADISTICA_INF_B[[#This Row],[Paradas]],0)</f>
        <v>0</v>
      </c>
      <c r="Z15" s="26">
        <f>IF(BD_ESTADISTICA_INF_B[[#This Row],[POSICION]]="jugador",BD_ESTADISTICA_INF_B[[#This Row],[Lanzam.]],0)</f>
        <v>3</v>
      </c>
      <c r="AA15" s="26">
        <f>IF(BD_ESTADISTICA_INF_B[[#This Row],[POSICION]]="portero",BD_ESTADISTICA_INF_B[[#This Row],[Lanzam.]],0)</f>
        <v>0</v>
      </c>
    </row>
    <row r="16" spans="1:27">
      <c r="A16" s="34" t="s">
        <v>31</v>
      </c>
      <c r="B16" s="34"/>
      <c r="C16" s="22"/>
      <c r="D16" s="22">
        <v>10</v>
      </c>
      <c r="E16" s="22">
        <v>24</v>
      </c>
      <c r="F16" s="8">
        <f>IF(BD_ESTADISTICA_INF_B[[#This Row],[Lanzam.]]="","",IF(BD_ESTADISTICA_INF_B[[#This Row],[POSICION]]="jugador",C16/E16,D16/E16))</f>
        <v>0.41666666666666669</v>
      </c>
      <c r="G16" s="22">
        <v>1</v>
      </c>
      <c r="H16" s="22">
        <v>1</v>
      </c>
      <c r="I16" s="8">
        <f>IF(BD_ESTADISTICA_INF_B[[#This Row],[Lanzam. 7m]]="","",BD_ESTADISTICA_INF_B[[#This Row],[Goles 7m]]/BD_ESTADISTICA_INF_B[[#This Row],[Lanzam. 7m]])</f>
        <v>1</v>
      </c>
      <c r="J16" s="22">
        <v>4</v>
      </c>
      <c r="K16" s="22"/>
      <c r="L16" s="22"/>
      <c r="M16" s="22"/>
      <c r="N16" s="22"/>
      <c r="O16" s="22"/>
      <c r="P16" s="22"/>
      <c r="Q16" s="22"/>
      <c r="R16" s="22"/>
      <c r="S16" s="23">
        <v>1</v>
      </c>
      <c r="T16" s="24">
        <v>1</v>
      </c>
      <c r="U16" s="25" t="s">
        <v>79</v>
      </c>
      <c r="V16" s="11" t="s">
        <v>105</v>
      </c>
      <c r="W16" s="26" t="str">
        <f>IF(OR(BD_ESTADISTICA_INF_B[[#This Row],[Jugador]]="eudald",BD_ESTADISTICA_INF_B[[#This Row],[Jugador]]="jules",BD_ESTADISTICA_INF_B[[#This Row],[Jugador]]="JAN"),"PORTERO","JUGADOR")</f>
        <v>PORTERO</v>
      </c>
      <c r="X16" s="26">
        <f>IF(BD_ESTADISTICA_INF_B[[#This Row],[POSICION]]="jugador",BD_ESTADISTICA_INF_B[[#This Row],[Goles]],0)</f>
        <v>0</v>
      </c>
      <c r="Y16" s="26">
        <f>IF(BD_ESTADISTICA_INF_B[[#This Row],[POSICION]]="portero",BD_ESTADISTICA_INF_B[[#This Row],[Lanzam.]]-BD_ESTADISTICA_INF_B[[#This Row],[Paradas]],0)</f>
        <v>14</v>
      </c>
      <c r="Z16" s="26">
        <f>IF(BD_ESTADISTICA_INF_B[[#This Row],[POSICION]]="jugador",BD_ESTADISTICA_INF_B[[#This Row],[Lanzam.]],0)</f>
        <v>0</v>
      </c>
      <c r="AA16" s="26">
        <f>IF(BD_ESTADISTICA_INF_B[[#This Row],[POSICION]]="portero",BD_ESTADISTICA_INF_B[[#This Row],[Lanzam.]],0)</f>
        <v>24</v>
      </c>
    </row>
    <row r="17" spans="1:27">
      <c r="A17" s="21" t="s">
        <v>29</v>
      </c>
      <c r="B17" s="21"/>
      <c r="C17" s="28"/>
      <c r="D17" s="22">
        <v>4</v>
      </c>
      <c r="E17" s="22">
        <v>15</v>
      </c>
      <c r="F17" s="8">
        <f>IF(BD_ESTADISTICA_INF_B[[#This Row],[Lanzam.]]="","",IF(BD_ESTADISTICA_INF_B[[#This Row],[POSICION]]="jugador",C17/E17,D17/E17))</f>
        <v>0.26666666666666666</v>
      </c>
      <c r="G17" s="22"/>
      <c r="H17" s="22"/>
      <c r="I17" s="8" t="str">
        <f>IF(BD_ESTADISTICA_INF_B[[#This Row],[Lanzam. 7m]]="","",BD_ESTADISTICA_INF_B[[#This Row],[Goles 7m]]/BD_ESTADISTICA_INF_B[[#This Row],[Lanzam. 7m]])</f>
        <v/>
      </c>
      <c r="J17" s="22"/>
      <c r="K17" s="22"/>
      <c r="L17" s="22"/>
      <c r="M17" s="22"/>
      <c r="N17" s="22"/>
      <c r="O17" s="22"/>
      <c r="P17" s="22"/>
      <c r="Q17" s="22"/>
      <c r="R17" s="22"/>
      <c r="S17" s="23">
        <v>1</v>
      </c>
      <c r="T17" s="24">
        <v>1</v>
      </c>
      <c r="U17" s="25" t="s">
        <v>79</v>
      </c>
      <c r="V17" s="11" t="s">
        <v>105</v>
      </c>
      <c r="W17" s="26" t="str">
        <f>IF(OR(BD_ESTADISTICA_INF_B[[#This Row],[Jugador]]="eudald",BD_ESTADISTICA_INF_B[[#This Row],[Jugador]]="jules",BD_ESTADISTICA_INF_B[[#This Row],[Jugador]]="JAN"),"PORTERO","JUGADOR")</f>
        <v>PORTERO</v>
      </c>
      <c r="X17" s="26">
        <f>IF(BD_ESTADISTICA_INF_B[[#This Row],[POSICION]]="jugador",BD_ESTADISTICA_INF_B[[#This Row],[Goles]],0)</f>
        <v>0</v>
      </c>
      <c r="Y17" s="26">
        <f>IF(BD_ESTADISTICA_INF_B[[#This Row],[POSICION]]="portero",BD_ESTADISTICA_INF_B[[#This Row],[Lanzam.]]-BD_ESTADISTICA_INF_B[[#This Row],[Paradas]],0)</f>
        <v>11</v>
      </c>
      <c r="Z17" s="26">
        <f>IF(BD_ESTADISTICA_INF_B[[#This Row],[POSICION]]="jugador",BD_ESTADISTICA_INF_B[[#This Row],[Lanzam.]],0)</f>
        <v>0</v>
      </c>
      <c r="AA17" s="26">
        <f>IF(BD_ESTADISTICA_INF_B[[#This Row],[POSICION]]="portero",BD_ESTADISTICA_INF_B[[#This Row],[Lanzam.]],0)</f>
        <v>15</v>
      </c>
    </row>
    <row r="18" spans="1:27">
      <c r="A18" s="21" t="s">
        <v>30</v>
      </c>
      <c r="B18" s="21"/>
      <c r="C18" s="29"/>
      <c r="D18" s="22">
        <v>4</v>
      </c>
      <c r="E18" s="22">
        <v>10</v>
      </c>
      <c r="F18" s="8">
        <f>IF(BD_ESTADISTICA_INF_B[[#This Row],[Lanzam.]]="","",IF(BD_ESTADISTICA_INF_B[[#This Row],[POSICION]]="jugador",C18/E18,D18/E18))</f>
        <v>0.4</v>
      </c>
      <c r="G18" s="22">
        <v>1</v>
      </c>
      <c r="H18" s="22">
        <v>0</v>
      </c>
      <c r="I18" s="8">
        <f>IF(BD_ESTADISTICA_INF_B[[#This Row],[Lanzam. 7m]]="","",BD_ESTADISTICA_INF_B[[#This Row],[Goles 7m]]/BD_ESTADISTICA_INF_B[[#This Row],[Lanzam. 7m]])</f>
        <v>0</v>
      </c>
      <c r="J18" s="22"/>
      <c r="K18" s="22"/>
      <c r="L18" s="22"/>
      <c r="M18" s="22"/>
      <c r="N18" s="22"/>
      <c r="O18" s="22"/>
      <c r="P18" s="22"/>
      <c r="Q18" s="22"/>
      <c r="R18" s="22"/>
      <c r="S18" s="23">
        <v>1</v>
      </c>
      <c r="T18" s="24">
        <v>1</v>
      </c>
      <c r="U18" s="25" t="s">
        <v>79</v>
      </c>
      <c r="V18" s="11" t="s">
        <v>105</v>
      </c>
      <c r="W18" s="26" t="str">
        <f>IF(OR(BD_ESTADISTICA_INF_B[[#This Row],[Jugador]]="eudald",BD_ESTADISTICA_INF_B[[#This Row],[Jugador]]="jules",BD_ESTADISTICA_INF_B[[#This Row],[Jugador]]="JAN"),"PORTERO","JUGADOR")</f>
        <v>PORTERO</v>
      </c>
      <c r="X18" s="26">
        <f>IF(BD_ESTADISTICA_INF_B[[#This Row],[POSICION]]="jugador",BD_ESTADISTICA_INF_B[[#This Row],[Goles]],0)</f>
        <v>0</v>
      </c>
      <c r="Y18" s="26">
        <f>IF(BD_ESTADISTICA_INF_B[[#This Row],[POSICION]]="portero",BD_ESTADISTICA_INF_B[[#This Row],[Lanzam.]]-BD_ESTADISTICA_INF_B[[#This Row],[Paradas]],0)</f>
        <v>6</v>
      </c>
      <c r="Z18" s="26">
        <f>IF(BD_ESTADISTICA_INF_B[[#This Row],[POSICION]]="jugador",BD_ESTADISTICA_INF_B[[#This Row],[Lanzam.]],0)</f>
        <v>0</v>
      </c>
      <c r="AA18" s="26">
        <f>IF(BD_ESTADISTICA_INF_B[[#This Row],[POSICION]]="portero",BD_ESTADISTICA_INF_B[[#This Row],[Lanzam.]],0)</f>
        <v>10</v>
      </c>
    </row>
    <row r="19" spans="1:27">
      <c r="A19" s="21" t="s">
        <v>42</v>
      </c>
      <c r="B19" s="21"/>
      <c r="C19" s="22">
        <v>2</v>
      </c>
      <c r="D19" s="22"/>
      <c r="E19" s="22">
        <v>4</v>
      </c>
      <c r="F19" s="8">
        <f>IF(BD_ESTADISTICA_INF_B[[#This Row],[Lanzam.]]="","",IF(BD_ESTADISTICA_INF_B[[#This Row],[POSICION]]="jugador",C19/E19,D19/E19))</f>
        <v>0.5</v>
      </c>
      <c r="G19" s="22"/>
      <c r="H19" s="22"/>
      <c r="I19" s="8" t="str">
        <f>IF(BD_ESTADISTICA_INF_B[[#This Row],[Lanzam. 7m]]="","",BD_ESTADISTICA_INF_B[[#This Row],[Goles 7m]]/BD_ESTADISTICA_INF_B[[#This Row],[Lanzam. 7m]])</f>
        <v/>
      </c>
      <c r="J19" s="22"/>
      <c r="K19" s="22"/>
      <c r="L19" s="22"/>
      <c r="M19" s="22"/>
      <c r="N19" s="22"/>
      <c r="O19" s="22"/>
      <c r="P19" s="22">
        <v>1</v>
      </c>
      <c r="Q19" s="22"/>
      <c r="R19" s="22"/>
      <c r="S19" s="23">
        <v>1</v>
      </c>
      <c r="T19" s="24">
        <v>1</v>
      </c>
      <c r="U19" s="25" t="s">
        <v>79</v>
      </c>
      <c r="V19" s="11" t="s">
        <v>105</v>
      </c>
      <c r="W19" s="26" t="str">
        <f>IF(OR(BD_ESTADISTICA_INF_B[[#This Row],[Jugador]]="eudald",BD_ESTADISTICA_INF_B[[#This Row],[Jugador]]="jules",BD_ESTADISTICA_INF_B[[#This Row],[Jugador]]="JAN"),"PORTERO","JUGADOR")</f>
        <v>JUGADOR</v>
      </c>
      <c r="X19" s="26">
        <f>IF(BD_ESTADISTICA_INF_B[[#This Row],[POSICION]]="jugador",BD_ESTADISTICA_INF_B[[#This Row],[Goles]],0)</f>
        <v>2</v>
      </c>
      <c r="Y19" s="26">
        <f>IF(BD_ESTADISTICA_INF_B[[#This Row],[POSICION]]="portero",BD_ESTADISTICA_INF_B[[#This Row],[Lanzam.]]-BD_ESTADISTICA_INF_B[[#This Row],[Paradas]],0)</f>
        <v>0</v>
      </c>
      <c r="Z19" s="26">
        <f>IF(BD_ESTADISTICA_INF_B[[#This Row],[POSICION]]="jugador",BD_ESTADISTICA_INF_B[[#This Row],[Lanzam.]],0)</f>
        <v>4</v>
      </c>
      <c r="AA19" s="26">
        <f>IF(BD_ESTADISTICA_INF_B[[#This Row],[POSICION]]="portero",BD_ESTADISTICA_INF_B[[#This Row],[Lanzam.]],0)</f>
        <v>0</v>
      </c>
    </row>
    <row r="20" spans="1:27">
      <c r="A20" s="21" t="s">
        <v>22</v>
      </c>
      <c r="B20" s="21"/>
      <c r="C20" s="22"/>
      <c r="D20" s="22"/>
      <c r="E20" s="22"/>
      <c r="F20" s="8" t="str">
        <f>IF(BD_ESTADISTICA_INF_B[[#This Row],[Lanzam.]]="","",IF(BD_ESTADISTICA_INF_B[[#This Row],[POSICION]]="jugador",C20/E20,D20/E20))</f>
        <v/>
      </c>
      <c r="G20" s="22"/>
      <c r="H20" s="22"/>
      <c r="I20" s="8" t="str">
        <f>IF(BD_ESTADISTICA_INF_B[[#This Row],[Lanzam. 7m]]="","",BD_ESTADISTICA_INF_B[[#This Row],[Goles 7m]]/BD_ESTADISTICA_INF_B[[#This Row],[Lanzam. 7m]])</f>
        <v/>
      </c>
      <c r="J20" s="22"/>
      <c r="K20" s="22"/>
      <c r="L20" s="22"/>
      <c r="M20" s="22"/>
      <c r="N20" s="22"/>
      <c r="O20" s="22"/>
      <c r="P20" s="22"/>
      <c r="Q20" s="22"/>
      <c r="R20" s="22"/>
      <c r="S20" s="23">
        <v>1</v>
      </c>
      <c r="T20" s="24">
        <v>1</v>
      </c>
      <c r="U20" s="25" t="s">
        <v>79</v>
      </c>
      <c r="V20" s="11" t="s">
        <v>105</v>
      </c>
      <c r="W20" s="26" t="str">
        <f>IF(OR(BD_ESTADISTICA_INF_B[[#This Row],[Jugador]]="eudald",BD_ESTADISTICA_INF_B[[#This Row],[Jugador]]="jules",BD_ESTADISTICA_INF_B[[#This Row],[Jugador]]="JAN"),"PORTERO","JUGADOR")</f>
        <v>JUGADOR</v>
      </c>
      <c r="X20" s="26">
        <f>IF(BD_ESTADISTICA_INF_B[[#This Row],[POSICION]]="jugador",BD_ESTADISTICA_INF_B[[#This Row],[Goles]],0)</f>
        <v>0</v>
      </c>
      <c r="Y20" s="26">
        <f>IF(BD_ESTADISTICA_INF_B[[#This Row],[POSICION]]="portero",BD_ESTADISTICA_INF_B[[#This Row],[Lanzam.]]-BD_ESTADISTICA_INF_B[[#This Row],[Paradas]],0)</f>
        <v>0</v>
      </c>
      <c r="Z20" s="26">
        <f>IF(BD_ESTADISTICA_INF_B[[#This Row],[POSICION]]="jugador",BD_ESTADISTICA_INF_B[[#This Row],[Lanzam.]],0)</f>
        <v>0</v>
      </c>
      <c r="AA20" s="26">
        <f>IF(BD_ESTADISTICA_INF_B[[#This Row],[POSICION]]="portero",BD_ESTADISTICA_INF_B[[#This Row],[Lanzam.]],0)</f>
        <v>0</v>
      </c>
    </row>
    <row r="21" spans="1:27">
      <c r="A21" s="21" t="s">
        <v>16</v>
      </c>
      <c r="B21" s="21"/>
      <c r="C21" s="22">
        <v>0</v>
      </c>
      <c r="D21" s="22"/>
      <c r="E21" s="22">
        <v>2</v>
      </c>
      <c r="F21" s="8">
        <f>IF(BD_ESTADISTICA_INF_B[[#This Row],[Lanzam.]]="","",IF(BD_ESTADISTICA_INF_B[[#This Row],[POSICION]]="jugador",C21/E21,D21/E21))</f>
        <v>0</v>
      </c>
      <c r="G21" s="45"/>
      <c r="H21" s="45"/>
      <c r="I21" s="46" t="str">
        <f>IF(BD_ESTADISTICA_INF_B[[#This Row],[Lanzam. 7m]]="","",BD_ESTADISTICA_INF_B[[#This Row],[Goles 7m]]/BD_ESTADISTICA_INF_B[[#This Row],[Lanzam. 7m]])</f>
        <v/>
      </c>
      <c r="J21" s="22">
        <v>1</v>
      </c>
      <c r="K21" s="22"/>
      <c r="L21" s="22"/>
      <c r="M21" s="22"/>
      <c r="N21" s="22"/>
      <c r="O21" s="22"/>
      <c r="P21" s="22"/>
      <c r="Q21" s="22"/>
      <c r="R21" s="22"/>
      <c r="S21" s="23">
        <v>2</v>
      </c>
      <c r="T21" s="24">
        <v>1</v>
      </c>
      <c r="U21" s="25" t="s">
        <v>107</v>
      </c>
      <c r="V21" s="11" t="s">
        <v>108</v>
      </c>
      <c r="W21" s="26" t="str">
        <f>IF(OR(BD_ESTADISTICA_INF_B[[#This Row],[Jugador]]="eudald",BD_ESTADISTICA_INF_B[[#This Row],[Jugador]]="jules",BD_ESTADISTICA_INF_B[[#This Row],[Jugador]]="JAN"),"PORTERO","JUGADOR")</f>
        <v>JUGADOR</v>
      </c>
      <c r="X21" s="26">
        <f>IF(BD_ESTADISTICA_INF_B[[#This Row],[POSICION]]="jugador",BD_ESTADISTICA_INF_B[[#This Row],[Goles]],0)</f>
        <v>0</v>
      </c>
      <c r="Y21" s="26">
        <f>IF(BD_ESTADISTICA_INF_B[[#This Row],[POSICION]]="portero",BD_ESTADISTICA_INF_B[[#This Row],[Lanzam.]]-BD_ESTADISTICA_INF_B[[#This Row],[Paradas]],0)</f>
        <v>0</v>
      </c>
      <c r="Z21" s="26">
        <f>IF(BD_ESTADISTICA_INF_B[[#This Row],[POSICION]]="jugador",BD_ESTADISTICA_INF_B[[#This Row],[Lanzam.]],0)</f>
        <v>2</v>
      </c>
      <c r="AA21" s="26">
        <f>IF(BD_ESTADISTICA_INF_B[[#This Row],[POSICION]]="portero",BD_ESTADISTICA_INF_B[[#This Row],[Lanzam.]],0)</f>
        <v>0</v>
      </c>
    </row>
    <row r="22" spans="1:27">
      <c r="A22" s="21" t="s">
        <v>17</v>
      </c>
      <c r="B22" s="21"/>
      <c r="C22" s="22">
        <v>2</v>
      </c>
      <c r="D22" s="22"/>
      <c r="E22" s="22">
        <v>3</v>
      </c>
      <c r="F22" s="8">
        <f>IF(BD_ESTADISTICA_INF_B[[#This Row],[Lanzam.]]="","",IF(BD_ESTADISTICA_INF_B[[#This Row],[POSICION]]="jugador",C22/E22,D22/E22))</f>
        <v>0.66666666666666663</v>
      </c>
      <c r="G22" s="45"/>
      <c r="H22" s="45"/>
      <c r="I22" s="46" t="str">
        <f>IF(BD_ESTADISTICA_INF_B[[#This Row],[Lanzam. 7m]]="","",BD_ESTADISTICA_INF_B[[#This Row],[Goles 7m]]/BD_ESTADISTICA_INF_B[[#This Row],[Lanzam. 7m]])</f>
        <v/>
      </c>
      <c r="J22" s="22"/>
      <c r="K22" s="22"/>
      <c r="L22" s="22"/>
      <c r="M22" s="22"/>
      <c r="N22" s="22"/>
      <c r="O22" s="22"/>
      <c r="P22" s="22">
        <v>1</v>
      </c>
      <c r="Q22" s="22"/>
      <c r="R22" s="22"/>
      <c r="S22" s="23">
        <v>2</v>
      </c>
      <c r="T22" s="24">
        <v>1</v>
      </c>
      <c r="U22" s="25" t="s">
        <v>107</v>
      </c>
      <c r="V22" s="11" t="s">
        <v>108</v>
      </c>
      <c r="W22" s="26" t="str">
        <f>IF(OR(BD_ESTADISTICA_INF_B[[#This Row],[Jugador]]="eudald",BD_ESTADISTICA_INF_B[[#This Row],[Jugador]]="jules",BD_ESTADISTICA_INF_B[[#This Row],[Jugador]]="JAN"),"PORTERO","JUGADOR")</f>
        <v>JUGADOR</v>
      </c>
      <c r="X22" s="26">
        <f>IF(BD_ESTADISTICA_INF_B[[#This Row],[POSICION]]="jugador",BD_ESTADISTICA_INF_B[[#This Row],[Goles]],0)</f>
        <v>2</v>
      </c>
      <c r="Y22" s="26">
        <f>IF(BD_ESTADISTICA_INF_B[[#This Row],[POSICION]]="portero",BD_ESTADISTICA_INF_B[[#This Row],[Lanzam.]]-BD_ESTADISTICA_INF_B[[#This Row],[Paradas]],0)</f>
        <v>0</v>
      </c>
      <c r="Z22" s="26">
        <f>IF(BD_ESTADISTICA_INF_B[[#This Row],[POSICION]]="jugador",BD_ESTADISTICA_INF_B[[#This Row],[Lanzam.]],0)</f>
        <v>3</v>
      </c>
      <c r="AA22" s="26">
        <f>IF(BD_ESTADISTICA_INF_B[[#This Row],[POSICION]]="portero",BD_ESTADISTICA_INF_B[[#This Row],[Lanzam.]],0)</f>
        <v>0</v>
      </c>
    </row>
    <row r="23" spans="1:27">
      <c r="A23" s="21" t="s">
        <v>18</v>
      </c>
      <c r="B23" s="21"/>
      <c r="C23" s="22"/>
      <c r="D23" s="22"/>
      <c r="E23" s="22"/>
      <c r="F23" s="8" t="str">
        <f>IF(BD_ESTADISTICA_INF_B[[#This Row],[Lanzam.]]="","",IF(BD_ESTADISTICA_INF_B[[#This Row],[POSICION]]="jugador",C23/E23,D23/E23))</f>
        <v/>
      </c>
      <c r="G23" s="45"/>
      <c r="H23" s="45"/>
      <c r="I23" s="46" t="str">
        <f>IF(BD_ESTADISTICA_INF_B[[#This Row],[Lanzam. 7m]]="","",BD_ESTADISTICA_INF_B[[#This Row],[Goles 7m]]/BD_ESTADISTICA_INF_B[[#This Row],[Lanzam. 7m]])</f>
        <v/>
      </c>
      <c r="J23" s="22"/>
      <c r="K23" s="22"/>
      <c r="L23" s="22"/>
      <c r="M23" s="22"/>
      <c r="N23" s="22"/>
      <c r="O23" s="22"/>
      <c r="P23" s="22"/>
      <c r="Q23" s="22"/>
      <c r="R23" s="22"/>
      <c r="S23" s="23">
        <v>2</v>
      </c>
      <c r="T23" s="24">
        <v>1</v>
      </c>
      <c r="U23" s="25" t="s">
        <v>107</v>
      </c>
      <c r="V23" s="11" t="s">
        <v>108</v>
      </c>
      <c r="W23" s="26" t="str">
        <f>IF(OR(BD_ESTADISTICA_INF_B[[#This Row],[Jugador]]="eudald",BD_ESTADISTICA_INF_B[[#This Row],[Jugador]]="jules",BD_ESTADISTICA_INF_B[[#This Row],[Jugador]]="JAN"),"PORTERO","JUGADOR")</f>
        <v>JUGADOR</v>
      </c>
      <c r="X23" s="26">
        <f>IF(BD_ESTADISTICA_INF_B[[#This Row],[POSICION]]="jugador",BD_ESTADISTICA_INF_B[[#This Row],[Goles]],0)</f>
        <v>0</v>
      </c>
      <c r="Y23" s="26">
        <f>IF(BD_ESTADISTICA_INF_B[[#This Row],[POSICION]]="portero",BD_ESTADISTICA_INF_B[[#This Row],[Lanzam.]]-BD_ESTADISTICA_INF_B[[#This Row],[Paradas]],0)</f>
        <v>0</v>
      </c>
      <c r="Z23" s="26">
        <f>IF(BD_ESTADISTICA_INF_B[[#This Row],[POSICION]]="jugador",BD_ESTADISTICA_INF_B[[#This Row],[Lanzam.]],0)</f>
        <v>0</v>
      </c>
      <c r="AA23" s="26">
        <f>IF(BD_ESTADISTICA_INF_B[[#This Row],[POSICION]]="portero",BD_ESTADISTICA_INF_B[[#This Row],[Lanzam.]],0)</f>
        <v>0</v>
      </c>
    </row>
    <row r="24" spans="1:27">
      <c r="A24" s="21" t="s">
        <v>19</v>
      </c>
      <c r="B24" s="21"/>
      <c r="C24" s="22">
        <v>6</v>
      </c>
      <c r="D24" s="22"/>
      <c r="E24" s="22">
        <v>9</v>
      </c>
      <c r="F24" s="8">
        <f>IF(BD_ESTADISTICA_INF_B[[#This Row],[Lanzam.]]="","",IF(BD_ESTADISTICA_INF_B[[#This Row],[POSICION]]="jugador",C24/E24,D24/E24))</f>
        <v>0.66666666666666663</v>
      </c>
      <c r="G24" s="45"/>
      <c r="H24" s="45"/>
      <c r="I24" s="46" t="str">
        <f>IF(BD_ESTADISTICA_INF_B[[#This Row],[Lanzam. 7m]]="","",BD_ESTADISTICA_INF_B[[#This Row],[Goles 7m]]/BD_ESTADISTICA_INF_B[[#This Row],[Lanzam. 7m]])</f>
        <v/>
      </c>
      <c r="J24" s="22">
        <v>3</v>
      </c>
      <c r="K24" s="22"/>
      <c r="L24" s="22"/>
      <c r="M24" s="22">
        <v>1</v>
      </c>
      <c r="N24" s="22">
        <v>1</v>
      </c>
      <c r="O24" s="22">
        <v>1</v>
      </c>
      <c r="P24" s="22">
        <v>1</v>
      </c>
      <c r="Q24" s="22"/>
      <c r="R24" s="22"/>
      <c r="S24" s="23">
        <v>2</v>
      </c>
      <c r="T24" s="24">
        <v>1</v>
      </c>
      <c r="U24" s="25" t="s">
        <v>107</v>
      </c>
      <c r="V24" s="11" t="s">
        <v>108</v>
      </c>
      <c r="W24" s="26" t="str">
        <f>IF(OR(BD_ESTADISTICA_INF_B[[#This Row],[Jugador]]="eudald",BD_ESTADISTICA_INF_B[[#This Row],[Jugador]]="jules",BD_ESTADISTICA_INF_B[[#This Row],[Jugador]]="JAN"),"PORTERO","JUGADOR")</f>
        <v>JUGADOR</v>
      </c>
      <c r="X24" s="26">
        <f>IF(BD_ESTADISTICA_INF_B[[#This Row],[POSICION]]="jugador",BD_ESTADISTICA_INF_B[[#This Row],[Goles]],0)</f>
        <v>6</v>
      </c>
      <c r="Y24" s="26">
        <f>IF(BD_ESTADISTICA_INF_B[[#This Row],[POSICION]]="portero",BD_ESTADISTICA_INF_B[[#This Row],[Lanzam.]]-BD_ESTADISTICA_INF_B[[#This Row],[Paradas]],0)</f>
        <v>0</v>
      </c>
      <c r="Z24" s="26">
        <f>IF(BD_ESTADISTICA_INF_B[[#This Row],[POSICION]]="jugador",BD_ESTADISTICA_INF_B[[#This Row],[Lanzam.]],0)</f>
        <v>9</v>
      </c>
      <c r="AA24" s="26">
        <f>IF(BD_ESTADISTICA_INF_B[[#This Row],[POSICION]]="portero",BD_ESTADISTICA_INF_B[[#This Row],[Lanzam.]],0)</f>
        <v>0</v>
      </c>
    </row>
    <row r="25" spans="1:27">
      <c r="A25" s="21" t="s">
        <v>20</v>
      </c>
      <c r="B25" s="21"/>
      <c r="C25" s="22"/>
      <c r="D25" s="22"/>
      <c r="E25" s="22"/>
      <c r="F25" s="8" t="str">
        <f>IF(BD_ESTADISTICA_INF_B[[#This Row],[Lanzam.]]="","",IF(BD_ESTADISTICA_INF_B[[#This Row],[POSICION]]="jugador",C25/E25,D25/E25))</f>
        <v/>
      </c>
      <c r="G25" s="45"/>
      <c r="H25" s="45"/>
      <c r="I25" s="46" t="str">
        <f>IF(BD_ESTADISTICA_INF_B[[#This Row],[Lanzam. 7m]]="","",BD_ESTADISTICA_INF_B[[#This Row],[Goles 7m]]/BD_ESTADISTICA_INF_B[[#This Row],[Lanzam. 7m]])</f>
        <v/>
      </c>
      <c r="J25" s="22"/>
      <c r="K25" s="22"/>
      <c r="L25" s="22"/>
      <c r="M25" s="22"/>
      <c r="N25" s="22"/>
      <c r="O25" s="22"/>
      <c r="P25" s="22"/>
      <c r="Q25" s="22"/>
      <c r="R25" s="22"/>
      <c r="S25" s="23">
        <v>2</v>
      </c>
      <c r="T25" s="24">
        <v>1</v>
      </c>
      <c r="U25" s="25" t="s">
        <v>107</v>
      </c>
      <c r="V25" s="11" t="s">
        <v>108</v>
      </c>
      <c r="W25" s="26" t="str">
        <f>IF(OR(BD_ESTADISTICA_INF_B[[#This Row],[Jugador]]="eudald",BD_ESTADISTICA_INF_B[[#This Row],[Jugador]]="jules",BD_ESTADISTICA_INF_B[[#This Row],[Jugador]]="JAN"),"PORTERO","JUGADOR")</f>
        <v>JUGADOR</v>
      </c>
      <c r="X25" s="26">
        <f>IF(BD_ESTADISTICA_INF_B[[#This Row],[POSICION]]="jugador",BD_ESTADISTICA_INF_B[[#This Row],[Goles]],0)</f>
        <v>0</v>
      </c>
      <c r="Y25" s="26">
        <f>IF(BD_ESTADISTICA_INF_B[[#This Row],[POSICION]]="portero",BD_ESTADISTICA_INF_B[[#This Row],[Lanzam.]]-BD_ESTADISTICA_INF_B[[#This Row],[Paradas]],0)</f>
        <v>0</v>
      </c>
      <c r="Z25" s="26">
        <f>IF(BD_ESTADISTICA_INF_B[[#This Row],[POSICION]]="jugador",BD_ESTADISTICA_INF_B[[#This Row],[Lanzam.]],0)</f>
        <v>0</v>
      </c>
      <c r="AA25" s="26">
        <f>IF(BD_ESTADISTICA_INF_B[[#This Row],[POSICION]]="portero",BD_ESTADISTICA_INF_B[[#This Row],[Lanzam.]],0)</f>
        <v>0</v>
      </c>
    </row>
    <row r="26" spans="1:27">
      <c r="A26" s="21" t="s">
        <v>21</v>
      </c>
      <c r="B26" s="21"/>
      <c r="C26" s="22">
        <v>6</v>
      </c>
      <c r="D26" s="22"/>
      <c r="E26" s="22">
        <v>9</v>
      </c>
      <c r="F26" s="8">
        <f>IF(BD_ESTADISTICA_INF_B[[#This Row],[Lanzam.]]="","",IF(BD_ESTADISTICA_INF_B[[#This Row],[POSICION]]="jugador",C26/E26,D26/E26))</f>
        <v>0.66666666666666663</v>
      </c>
      <c r="G26" s="45"/>
      <c r="H26" s="45"/>
      <c r="I26" s="46" t="str">
        <f>IF(BD_ESTADISTICA_INF_B[[#This Row],[Lanzam. 7m]]="","",BD_ESTADISTICA_INF_B[[#This Row],[Goles 7m]]/BD_ESTADISTICA_INF_B[[#This Row],[Lanzam. 7m]])</f>
        <v/>
      </c>
      <c r="J26" s="22"/>
      <c r="K26" s="22"/>
      <c r="L26" s="22">
        <v>2</v>
      </c>
      <c r="M26" s="22"/>
      <c r="N26" s="22"/>
      <c r="O26" s="22"/>
      <c r="P26" s="22">
        <v>1</v>
      </c>
      <c r="Q26" s="22"/>
      <c r="R26" s="22"/>
      <c r="S26" s="23">
        <v>2</v>
      </c>
      <c r="T26" s="24">
        <v>1</v>
      </c>
      <c r="U26" s="25" t="s">
        <v>107</v>
      </c>
      <c r="V26" s="11" t="s">
        <v>108</v>
      </c>
      <c r="W26" s="26" t="str">
        <f>IF(OR(BD_ESTADISTICA_INF_B[[#This Row],[Jugador]]="eudald",BD_ESTADISTICA_INF_B[[#This Row],[Jugador]]="jules",BD_ESTADISTICA_INF_B[[#This Row],[Jugador]]="JAN"),"PORTERO","JUGADOR")</f>
        <v>JUGADOR</v>
      </c>
      <c r="X26" s="26">
        <f>IF(BD_ESTADISTICA_INF_B[[#This Row],[POSICION]]="jugador",BD_ESTADISTICA_INF_B[[#This Row],[Goles]],0)</f>
        <v>6</v>
      </c>
      <c r="Y26" s="26">
        <f>IF(BD_ESTADISTICA_INF_B[[#This Row],[POSICION]]="portero",BD_ESTADISTICA_INF_B[[#This Row],[Lanzam.]]-BD_ESTADISTICA_INF_B[[#This Row],[Paradas]],0)</f>
        <v>0</v>
      </c>
      <c r="Z26" s="26">
        <f>IF(BD_ESTADISTICA_INF_B[[#This Row],[POSICION]]="jugador",BD_ESTADISTICA_INF_B[[#This Row],[Lanzam.]],0)</f>
        <v>9</v>
      </c>
      <c r="AA26" s="26">
        <f>IF(BD_ESTADISTICA_INF_B[[#This Row],[POSICION]]="portero",BD_ESTADISTICA_INF_B[[#This Row],[Lanzam.]],0)</f>
        <v>0</v>
      </c>
    </row>
    <row r="27" spans="1:27">
      <c r="A27" s="21" t="s">
        <v>40</v>
      </c>
      <c r="B27" s="21"/>
      <c r="C27" s="22">
        <v>5</v>
      </c>
      <c r="D27" s="22"/>
      <c r="E27" s="22">
        <v>6</v>
      </c>
      <c r="F27" s="8">
        <f>IF(BD_ESTADISTICA_INF_B[[#This Row],[Lanzam.]]="","",IF(BD_ESTADISTICA_INF_B[[#This Row],[POSICION]]="jugador",C27/E27,D27/E27))</f>
        <v>0.83333333333333337</v>
      </c>
      <c r="G27" s="45"/>
      <c r="H27" s="45"/>
      <c r="I27" s="46" t="str">
        <f>IF(BD_ESTADISTICA_INF_B[[#This Row],[Lanzam. 7m]]="","",BD_ESTADISTICA_INF_B[[#This Row],[Goles 7m]]/BD_ESTADISTICA_INF_B[[#This Row],[Lanzam. 7m]])</f>
        <v/>
      </c>
      <c r="J27" s="22"/>
      <c r="K27" s="22">
        <v>2</v>
      </c>
      <c r="L27" s="22">
        <v>1</v>
      </c>
      <c r="M27" s="22"/>
      <c r="N27" s="22"/>
      <c r="O27" s="22"/>
      <c r="P27" s="22">
        <v>1</v>
      </c>
      <c r="Q27" s="22">
        <v>1</v>
      </c>
      <c r="R27" s="22">
        <v>2</v>
      </c>
      <c r="S27" s="23">
        <v>2</v>
      </c>
      <c r="T27" s="24">
        <v>1</v>
      </c>
      <c r="U27" s="25" t="s">
        <v>107</v>
      </c>
      <c r="V27" s="11" t="s">
        <v>108</v>
      </c>
      <c r="W27" s="26" t="str">
        <f>IF(OR(BD_ESTADISTICA_INF_B[[#This Row],[Jugador]]="eudald",BD_ESTADISTICA_INF_B[[#This Row],[Jugador]]="jules",BD_ESTADISTICA_INF_B[[#This Row],[Jugador]]="JAN"),"PORTERO","JUGADOR")</f>
        <v>JUGADOR</v>
      </c>
      <c r="X27" s="26">
        <f>IF(BD_ESTADISTICA_INF_B[[#This Row],[POSICION]]="jugador",BD_ESTADISTICA_INF_B[[#This Row],[Goles]],0)</f>
        <v>5</v>
      </c>
      <c r="Y27" s="26">
        <f>IF(BD_ESTADISTICA_INF_B[[#This Row],[POSICION]]="portero",BD_ESTADISTICA_INF_B[[#This Row],[Lanzam.]]-BD_ESTADISTICA_INF_B[[#This Row],[Paradas]],0)</f>
        <v>0</v>
      </c>
      <c r="Z27" s="26">
        <f>IF(BD_ESTADISTICA_INF_B[[#This Row],[POSICION]]="jugador",BD_ESTADISTICA_INF_B[[#This Row],[Lanzam.]],0)</f>
        <v>6</v>
      </c>
      <c r="AA27" s="26">
        <f>IF(BD_ESTADISTICA_INF_B[[#This Row],[POSICION]]="portero",BD_ESTADISTICA_INF_B[[#This Row],[Lanzam.]],0)</f>
        <v>0</v>
      </c>
    </row>
    <row r="28" spans="1:27">
      <c r="A28" s="21" t="s">
        <v>41</v>
      </c>
      <c r="B28" s="21"/>
      <c r="C28" s="22"/>
      <c r="D28" s="22"/>
      <c r="E28" s="22"/>
      <c r="F28" s="8" t="str">
        <f>IF(BD_ESTADISTICA_INF_B[[#This Row],[Lanzam.]]="","",IF(BD_ESTADISTICA_INF_B[[#This Row],[POSICION]]="jugador",C28/E28,D28/E28))</f>
        <v/>
      </c>
      <c r="G28" s="45"/>
      <c r="H28" s="45"/>
      <c r="I28" s="46" t="str">
        <f>IF(BD_ESTADISTICA_INF_B[[#This Row],[Lanzam. 7m]]="","",BD_ESTADISTICA_INF_B[[#This Row],[Goles 7m]]/BD_ESTADISTICA_INF_B[[#This Row],[Lanzam. 7m]])</f>
        <v/>
      </c>
      <c r="J28" s="22"/>
      <c r="K28" s="22"/>
      <c r="L28" s="22"/>
      <c r="M28" s="22"/>
      <c r="N28" s="22"/>
      <c r="O28" s="22"/>
      <c r="P28" s="22">
        <v>1</v>
      </c>
      <c r="Q28" s="22"/>
      <c r="R28" s="22"/>
      <c r="S28" s="23">
        <v>2</v>
      </c>
      <c r="T28" s="24">
        <v>1</v>
      </c>
      <c r="U28" s="25" t="s">
        <v>107</v>
      </c>
      <c r="V28" s="11" t="s">
        <v>108</v>
      </c>
      <c r="W28" s="26" t="str">
        <f>IF(OR(BD_ESTADISTICA_INF_B[[#This Row],[Jugador]]="eudald",BD_ESTADISTICA_INF_B[[#This Row],[Jugador]]="jules",BD_ESTADISTICA_INF_B[[#This Row],[Jugador]]="JAN"),"PORTERO","JUGADOR")</f>
        <v>JUGADOR</v>
      </c>
      <c r="X28" s="26">
        <f>IF(BD_ESTADISTICA_INF_B[[#This Row],[POSICION]]="jugador",BD_ESTADISTICA_INF_B[[#This Row],[Goles]],0)</f>
        <v>0</v>
      </c>
      <c r="Y28" s="26">
        <f>IF(BD_ESTADISTICA_INF_B[[#This Row],[POSICION]]="portero",BD_ESTADISTICA_INF_B[[#This Row],[Lanzam.]]-BD_ESTADISTICA_INF_B[[#This Row],[Paradas]],0)</f>
        <v>0</v>
      </c>
      <c r="Z28" s="26">
        <f>IF(BD_ESTADISTICA_INF_B[[#This Row],[POSICION]]="jugador",BD_ESTADISTICA_INF_B[[#This Row],[Lanzam.]],0)</f>
        <v>0</v>
      </c>
      <c r="AA28" s="26">
        <f>IF(BD_ESTADISTICA_INF_B[[#This Row],[POSICION]]="portero",BD_ESTADISTICA_INF_B[[#This Row],[Lanzam.]],0)</f>
        <v>0</v>
      </c>
    </row>
    <row r="29" spans="1:27">
      <c r="A29" s="21" t="s">
        <v>23</v>
      </c>
      <c r="B29" s="21"/>
      <c r="C29" s="22">
        <v>2</v>
      </c>
      <c r="D29" s="22"/>
      <c r="E29" s="22">
        <v>2</v>
      </c>
      <c r="F29" s="8">
        <f>IF(BD_ESTADISTICA_INF_B[[#This Row],[Lanzam.]]="","",IF(BD_ESTADISTICA_INF_B[[#This Row],[POSICION]]="jugador",C29/E29,D29/E29))</f>
        <v>1</v>
      </c>
      <c r="G29" s="45"/>
      <c r="H29" s="45"/>
      <c r="I29" s="46" t="str">
        <f>IF(BD_ESTADISTICA_INF_B[[#This Row],[Lanzam. 7m]]="","",BD_ESTADISTICA_INF_B[[#This Row],[Goles 7m]]/BD_ESTADISTICA_INF_B[[#This Row],[Lanzam. 7m]])</f>
        <v/>
      </c>
      <c r="J29" s="22">
        <v>2</v>
      </c>
      <c r="K29" s="22"/>
      <c r="L29" s="22">
        <v>2</v>
      </c>
      <c r="M29" s="22"/>
      <c r="N29" s="22">
        <v>1</v>
      </c>
      <c r="O29" s="22"/>
      <c r="P29" s="22"/>
      <c r="Q29" s="22"/>
      <c r="R29" s="22"/>
      <c r="S29" s="23">
        <v>2</v>
      </c>
      <c r="T29" s="24">
        <v>1</v>
      </c>
      <c r="U29" s="25" t="s">
        <v>107</v>
      </c>
      <c r="V29" s="11" t="s">
        <v>108</v>
      </c>
      <c r="W29" s="26" t="str">
        <f>IF(OR(BD_ESTADISTICA_INF_B[[#This Row],[Jugador]]="eudald",BD_ESTADISTICA_INF_B[[#This Row],[Jugador]]="jules",BD_ESTADISTICA_INF_B[[#This Row],[Jugador]]="JAN"),"PORTERO","JUGADOR")</f>
        <v>JUGADOR</v>
      </c>
      <c r="X29" s="26">
        <f>IF(BD_ESTADISTICA_INF_B[[#This Row],[POSICION]]="jugador",BD_ESTADISTICA_INF_B[[#This Row],[Goles]],0)</f>
        <v>2</v>
      </c>
      <c r="Y29" s="26">
        <f>IF(BD_ESTADISTICA_INF_B[[#This Row],[POSICION]]="portero",BD_ESTADISTICA_INF_B[[#This Row],[Lanzam.]]-BD_ESTADISTICA_INF_B[[#This Row],[Paradas]],0)</f>
        <v>0</v>
      </c>
      <c r="Z29" s="26">
        <f>IF(BD_ESTADISTICA_INF_B[[#This Row],[POSICION]]="jugador",BD_ESTADISTICA_INF_B[[#This Row],[Lanzam.]],0)</f>
        <v>2</v>
      </c>
      <c r="AA29" s="26">
        <f>IF(BD_ESTADISTICA_INF_B[[#This Row],[POSICION]]="portero",BD_ESTADISTICA_INF_B[[#This Row],[Lanzam.]],0)</f>
        <v>0</v>
      </c>
    </row>
    <row r="30" spans="1:27">
      <c r="A30" s="34" t="s">
        <v>24</v>
      </c>
      <c r="B30" s="21"/>
      <c r="C30" s="22"/>
      <c r="D30" s="22"/>
      <c r="E30" s="22"/>
      <c r="F30" s="8" t="str">
        <f>IF(BD_ESTADISTICA_INF_B[[#This Row],[Lanzam.]]="","",IF(BD_ESTADISTICA_INF_B[[#This Row],[POSICION]]="jugador",C30/E30,D30/E30))</f>
        <v/>
      </c>
      <c r="G30" s="45"/>
      <c r="H30" s="45"/>
      <c r="I30" s="46" t="str">
        <f>IF(BD_ESTADISTICA_INF_B[[#This Row],[Lanzam. 7m]]="","",BD_ESTADISTICA_INF_B[[#This Row],[Goles 7m]]/BD_ESTADISTICA_INF_B[[#This Row],[Lanzam. 7m]])</f>
        <v/>
      </c>
      <c r="J30" s="22"/>
      <c r="K30" s="22"/>
      <c r="L30" s="22"/>
      <c r="M30" s="22"/>
      <c r="N30" s="22"/>
      <c r="O30" s="22"/>
      <c r="P30" s="22"/>
      <c r="Q30" s="22"/>
      <c r="R30" s="22"/>
      <c r="S30" s="23">
        <v>2</v>
      </c>
      <c r="T30" s="24">
        <v>1</v>
      </c>
      <c r="U30" s="25" t="s">
        <v>107</v>
      </c>
      <c r="V30" s="11" t="s">
        <v>108</v>
      </c>
      <c r="W30" s="26" t="str">
        <f>IF(OR(BD_ESTADISTICA_INF_B[[#This Row],[Jugador]]="eudald",BD_ESTADISTICA_INF_B[[#This Row],[Jugador]]="jules",BD_ESTADISTICA_INF_B[[#This Row],[Jugador]]="JAN"),"PORTERO","JUGADOR")</f>
        <v>JUGADOR</v>
      </c>
      <c r="X30" s="26">
        <f>IF(BD_ESTADISTICA_INF_B[[#This Row],[POSICION]]="jugador",BD_ESTADISTICA_INF_B[[#This Row],[Goles]],0)</f>
        <v>0</v>
      </c>
      <c r="Y30" s="26">
        <f>IF(BD_ESTADISTICA_INF_B[[#This Row],[POSICION]]="portero",BD_ESTADISTICA_INF_B[[#This Row],[Lanzam.]]-BD_ESTADISTICA_INF_B[[#This Row],[Paradas]],0)</f>
        <v>0</v>
      </c>
      <c r="Z30" s="26">
        <f>IF(BD_ESTADISTICA_INF_B[[#This Row],[POSICION]]="jugador",BD_ESTADISTICA_INF_B[[#This Row],[Lanzam.]],0)</f>
        <v>0</v>
      </c>
      <c r="AA30" s="26">
        <f>IF(BD_ESTADISTICA_INF_B[[#This Row],[POSICION]]="portero",BD_ESTADISTICA_INF_B[[#This Row],[Lanzam.]],0)</f>
        <v>0</v>
      </c>
    </row>
    <row r="31" spans="1:27">
      <c r="A31" s="21" t="s">
        <v>25</v>
      </c>
      <c r="B31" s="21"/>
      <c r="C31" s="22">
        <v>4</v>
      </c>
      <c r="D31" s="22"/>
      <c r="E31" s="22">
        <v>4</v>
      </c>
      <c r="F31" s="8">
        <f>IF(BD_ESTADISTICA_INF_B[[#This Row],[Lanzam.]]="","",IF(BD_ESTADISTICA_INF_B[[#This Row],[POSICION]]="jugador",C31/E31,D31/E31))</f>
        <v>1</v>
      </c>
      <c r="G31" s="45"/>
      <c r="H31" s="45"/>
      <c r="I31" s="46" t="str">
        <f>IF(BD_ESTADISTICA_INF_B[[#This Row],[Lanzam. 7m]]="","",BD_ESTADISTICA_INF_B[[#This Row],[Goles 7m]]/BD_ESTADISTICA_INF_B[[#This Row],[Lanzam. 7m]])</f>
        <v/>
      </c>
      <c r="J31" s="22">
        <v>2</v>
      </c>
      <c r="K31" s="22">
        <v>1</v>
      </c>
      <c r="L31" s="22">
        <v>1</v>
      </c>
      <c r="M31" s="22"/>
      <c r="N31" s="22">
        <v>1</v>
      </c>
      <c r="O31" s="22"/>
      <c r="P31" s="22">
        <v>2</v>
      </c>
      <c r="Q31" s="22">
        <v>1</v>
      </c>
      <c r="R31" s="22"/>
      <c r="S31" s="23">
        <v>2</v>
      </c>
      <c r="T31" s="24">
        <v>1</v>
      </c>
      <c r="U31" s="25" t="s">
        <v>107</v>
      </c>
      <c r="V31" s="11" t="s">
        <v>108</v>
      </c>
      <c r="W31" s="26" t="str">
        <f>IF(OR(BD_ESTADISTICA_INF_B[[#This Row],[Jugador]]="eudald",BD_ESTADISTICA_INF_B[[#This Row],[Jugador]]="jules",BD_ESTADISTICA_INF_B[[#This Row],[Jugador]]="JAN"),"PORTERO","JUGADOR")</f>
        <v>JUGADOR</v>
      </c>
      <c r="X31" s="26">
        <f>IF(BD_ESTADISTICA_INF_B[[#This Row],[POSICION]]="jugador",BD_ESTADISTICA_INF_B[[#This Row],[Goles]],0)</f>
        <v>4</v>
      </c>
      <c r="Y31" s="26">
        <f>IF(BD_ESTADISTICA_INF_B[[#This Row],[POSICION]]="portero",BD_ESTADISTICA_INF_B[[#This Row],[Lanzam.]]-BD_ESTADISTICA_INF_B[[#This Row],[Paradas]],0)</f>
        <v>0</v>
      </c>
      <c r="Z31" s="26">
        <f>IF(BD_ESTADISTICA_INF_B[[#This Row],[POSICION]]="jugador",BD_ESTADISTICA_INF_B[[#This Row],[Lanzam.]],0)</f>
        <v>4</v>
      </c>
      <c r="AA31" s="26">
        <f>IF(BD_ESTADISTICA_INF_B[[#This Row],[POSICION]]="portero",BD_ESTADISTICA_INF_B[[#This Row],[Lanzam.]],0)</f>
        <v>0</v>
      </c>
    </row>
    <row r="32" spans="1:27">
      <c r="A32" s="34" t="s">
        <v>26</v>
      </c>
      <c r="B32" s="21"/>
      <c r="C32" s="22">
        <v>2</v>
      </c>
      <c r="D32" s="22"/>
      <c r="E32" s="22">
        <v>4</v>
      </c>
      <c r="F32" s="8">
        <f>IF(BD_ESTADISTICA_INF_B[[#This Row],[Lanzam.]]="","",IF(BD_ESTADISTICA_INF_B[[#This Row],[POSICION]]="jugador",C32/E32,D32/E32))</f>
        <v>0.5</v>
      </c>
      <c r="G32" s="45"/>
      <c r="H32" s="45"/>
      <c r="I32" s="46" t="str">
        <f>IF(BD_ESTADISTICA_INF_B[[#This Row],[Lanzam. 7m]]="","",BD_ESTADISTICA_INF_B[[#This Row],[Goles 7m]]/BD_ESTADISTICA_INF_B[[#This Row],[Lanzam. 7m]])</f>
        <v/>
      </c>
      <c r="J32" s="22">
        <v>1</v>
      </c>
      <c r="K32" s="22">
        <v>1</v>
      </c>
      <c r="L32" s="22">
        <v>2</v>
      </c>
      <c r="M32" s="22"/>
      <c r="N32" s="22"/>
      <c r="O32" s="22"/>
      <c r="P32" s="22"/>
      <c r="Q32" s="22"/>
      <c r="R32" s="22"/>
      <c r="S32" s="23">
        <v>2</v>
      </c>
      <c r="T32" s="24">
        <v>1</v>
      </c>
      <c r="U32" s="25" t="s">
        <v>107</v>
      </c>
      <c r="V32" s="11" t="s">
        <v>108</v>
      </c>
      <c r="W32" s="26" t="str">
        <f>IF(OR(BD_ESTADISTICA_INF_B[[#This Row],[Jugador]]="eudald",BD_ESTADISTICA_INF_B[[#This Row],[Jugador]]="jules",BD_ESTADISTICA_INF_B[[#This Row],[Jugador]]="JAN"),"PORTERO","JUGADOR")</f>
        <v>JUGADOR</v>
      </c>
      <c r="X32" s="26">
        <f>IF(BD_ESTADISTICA_INF_B[[#This Row],[POSICION]]="jugador",BD_ESTADISTICA_INF_B[[#This Row],[Goles]],0)</f>
        <v>2</v>
      </c>
      <c r="Y32" s="26">
        <f>IF(BD_ESTADISTICA_INF_B[[#This Row],[POSICION]]="portero",BD_ESTADISTICA_INF_B[[#This Row],[Lanzam.]]-BD_ESTADISTICA_INF_B[[#This Row],[Paradas]],0)</f>
        <v>0</v>
      </c>
      <c r="Z32" s="26">
        <f>IF(BD_ESTADISTICA_INF_B[[#This Row],[POSICION]]="jugador",BD_ESTADISTICA_INF_B[[#This Row],[Lanzam.]],0)</f>
        <v>4</v>
      </c>
      <c r="AA32" s="26">
        <f>IF(BD_ESTADISTICA_INF_B[[#This Row],[POSICION]]="portero",BD_ESTADISTICA_INF_B[[#This Row],[Lanzam.]],0)</f>
        <v>0</v>
      </c>
    </row>
    <row r="33" spans="1:27">
      <c r="A33" s="21" t="s">
        <v>27</v>
      </c>
      <c r="B33" s="21"/>
      <c r="C33" s="22">
        <v>6</v>
      </c>
      <c r="D33" s="22"/>
      <c r="E33" s="22">
        <v>8</v>
      </c>
      <c r="F33" s="8">
        <f>IF(BD_ESTADISTICA_INF_B[[#This Row],[Lanzam.]]="","",IF(BD_ESTADISTICA_INF_B[[#This Row],[POSICION]]="jugador",C33/E33,D33/E33))</f>
        <v>0.75</v>
      </c>
      <c r="G33" s="45">
        <v>2</v>
      </c>
      <c r="H33" s="45">
        <v>2</v>
      </c>
      <c r="I33" s="46">
        <f>IF(BD_ESTADISTICA_INF_B[[#This Row],[Lanzam. 7m]]="","",BD_ESTADISTICA_INF_B[[#This Row],[Goles 7m]]/BD_ESTADISTICA_INF_B[[#This Row],[Lanzam. 7m]])</f>
        <v>1</v>
      </c>
      <c r="J33" s="22"/>
      <c r="K33" s="22">
        <v>1</v>
      </c>
      <c r="L33" s="22"/>
      <c r="M33" s="22"/>
      <c r="N33" s="22"/>
      <c r="O33" s="22"/>
      <c r="P33" s="22">
        <v>9</v>
      </c>
      <c r="Q33" s="22"/>
      <c r="R33" s="22"/>
      <c r="S33" s="23">
        <v>2</v>
      </c>
      <c r="T33" s="24">
        <v>1</v>
      </c>
      <c r="U33" s="25" t="s">
        <v>107</v>
      </c>
      <c r="V33" s="11" t="s">
        <v>108</v>
      </c>
      <c r="W33" s="26" t="str">
        <f>IF(OR(BD_ESTADISTICA_INF_B[[#This Row],[Jugador]]="eudald",BD_ESTADISTICA_INF_B[[#This Row],[Jugador]]="jules",BD_ESTADISTICA_INF_B[[#This Row],[Jugador]]="JAN"),"PORTERO","JUGADOR")</f>
        <v>JUGADOR</v>
      </c>
      <c r="X33" s="26">
        <f>IF(BD_ESTADISTICA_INF_B[[#This Row],[POSICION]]="jugador",BD_ESTADISTICA_INF_B[[#This Row],[Goles]],0)</f>
        <v>6</v>
      </c>
      <c r="Y33" s="26">
        <f>IF(BD_ESTADISTICA_INF_B[[#This Row],[POSICION]]="portero",BD_ESTADISTICA_INF_B[[#This Row],[Lanzam.]]-BD_ESTADISTICA_INF_B[[#This Row],[Paradas]],0)</f>
        <v>0</v>
      </c>
      <c r="Z33" s="26">
        <f>IF(BD_ESTADISTICA_INF_B[[#This Row],[POSICION]]="jugador",BD_ESTADISTICA_INF_B[[#This Row],[Lanzam.]],0)</f>
        <v>8</v>
      </c>
      <c r="AA33" s="26">
        <f>IF(BD_ESTADISTICA_INF_B[[#This Row],[POSICION]]="portero",BD_ESTADISTICA_INF_B[[#This Row],[Lanzam.]],0)</f>
        <v>0</v>
      </c>
    </row>
    <row r="34" spans="1:27">
      <c r="A34" s="21" t="s">
        <v>28</v>
      </c>
      <c r="B34" s="21"/>
      <c r="C34" s="22">
        <v>7</v>
      </c>
      <c r="D34" s="22"/>
      <c r="E34" s="22">
        <v>7</v>
      </c>
      <c r="F34" s="8">
        <f>IF(BD_ESTADISTICA_INF_B[[#This Row],[Lanzam.]]="","",IF(BD_ESTADISTICA_INF_B[[#This Row],[POSICION]]="jugador",C34/E34,D34/E34))</f>
        <v>1</v>
      </c>
      <c r="G34" s="45"/>
      <c r="H34" s="45"/>
      <c r="I34" s="46" t="str">
        <f>IF(BD_ESTADISTICA_INF_B[[#This Row],[Lanzam. 7m]]="","",BD_ESTADISTICA_INF_B[[#This Row],[Goles 7m]]/BD_ESTADISTICA_INF_B[[#This Row],[Lanzam. 7m]])</f>
        <v/>
      </c>
      <c r="J34" s="22">
        <v>3</v>
      </c>
      <c r="K34" s="22"/>
      <c r="L34" s="22">
        <v>1</v>
      </c>
      <c r="M34" s="22"/>
      <c r="N34" s="22"/>
      <c r="O34" s="22">
        <v>1</v>
      </c>
      <c r="P34" s="22">
        <v>1</v>
      </c>
      <c r="Q34" s="22">
        <v>1</v>
      </c>
      <c r="R34" s="22"/>
      <c r="S34" s="23">
        <v>2</v>
      </c>
      <c r="T34" s="24">
        <v>1</v>
      </c>
      <c r="U34" s="25" t="s">
        <v>107</v>
      </c>
      <c r="V34" s="11" t="s">
        <v>108</v>
      </c>
      <c r="W34" s="26" t="str">
        <f>IF(OR(BD_ESTADISTICA_INF_B[[#This Row],[Jugador]]="eudald",BD_ESTADISTICA_INF_B[[#This Row],[Jugador]]="jules",BD_ESTADISTICA_INF_B[[#This Row],[Jugador]]="JAN"),"PORTERO","JUGADOR")</f>
        <v>JUGADOR</v>
      </c>
      <c r="X34" s="26">
        <f>IF(BD_ESTADISTICA_INF_B[[#This Row],[POSICION]]="jugador",BD_ESTADISTICA_INF_B[[#This Row],[Goles]],0)</f>
        <v>7</v>
      </c>
      <c r="Y34" s="26">
        <f>IF(BD_ESTADISTICA_INF_B[[#This Row],[POSICION]]="portero",BD_ESTADISTICA_INF_B[[#This Row],[Lanzam.]]-BD_ESTADISTICA_INF_B[[#This Row],[Paradas]],0)</f>
        <v>0</v>
      </c>
      <c r="Z34" s="26">
        <f>IF(BD_ESTADISTICA_INF_B[[#This Row],[POSICION]]="jugador",BD_ESTADISTICA_INF_B[[#This Row],[Lanzam.]],0)</f>
        <v>7</v>
      </c>
      <c r="AA34" s="26">
        <f>IF(BD_ESTADISTICA_INF_B[[#This Row],[POSICION]]="portero",BD_ESTADISTICA_INF_B[[#This Row],[Lanzam.]],0)</f>
        <v>0</v>
      </c>
    </row>
    <row r="35" spans="1:27">
      <c r="A35" s="34" t="s">
        <v>31</v>
      </c>
      <c r="B35" s="21"/>
      <c r="C35" s="22"/>
      <c r="D35" s="22">
        <v>2</v>
      </c>
      <c r="E35" s="22">
        <v>16</v>
      </c>
      <c r="F35" s="8">
        <f>IF(BD_ESTADISTICA_INF_B[[#This Row],[Lanzam.]]="","",IF(BD_ESTADISTICA_INF_B[[#This Row],[POSICION]]="jugador",C35/E35,D35/E35))</f>
        <v>0.125</v>
      </c>
      <c r="G35" s="45"/>
      <c r="H35" s="45"/>
      <c r="I35" s="46" t="str">
        <f>IF(BD_ESTADISTICA_INF_B[[#This Row],[Lanzam. 7m]]="","",BD_ESTADISTICA_INF_B[[#This Row],[Goles 7m]]/BD_ESTADISTICA_INF_B[[#This Row],[Lanzam. 7m]])</f>
        <v/>
      </c>
      <c r="J35" s="22"/>
      <c r="K35" s="22"/>
      <c r="L35" s="22"/>
      <c r="M35" s="22"/>
      <c r="N35" s="22"/>
      <c r="O35" s="22"/>
      <c r="P35" s="22"/>
      <c r="Q35" s="22"/>
      <c r="R35" s="22"/>
      <c r="S35" s="23">
        <v>2</v>
      </c>
      <c r="T35" s="24">
        <v>1</v>
      </c>
      <c r="U35" s="25" t="s">
        <v>107</v>
      </c>
      <c r="V35" s="11" t="s">
        <v>108</v>
      </c>
      <c r="W35" s="26" t="str">
        <f>IF(OR(BD_ESTADISTICA_INF_B[[#This Row],[Jugador]]="eudald",BD_ESTADISTICA_INF_B[[#This Row],[Jugador]]="jules",BD_ESTADISTICA_INF_B[[#This Row],[Jugador]]="JAN"),"PORTERO","JUGADOR")</f>
        <v>PORTERO</v>
      </c>
      <c r="X35" s="26">
        <f>IF(BD_ESTADISTICA_INF_B[[#This Row],[POSICION]]="jugador",BD_ESTADISTICA_INF_B[[#This Row],[Goles]],0)</f>
        <v>0</v>
      </c>
      <c r="Y35" s="26">
        <f>IF(BD_ESTADISTICA_INF_B[[#This Row],[POSICION]]="portero",BD_ESTADISTICA_INF_B[[#This Row],[Lanzam.]]-BD_ESTADISTICA_INF_B[[#This Row],[Paradas]],0)</f>
        <v>14</v>
      </c>
      <c r="Z35" s="26">
        <f>IF(BD_ESTADISTICA_INF_B[[#This Row],[POSICION]]="jugador",BD_ESTADISTICA_INF_B[[#This Row],[Lanzam.]],0)</f>
        <v>0</v>
      </c>
      <c r="AA35" s="26">
        <f>IF(BD_ESTADISTICA_INF_B[[#This Row],[POSICION]]="portero",BD_ESTADISTICA_INF_B[[#This Row],[Lanzam.]],0)</f>
        <v>16</v>
      </c>
    </row>
    <row r="36" spans="1:27">
      <c r="A36" s="21" t="s">
        <v>29</v>
      </c>
      <c r="B36" s="21"/>
      <c r="C36" s="22"/>
      <c r="D36" s="22">
        <v>3</v>
      </c>
      <c r="E36" s="22">
        <v>19</v>
      </c>
      <c r="F36" s="8">
        <f>IF(BD_ESTADISTICA_INF_B[[#This Row],[Lanzam.]]="","",IF(BD_ESTADISTICA_INF_B[[#This Row],[POSICION]]="jugador",C36/E36,D36/E36))</f>
        <v>0.15789473684210525</v>
      </c>
      <c r="G36" s="45"/>
      <c r="H36" s="45"/>
      <c r="I36" s="46" t="str">
        <f>IF(BD_ESTADISTICA_INF_B[[#This Row],[Lanzam. 7m]]="","",BD_ESTADISTICA_INF_B[[#This Row],[Goles 7m]]/BD_ESTADISTICA_INF_B[[#This Row],[Lanzam. 7m]])</f>
        <v/>
      </c>
      <c r="J36" s="22">
        <v>1</v>
      </c>
      <c r="K36" s="22"/>
      <c r="L36" s="22"/>
      <c r="M36" s="22"/>
      <c r="N36" s="22"/>
      <c r="O36" s="22"/>
      <c r="P36" s="22"/>
      <c r="Q36" s="22"/>
      <c r="R36" s="22"/>
      <c r="S36" s="23">
        <v>2</v>
      </c>
      <c r="T36" s="24">
        <v>1</v>
      </c>
      <c r="U36" s="25" t="s">
        <v>107</v>
      </c>
      <c r="V36" s="11" t="s">
        <v>108</v>
      </c>
      <c r="W36" s="26" t="str">
        <f>IF(OR(BD_ESTADISTICA_INF_B[[#This Row],[Jugador]]="eudald",BD_ESTADISTICA_INF_B[[#This Row],[Jugador]]="jules",BD_ESTADISTICA_INF_B[[#This Row],[Jugador]]="JAN"),"PORTERO","JUGADOR")</f>
        <v>PORTERO</v>
      </c>
      <c r="X36" s="26">
        <f>IF(BD_ESTADISTICA_INF_B[[#This Row],[POSICION]]="jugador",BD_ESTADISTICA_INF_B[[#This Row],[Goles]],0)</f>
        <v>0</v>
      </c>
      <c r="Y36" s="26">
        <f>IF(BD_ESTADISTICA_INF_B[[#This Row],[POSICION]]="portero",BD_ESTADISTICA_INF_B[[#This Row],[Lanzam.]]-BD_ESTADISTICA_INF_B[[#This Row],[Paradas]],0)</f>
        <v>16</v>
      </c>
      <c r="Z36" s="26">
        <f>IF(BD_ESTADISTICA_INF_B[[#This Row],[POSICION]]="jugador",BD_ESTADISTICA_INF_B[[#This Row],[Lanzam.]],0)</f>
        <v>0</v>
      </c>
      <c r="AA36" s="26">
        <f>IF(BD_ESTADISTICA_INF_B[[#This Row],[POSICION]]="portero",BD_ESTADISTICA_INF_B[[#This Row],[Lanzam.]],0)</f>
        <v>19</v>
      </c>
    </row>
    <row r="37" spans="1:27">
      <c r="A37" s="21" t="s">
        <v>30</v>
      </c>
      <c r="B37" s="21"/>
      <c r="C37" s="22"/>
      <c r="D37" s="22">
        <v>2</v>
      </c>
      <c r="E37" s="22">
        <v>5</v>
      </c>
      <c r="F37" s="8">
        <f>IF(BD_ESTADISTICA_INF_B[[#This Row],[Lanzam.]]="","",IF(BD_ESTADISTICA_INF_B[[#This Row],[POSICION]]="jugador",C37/E37,D37/E37))</f>
        <v>0.4</v>
      </c>
      <c r="G37" s="45">
        <v>1</v>
      </c>
      <c r="H37" s="45">
        <v>1</v>
      </c>
      <c r="I37" s="46">
        <f>IF(BD_ESTADISTICA_INF_B[[#This Row],[Lanzam. 7m]]="","",BD_ESTADISTICA_INF_B[[#This Row],[Goles 7m]]/BD_ESTADISTICA_INF_B[[#This Row],[Lanzam. 7m]])</f>
        <v>1</v>
      </c>
      <c r="J37" s="22"/>
      <c r="K37" s="22"/>
      <c r="L37" s="22"/>
      <c r="M37" s="22"/>
      <c r="N37" s="22"/>
      <c r="O37" s="22"/>
      <c r="P37" s="22"/>
      <c r="Q37" s="22"/>
      <c r="R37" s="22"/>
      <c r="S37" s="23">
        <v>2</v>
      </c>
      <c r="T37" s="24">
        <v>1</v>
      </c>
      <c r="U37" s="25" t="s">
        <v>107</v>
      </c>
      <c r="V37" s="11" t="s">
        <v>108</v>
      </c>
      <c r="W37" s="26" t="str">
        <f>IF(OR(BD_ESTADISTICA_INF_B[[#This Row],[Jugador]]="eudald",BD_ESTADISTICA_INF_B[[#This Row],[Jugador]]="jules",BD_ESTADISTICA_INF_B[[#This Row],[Jugador]]="JAN"),"PORTERO","JUGADOR")</f>
        <v>PORTERO</v>
      </c>
      <c r="X37" s="26">
        <f>IF(BD_ESTADISTICA_INF_B[[#This Row],[POSICION]]="jugador",BD_ESTADISTICA_INF_B[[#This Row],[Goles]],0)</f>
        <v>0</v>
      </c>
      <c r="Y37" s="26">
        <f>IF(BD_ESTADISTICA_INF_B[[#This Row],[POSICION]]="portero",BD_ESTADISTICA_INF_B[[#This Row],[Lanzam.]]-BD_ESTADISTICA_INF_B[[#This Row],[Paradas]],0)</f>
        <v>3</v>
      </c>
      <c r="Z37" s="26">
        <f>IF(BD_ESTADISTICA_INF_B[[#This Row],[POSICION]]="jugador",BD_ESTADISTICA_INF_B[[#This Row],[Lanzam.]],0)</f>
        <v>0</v>
      </c>
      <c r="AA37" s="26">
        <f>IF(BD_ESTADISTICA_INF_B[[#This Row],[POSICION]]="portero",BD_ESTADISTICA_INF_B[[#This Row],[Lanzam.]],0)</f>
        <v>5</v>
      </c>
    </row>
    <row r="38" spans="1:27">
      <c r="A38" s="21" t="s">
        <v>42</v>
      </c>
      <c r="B38" s="21"/>
      <c r="C38" s="22"/>
      <c r="D38" s="22"/>
      <c r="E38" s="22"/>
      <c r="F38" s="8" t="str">
        <f>IF(BD_ESTADISTICA_INF_B[[#This Row],[Lanzam.]]="","",IF(BD_ESTADISTICA_INF_B[[#This Row],[POSICION]]="jugador",C38/E38,D38/E38))</f>
        <v/>
      </c>
      <c r="G38" s="45"/>
      <c r="H38" s="45"/>
      <c r="I38" s="46" t="str">
        <f>IF(BD_ESTADISTICA_INF_B[[#This Row],[Lanzam. 7m]]="","",BD_ESTADISTICA_INF_B[[#This Row],[Goles 7m]]/BD_ESTADISTICA_INF_B[[#This Row],[Lanzam. 7m]])</f>
        <v/>
      </c>
      <c r="J38" s="22"/>
      <c r="K38" s="22"/>
      <c r="L38" s="22"/>
      <c r="M38" s="22"/>
      <c r="N38" s="22"/>
      <c r="O38" s="22"/>
      <c r="P38" s="22"/>
      <c r="Q38" s="22"/>
      <c r="R38" s="22"/>
      <c r="S38" s="23">
        <v>2</v>
      </c>
      <c r="T38" s="24">
        <v>1</v>
      </c>
      <c r="U38" s="25" t="s">
        <v>107</v>
      </c>
      <c r="V38" s="11" t="s">
        <v>108</v>
      </c>
      <c r="W38" s="26" t="str">
        <f>IF(OR(BD_ESTADISTICA_INF_B[[#This Row],[Jugador]]="eudald",BD_ESTADISTICA_INF_B[[#This Row],[Jugador]]="jules",BD_ESTADISTICA_INF_B[[#This Row],[Jugador]]="JAN"),"PORTERO","JUGADOR")</f>
        <v>JUGADOR</v>
      </c>
      <c r="X38" s="26">
        <f>IF(BD_ESTADISTICA_INF_B[[#This Row],[POSICION]]="jugador",BD_ESTADISTICA_INF_B[[#This Row],[Goles]],0)</f>
        <v>0</v>
      </c>
      <c r="Y38" s="26">
        <f>IF(BD_ESTADISTICA_INF_B[[#This Row],[POSICION]]="portero",BD_ESTADISTICA_INF_B[[#This Row],[Lanzam.]]-BD_ESTADISTICA_INF_B[[#This Row],[Paradas]],0)</f>
        <v>0</v>
      </c>
      <c r="Z38" s="26">
        <f>IF(BD_ESTADISTICA_INF_B[[#This Row],[POSICION]]="jugador",BD_ESTADISTICA_INF_B[[#This Row],[Lanzam.]],0)</f>
        <v>0</v>
      </c>
      <c r="AA38" s="26">
        <f>IF(BD_ESTADISTICA_INF_B[[#This Row],[POSICION]]="portero",BD_ESTADISTICA_INF_B[[#This Row],[Lanzam.]],0)</f>
        <v>0</v>
      </c>
    </row>
    <row r="39" spans="1:27">
      <c r="A39" s="21" t="s">
        <v>22</v>
      </c>
      <c r="B39" s="21"/>
      <c r="C39" s="22"/>
      <c r="D39" s="22"/>
      <c r="E39" s="22"/>
      <c r="F39" s="8" t="str">
        <f>IF(BD_ESTADISTICA_INF_B[[#This Row],[Lanzam.]]="","",IF(BD_ESTADISTICA_INF_B[[#This Row],[POSICION]]="jugador",C39/E39,D39/E39))</f>
        <v/>
      </c>
      <c r="G39" s="45"/>
      <c r="H39" s="45"/>
      <c r="I39" s="46" t="str">
        <f>IF(BD_ESTADISTICA_INF_B[[#This Row],[Lanzam. 7m]]="","",BD_ESTADISTICA_INF_B[[#This Row],[Goles 7m]]/BD_ESTADISTICA_INF_B[[#This Row],[Lanzam. 7m]])</f>
        <v/>
      </c>
      <c r="J39" s="22"/>
      <c r="K39" s="22"/>
      <c r="L39" s="22"/>
      <c r="M39" s="22"/>
      <c r="N39" s="22"/>
      <c r="O39" s="22"/>
      <c r="P39" s="22"/>
      <c r="Q39" s="22"/>
      <c r="R39" s="22"/>
      <c r="S39" s="23">
        <v>2</v>
      </c>
      <c r="T39" s="24">
        <v>1</v>
      </c>
      <c r="U39" s="25" t="s">
        <v>107</v>
      </c>
      <c r="V39" s="11" t="s">
        <v>108</v>
      </c>
      <c r="W39" s="26" t="str">
        <f>IF(OR(BD_ESTADISTICA_INF_B[[#This Row],[Jugador]]="eudald",BD_ESTADISTICA_INF_B[[#This Row],[Jugador]]="jules",BD_ESTADISTICA_INF_B[[#This Row],[Jugador]]="JAN"),"PORTERO","JUGADOR")</f>
        <v>JUGADOR</v>
      </c>
      <c r="X39" s="26">
        <f>IF(BD_ESTADISTICA_INF_B[[#This Row],[POSICION]]="jugador",BD_ESTADISTICA_INF_B[[#This Row],[Goles]],0)</f>
        <v>0</v>
      </c>
      <c r="Y39" s="26">
        <f>IF(BD_ESTADISTICA_INF_B[[#This Row],[POSICION]]="portero",BD_ESTADISTICA_INF_B[[#This Row],[Lanzam.]]-BD_ESTADISTICA_INF_B[[#This Row],[Paradas]],0)</f>
        <v>0</v>
      </c>
      <c r="Z39" s="26">
        <f>IF(BD_ESTADISTICA_INF_B[[#This Row],[POSICION]]="jugador",BD_ESTADISTICA_INF_B[[#This Row],[Lanzam.]],0)</f>
        <v>0</v>
      </c>
      <c r="AA39" s="26">
        <f>IF(BD_ESTADISTICA_INF_B[[#This Row],[POSICION]]="portero",BD_ESTADISTICA_INF_B[[#This Row],[Lanzam.]],0)</f>
        <v>0</v>
      </c>
    </row>
    <row r="40" spans="1:27" s="61" customFormat="1">
      <c r="A40" s="34" t="s">
        <v>16</v>
      </c>
      <c r="B40" s="34"/>
      <c r="C40" s="52"/>
      <c r="D40" s="52"/>
      <c r="E40" s="52"/>
      <c r="F40" s="53" t="str">
        <f>IF(BD_ESTADISTICA_INF_B[[#This Row],[Lanzam.]]="","",IF(BD_ESTADISTICA_INF_B[[#This Row],[POSICION]]="jugador",C40/E40,D40/E40))</f>
        <v/>
      </c>
      <c r="G40" s="54"/>
      <c r="H40" s="54"/>
      <c r="I40" s="55" t="str">
        <f>IF(BD_ESTADISTICA_INF_B[[#This Row],[Lanzam. 7m]]="","",BD_ESTADISTICA_INF_B[[#This Row],[Goles 7m]]/BD_ESTADISTICA_INF_B[[#This Row],[Lanzam. 7m]])</f>
        <v/>
      </c>
      <c r="J40" s="52"/>
      <c r="K40" s="52"/>
      <c r="L40" s="52"/>
      <c r="M40" s="52"/>
      <c r="N40" s="52"/>
      <c r="O40" s="52"/>
      <c r="P40" s="52"/>
      <c r="Q40" s="52"/>
      <c r="R40" s="52"/>
      <c r="S40" s="56">
        <v>3</v>
      </c>
      <c r="T40" s="57">
        <v>1</v>
      </c>
      <c r="U40" s="58" t="s">
        <v>79</v>
      </c>
      <c r="V40" s="59" t="s">
        <v>109</v>
      </c>
      <c r="W40" s="60" t="str">
        <f>IF(OR(BD_ESTADISTICA_INF_B[[#This Row],[Jugador]]="eudald",BD_ESTADISTICA_INF_B[[#This Row],[Jugador]]="jules",BD_ESTADISTICA_INF_B[[#This Row],[Jugador]]="JAN"),"PORTERO","JUGADOR")</f>
        <v>JUGADOR</v>
      </c>
      <c r="X40" s="60">
        <f>IF(BD_ESTADISTICA_INF_B[[#This Row],[POSICION]]="jugador",BD_ESTADISTICA_INF_B[[#This Row],[Goles]],0)</f>
        <v>0</v>
      </c>
      <c r="Y40" s="60">
        <f>IF(BD_ESTADISTICA_INF_B[[#This Row],[POSICION]]="portero",BD_ESTADISTICA_INF_B[[#This Row],[Lanzam.]]-BD_ESTADISTICA_INF_B[[#This Row],[Paradas]],0)</f>
        <v>0</v>
      </c>
      <c r="Z40" s="60">
        <f>IF(BD_ESTADISTICA_INF_B[[#This Row],[POSICION]]="jugador",BD_ESTADISTICA_INF_B[[#This Row],[Lanzam.]],0)</f>
        <v>0</v>
      </c>
      <c r="AA40" s="60">
        <f>IF(BD_ESTADISTICA_INF_B[[#This Row],[POSICION]]="portero",BD_ESTADISTICA_INF_B[[#This Row],[Lanzam.]],0)</f>
        <v>0</v>
      </c>
    </row>
    <row r="41" spans="1:27">
      <c r="A41" s="21" t="s">
        <v>17</v>
      </c>
      <c r="B41" s="21"/>
      <c r="C41" s="22">
        <v>0</v>
      </c>
      <c r="D41" s="22"/>
      <c r="E41" s="22">
        <v>2</v>
      </c>
      <c r="F41" s="8">
        <f>IF(BD_ESTADISTICA_INF_B[[#This Row],[Lanzam.]]="","",IF(BD_ESTADISTICA_INF_B[[#This Row],[POSICION]]="jugador",C41/E41,D41/E41))</f>
        <v>0</v>
      </c>
      <c r="G41" s="45"/>
      <c r="H41" s="45"/>
      <c r="I41" s="46" t="str">
        <f>IF(BD_ESTADISTICA_INF_B[[#This Row],[Lanzam. 7m]]="","",BD_ESTADISTICA_INF_B[[#This Row],[Goles 7m]]/BD_ESTADISTICA_INF_B[[#This Row],[Lanzam. 7m]])</f>
        <v/>
      </c>
      <c r="J41" s="22">
        <v>1</v>
      </c>
      <c r="K41" s="22"/>
      <c r="L41" s="22">
        <v>1</v>
      </c>
      <c r="M41" s="22"/>
      <c r="N41" s="22"/>
      <c r="O41" s="22"/>
      <c r="P41" s="22">
        <v>1</v>
      </c>
      <c r="Q41" s="22"/>
      <c r="R41" s="22"/>
      <c r="S41" s="23">
        <v>3</v>
      </c>
      <c r="T41" s="24">
        <v>1</v>
      </c>
      <c r="U41" s="25" t="s">
        <v>79</v>
      </c>
      <c r="V41" s="11" t="s">
        <v>109</v>
      </c>
      <c r="W41" s="26" t="str">
        <f>IF(OR(BD_ESTADISTICA_INF_B[[#This Row],[Jugador]]="eudald",BD_ESTADISTICA_INF_B[[#This Row],[Jugador]]="jules",BD_ESTADISTICA_INF_B[[#This Row],[Jugador]]="JAN"),"PORTERO","JUGADOR")</f>
        <v>JUGADOR</v>
      </c>
      <c r="X41" s="26">
        <f>IF(BD_ESTADISTICA_INF_B[[#This Row],[POSICION]]="jugador",BD_ESTADISTICA_INF_B[[#This Row],[Goles]],0)</f>
        <v>0</v>
      </c>
      <c r="Y41" s="26">
        <f>IF(BD_ESTADISTICA_INF_B[[#This Row],[POSICION]]="portero",BD_ESTADISTICA_INF_B[[#This Row],[Lanzam.]]-BD_ESTADISTICA_INF_B[[#This Row],[Paradas]],0)</f>
        <v>0</v>
      </c>
      <c r="Z41" s="26">
        <f>IF(BD_ESTADISTICA_INF_B[[#This Row],[POSICION]]="jugador",BD_ESTADISTICA_INF_B[[#This Row],[Lanzam.]],0)</f>
        <v>2</v>
      </c>
      <c r="AA41" s="26">
        <f>IF(BD_ESTADISTICA_INF_B[[#This Row],[POSICION]]="portero",BD_ESTADISTICA_INF_B[[#This Row],[Lanzam.]],0)</f>
        <v>0</v>
      </c>
    </row>
    <row r="42" spans="1:27">
      <c r="A42" s="34" t="s">
        <v>18</v>
      </c>
      <c r="B42" s="21"/>
      <c r="C42" s="22"/>
      <c r="D42" s="22"/>
      <c r="E42" s="22"/>
      <c r="F42" s="8" t="str">
        <f>IF(BD_ESTADISTICA_INF_B[[#This Row],[Lanzam.]]="","",IF(BD_ESTADISTICA_INF_B[[#This Row],[POSICION]]="jugador",C42/E42,D42/E42))</f>
        <v/>
      </c>
      <c r="G42" s="45"/>
      <c r="H42" s="45"/>
      <c r="I42" s="46" t="str">
        <f>IF(BD_ESTADISTICA_INF_B[[#This Row],[Lanzam. 7m]]="","",BD_ESTADISTICA_INF_B[[#This Row],[Goles 7m]]/BD_ESTADISTICA_INF_B[[#This Row],[Lanzam. 7m]])</f>
        <v/>
      </c>
      <c r="J42" s="22"/>
      <c r="K42" s="22"/>
      <c r="L42" s="22"/>
      <c r="M42" s="22"/>
      <c r="N42" s="22"/>
      <c r="O42" s="22"/>
      <c r="P42" s="22"/>
      <c r="Q42" s="22"/>
      <c r="R42" s="22"/>
      <c r="S42" s="23">
        <v>3</v>
      </c>
      <c r="T42" s="24">
        <v>1</v>
      </c>
      <c r="U42" s="25" t="s">
        <v>79</v>
      </c>
      <c r="V42" s="11" t="s">
        <v>109</v>
      </c>
      <c r="W42" s="26" t="str">
        <f>IF(OR(BD_ESTADISTICA_INF_B[[#This Row],[Jugador]]="eudald",BD_ESTADISTICA_INF_B[[#This Row],[Jugador]]="jules",BD_ESTADISTICA_INF_B[[#This Row],[Jugador]]="JAN"),"PORTERO","JUGADOR")</f>
        <v>JUGADOR</v>
      </c>
      <c r="X42" s="26">
        <f>IF(BD_ESTADISTICA_INF_B[[#This Row],[POSICION]]="jugador",BD_ESTADISTICA_INF_B[[#This Row],[Goles]],0)</f>
        <v>0</v>
      </c>
      <c r="Y42" s="26">
        <f>IF(BD_ESTADISTICA_INF_B[[#This Row],[POSICION]]="portero",BD_ESTADISTICA_INF_B[[#This Row],[Lanzam.]]-BD_ESTADISTICA_INF_B[[#This Row],[Paradas]],0)</f>
        <v>0</v>
      </c>
      <c r="Z42" s="26">
        <f>IF(BD_ESTADISTICA_INF_B[[#This Row],[POSICION]]="jugador",BD_ESTADISTICA_INF_B[[#This Row],[Lanzam.]],0)</f>
        <v>0</v>
      </c>
      <c r="AA42" s="26">
        <f>IF(BD_ESTADISTICA_INF_B[[#This Row],[POSICION]]="portero",BD_ESTADISTICA_INF_B[[#This Row],[Lanzam.]],0)</f>
        <v>0</v>
      </c>
    </row>
    <row r="43" spans="1:27">
      <c r="A43" s="21" t="s">
        <v>19</v>
      </c>
      <c r="B43" s="21"/>
      <c r="C43" s="22">
        <v>5</v>
      </c>
      <c r="D43" s="22"/>
      <c r="E43" s="22">
        <v>7</v>
      </c>
      <c r="F43" s="8">
        <f>IF(BD_ESTADISTICA_INF_B[[#This Row],[Lanzam.]]="","",IF(BD_ESTADISTICA_INF_B[[#This Row],[POSICION]]="jugador",C43/E43,D43/E43))</f>
        <v>0.7142857142857143</v>
      </c>
      <c r="G43" s="45"/>
      <c r="H43" s="45"/>
      <c r="I43" s="46" t="str">
        <f>IF(BD_ESTADISTICA_INF_B[[#This Row],[Lanzam. 7m]]="","",BD_ESTADISTICA_INF_B[[#This Row],[Goles 7m]]/BD_ESTADISTICA_INF_B[[#This Row],[Lanzam. 7m]])</f>
        <v/>
      </c>
      <c r="J43" s="22">
        <v>9</v>
      </c>
      <c r="K43" s="22"/>
      <c r="L43" s="22">
        <v>1</v>
      </c>
      <c r="M43" s="22"/>
      <c r="N43" s="22"/>
      <c r="O43" s="22"/>
      <c r="P43" s="22"/>
      <c r="Q43" s="22">
        <v>1</v>
      </c>
      <c r="R43" s="22">
        <v>1</v>
      </c>
      <c r="S43" s="23">
        <v>3</v>
      </c>
      <c r="T43" s="24">
        <v>1</v>
      </c>
      <c r="U43" s="25" t="s">
        <v>79</v>
      </c>
      <c r="V43" s="11" t="s">
        <v>109</v>
      </c>
      <c r="W43" s="26" t="str">
        <f>IF(OR(BD_ESTADISTICA_INF_B[[#This Row],[Jugador]]="eudald",BD_ESTADISTICA_INF_B[[#This Row],[Jugador]]="jules",BD_ESTADISTICA_INF_B[[#This Row],[Jugador]]="JAN"),"PORTERO","JUGADOR")</f>
        <v>JUGADOR</v>
      </c>
      <c r="X43" s="26">
        <f>IF(BD_ESTADISTICA_INF_B[[#This Row],[POSICION]]="jugador",BD_ESTADISTICA_INF_B[[#This Row],[Goles]],0)</f>
        <v>5</v>
      </c>
      <c r="Y43" s="26">
        <f>IF(BD_ESTADISTICA_INF_B[[#This Row],[POSICION]]="portero",BD_ESTADISTICA_INF_B[[#This Row],[Lanzam.]]-BD_ESTADISTICA_INF_B[[#This Row],[Paradas]],0)</f>
        <v>0</v>
      </c>
      <c r="Z43" s="26">
        <f>IF(BD_ESTADISTICA_INF_B[[#This Row],[POSICION]]="jugador",BD_ESTADISTICA_INF_B[[#This Row],[Lanzam.]],0)</f>
        <v>7</v>
      </c>
      <c r="AA43" s="26">
        <f>IF(BD_ESTADISTICA_INF_B[[#This Row],[POSICION]]="portero",BD_ESTADISTICA_INF_B[[#This Row],[Lanzam.]],0)</f>
        <v>0</v>
      </c>
    </row>
    <row r="44" spans="1:27">
      <c r="A44" s="34" t="s">
        <v>20</v>
      </c>
      <c r="B44" s="21"/>
      <c r="C44" s="22"/>
      <c r="D44" s="22"/>
      <c r="E44" s="22"/>
      <c r="F44" s="8" t="str">
        <f>IF(BD_ESTADISTICA_INF_B[[#This Row],[Lanzam.]]="","",IF(BD_ESTADISTICA_INF_B[[#This Row],[POSICION]]="jugador",C44/E44,D44/E44))</f>
        <v/>
      </c>
      <c r="G44" s="45"/>
      <c r="H44" s="45"/>
      <c r="I44" s="46" t="str">
        <f>IF(BD_ESTADISTICA_INF_B[[#This Row],[Lanzam. 7m]]="","",BD_ESTADISTICA_INF_B[[#This Row],[Goles 7m]]/BD_ESTADISTICA_INF_B[[#This Row],[Lanzam. 7m]])</f>
        <v/>
      </c>
      <c r="J44" s="22"/>
      <c r="K44" s="22"/>
      <c r="L44" s="22"/>
      <c r="M44" s="22"/>
      <c r="N44" s="22"/>
      <c r="O44" s="22"/>
      <c r="P44" s="22"/>
      <c r="Q44" s="22"/>
      <c r="R44" s="22"/>
      <c r="S44" s="23">
        <v>3</v>
      </c>
      <c r="T44" s="24">
        <v>1</v>
      </c>
      <c r="U44" s="25" t="s">
        <v>79</v>
      </c>
      <c r="V44" s="11" t="s">
        <v>109</v>
      </c>
      <c r="W44" s="26" t="str">
        <f>IF(OR(BD_ESTADISTICA_INF_B[[#This Row],[Jugador]]="eudald",BD_ESTADISTICA_INF_B[[#This Row],[Jugador]]="jules",BD_ESTADISTICA_INF_B[[#This Row],[Jugador]]="JAN"),"PORTERO","JUGADOR")</f>
        <v>JUGADOR</v>
      </c>
      <c r="X44" s="26">
        <f>IF(BD_ESTADISTICA_INF_B[[#This Row],[POSICION]]="jugador",BD_ESTADISTICA_INF_B[[#This Row],[Goles]],0)</f>
        <v>0</v>
      </c>
      <c r="Y44" s="26">
        <f>IF(BD_ESTADISTICA_INF_B[[#This Row],[POSICION]]="portero",BD_ESTADISTICA_INF_B[[#This Row],[Lanzam.]]-BD_ESTADISTICA_INF_B[[#This Row],[Paradas]],0)</f>
        <v>0</v>
      </c>
      <c r="Z44" s="26">
        <f>IF(BD_ESTADISTICA_INF_B[[#This Row],[POSICION]]="jugador",BD_ESTADISTICA_INF_B[[#This Row],[Lanzam.]],0)</f>
        <v>0</v>
      </c>
      <c r="AA44" s="26">
        <f>IF(BD_ESTADISTICA_INF_B[[#This Row],[POSICION]]="portero",BD_ESTADISTICA_INF_B[[#This Row],[Lanzam.]],0)</f>
        <v>0</v>
      </c>
    </row>
    <row r="45" spans="1:27">
      <c r="A45" s="21" t="s">
        <v>21</v>
      </c>
      <c r="B45" s="21"/>
      <c r="C45" s="22">
        <v>1</v>
      </c>
      <c r="D45" s="22"/>
      <c r="E45" s="22">
        <v>2</v>
      </c>
      <c r="F45" s="8">
        <f>IF(BD_ESTADISTICA_INF_B[[#This Row],[Lanzam.]]="","",IF(BD_ESTADISTICA_INF_B[[#This Row],[POSICION]]="jugador",C45/E45,D45/E45))</f>
        <v>0.5</v>
      </c>
      <c r="G45" s="45"/>
      <c r="H45" s="45"/>
      <c r="I45" s="46" t="str">
        <f>IF(BD_ESTADISTICA_INF_B[[#This Row],[Lanzam. 7m]]="","",BD_ESTADISTICA_INF_B[[#This Row],[Goles 7m]]/BD_ESTADISTICA_INF_B[[#This Row],[Lanzam. 7m]])</f>
        <v/>
      </c>
      <c r="J45" s="22">
        <v>1</v>
      </c>
      <c r="K45" s="22"/>
      <c r="L45" s="22"/>
      <c r="M45" s="22"/>
      <c r="N45" s="22"/>
      <c r="O45" s="22"/>
      <c r="P45" s="22"/>
      <c r="Q45" s="22"/>
      <c r="R45" s="22"/>
      <c r="S45" s="23">
        <v>3</v>
      </c>
      <c r="T45" s="24">
        <v>1</v>
      </c>
      <c r="U45" s="25" t="s">
        <v>79</v>
      </c>
      <c r="V45" s="11" t="s">
        <v>109</v>
      </c>
      <c r="W45" s="26" t="str">
        <f>IF(OR(BD_ESTADISTICA_INF_B[[#This Row],[Jugador]]="eudald",BD_ESTADISTICA_INF_B[[#This Row],[Jugador]]="jules",BD_ESTADISTICA_INF_B[[#This Row],[Jugador]]="JAN"),"PORTERO","JUGADOR")</f>
        <v>JUGADOR</v>
      </c>
      <c r="X45" s="26">
        <f>IF(BD_ESTADISTICA_INF_B[[#This Row],[POSICION]]="jugador",BD_ESTADISTICA_INF_B[[#This Row],[Goles]],0)</f>
        <v>1</v>
      </c>
      <c r="Y45" s="26">
        <f>IF(BD_ESTADISTICA_INF_B[[#This Row],[POSICION]]="portero",BD_ESTADISTICA_INF_B[[#This Row],[Lanzam.]]-BD_ESTADISTICA_INF_B[[#This Row],[Paradas]],0)</f>
        <v>0</v>
      </c>
      <c r="Z45" s="26">
        <f>IF(BD_ESTADISTICA_INF_B[[#This Row],[POSICION]]="jugador",BD_ESTADISTICA_INF_B[[#This Row],[Lanzam.]],0)</f>
        <v>2</v>
      </c>
      <c r="AA45" s="26">
        <f>IF(BD_ESTADISTICA_INF_B[[#This Row],[POSICION]]="portero",BD_ESTADISTICA_INF_B[[#This Row],[Lanzam.]],0)</f>
        <v>0</v>
      </c>
    </row>
    <row r="46" spans="1:27">
      <c r="A46" s="21" t="s">
        <v>40</v>
      </c>
      <c r="B46" s="21"/>
      <c r="C46" s="22">
        <v>2</v>
      </c>
      <c r="D46" s="22"/>
      <c r="E46" s="22">
        <v>5</v>
      </c>
      <c r="F46" s="8">
        <f>IF(BD_ESTADISTICA_INF_B[[#This Row],[Lanzam.]]="","",IF(BD_ESTADISTICA_INF_B[[#This Row],[POSICION]]="jugador",C46/E46,D46/E46))</f>
        <v>0.4</v>
      </c>
      <c r="G46" s="45"/>
      <c r="H46" s="45"/>
      <c r="I46" s="46" t="str">
        <f>IF(BD_ESTADISTICA_INF_B[[#This Row],[Lanzam. 7m]]="","",BD_ESTADISTICA_INF_B[[#This Row],[Goles 7m]]/BD_ESTADISTICA_INF_B[[#This Row],[Lanzam. 7m]])</f>
        <v/>
      </c>
      <c r="J46" s="22"/>
      <c r="K46" s="22">
        <v>1</v>
      </c>
      <c r="L46" s="22">
        <v>2</v>
      </c>
      <c r="M46" s="22"/>
      <c r="N46" s="22"/>
      <c r="O46" s="22"/>
      <c r="P46" s="22">
        <v>1</v>
      </c>
      <c r="Q46" s="22">
        <v>1</v>
      </c>
      <c r="R46" s="22">
        <v>1</v>
      </c>
      <c r="S46" s="23">
        <v>3</v>
      </c>
      <c r="T46" s="24">
        <v>1</v>
      </c>
      <c r="U46" s="25" t="s">
        <v>79</v>
      </c>
      <c r="V46" s="11" t="s">
        <v>109</v>
      </c>
      <c r="W46" s="26" t="str">
        <f>IF(OR(BD_ESTADISTICA_INF_B[[#This Row],[Jugador]]="eudald",BD_ESTADISTICA_INF_B[[#This Row],[Jugador]]="jules",BD_ESTADISTICA_INF_B[[#This Row],[Jugador]]="JAN"),"PORTERO","JUGADOR")</f>
        <v>JUGADOR</v>
      </c>
      <c r="X46" s="26">
        <f>IF(BD_ESTADISTICA_INF_B[[#This Row],[POSICION]]="jugador",BD_ESTADISTICA_INF_B[[#This Row],[Goles]],0)</f>
        <v>2</v>
      </c>
      <c r="Y46" s="26">
        <f>IF(BD_ESTADISTICA_INF_B[[#This Row],[POSICION]]="portero",BD_ESTADISTICA_INF_B[[#This Row],[Lanzam.]]-BD_ESTADISTICA_INF_B[[#This Row],[Paradas]],0)</f>
        <v>0</v>
      </c>
      <c r="Z46" s="26">
        <f>IF(BD_ESTADISTICA_INF_B[[#This Row],[POSICION]]="jugador",BD_ESTADISTICA_INF_B[[#This Row],[Lanzam.]],0)</f>
        <v>5</v>
      </c>
      <c r="AA46" s="26">
        <f>IF(BD_ESTADISTICA_INF_B[[#This Row],[POSICION]]="portero",BD_ESTADISTICA_INF_B[[#This Row],[Lanzam.]],0)</f>
        <v>0</v>
      </c>
    </row>
    <row r="47" spans="1:27">
      <c r="A47" s="21" t="s">
        <v>41</v>
      </c>
      <c r="B47" s="21"/>
      <c r="C47" s="22">
        <v>3</v>
      </c>
      <c r="D47" s="22"/>
      <c r="E47" s="22">
        <v>4</v>
      </c>
      <c r="F47" s="8">
        <f>IF(BD_ESTADISTICA_INF_B[[#This Row],[Lanzam.]]="","",IF(BD_ESTADISTICA_INF_B[[#This Row],[POSICION]]="jugador",C47/E47,D47/E47))</f>
        <v>0.75</v>
      </c>
      <c r="G47" s="45"/>
      <c r="H47" s="45"/>
      <c r="I47" s="46" t="str">
        <f>IF(BD_ESTADISTICA_INF_B[[#This Row],[Lanzam. 7m]]="","",BD_ESTADISTICA_INF_B[[#This Row],[Goles 7m]]/BD_ESTADISTICA_INF_B[[#This Row],[Lanzam. 7m]])</f>
        <v/>
      </c>
      <c r="J47" s="22"/>
      <c r="K47" s="22"/>
      <c r="L47" s="22"/>
      <c r="M47" s="22"/>
      <c r="N47" s="22"/>
      <c r="O47" s="22"/>
      <c r="P47" s="22"/>
      <c r="Q47" s="22"/>
      <c r="R47" s="22"/>
      <c r="S47" s="23">
        <v>3</v>
      </c>
      <c r="T47" s="24">
        <v>1</v>
      </c>
      <c r="U47" s="25" t="s">
        <v>79</v>
      </c>
      <c r="V47" s="11" t="s">
        <v>109</v>
      </c>
      <c r="W47" s="26" t="str">
        <f>IF(OR(BD_ESTADISTICA_INF_B[[#This Row],[Jugador]]="eudald",BD_ESTADISTICA_INF_B[[#This Row],[Jugador]]="jules",BD_ESTADISTICA_INF_B[[#This Row],[Jugador]]="JAN"),"PORTERO","JUGADOR")</f>
        <v>JUGADOR</v>
      </c>
      <c r="X47" s="26">
        <f>IF(BD_ESTADISTICA_INF_B[[#This Row],[POSICION]]="jugador",BD_ESTADISTICA_INF_B[[#This Row],[Goles]],0)</f>
        <v>3</v>
      </c>
      <c r="Y47" s="26">
        <f>IF(BD_ESTADISTICA_INF_B[[#This Row],[POSICION]]="portero",BD_ESTADISTICA_INF_B[[#This Row],[Lanzam.]]-BD_ESTADISTICA_INF_B[[#This Row],[Paradas]],0)</f>
        <v>0</v>
      </c>
      <c r="Z47" s="26">
        <f>IF(BD_ESTADISTICA_INF_B[[#This Row],[POSICION]]="jugador",BD_ESTADISTICA_INF_B[[#This Row],[Lanzam.]],0)</f>
        <v>4</v>
      </c>
      <c r="AA47" s="26">
        <f>IF(BD_ESTADISTICA_INF_B[[#This Row],[POSICION]]="portero",BD_ESTADISTICA_INF_B[[#This Row],[Lanzam.]],0)</f>
        <v>0</v>
      </c>
    </row>
    <row r="48" spans="1:27">
      <c r="A48" s="21" t="s">
        <v>23</v>
      </c>
      <c r="B48" s="21"/>
      <c r="C48" s="22">
        <v>3</v>
      </c>
      <c r="D48" s="22"/>
      <c r="E48" s="22">
        <v>9</v>
      </c>
      <c r="F48" s="8">
        <f>IF(BD_ESTADISTICA_INF_B[[#This Row],[Lanzam.]]="","",IF(BD_ESTADISTICA_INF_B[[#This Row],[POSICION]]="jugador",C48/E48,D48/E48))</f>
        <v>0.33333333333333331</v>
      </c>
      <c r="G48" s="45">
        <v>1</v>
      </c>
      <c r="H48" s="45">
        <v>1</v>
      </c>
      <c r="I48" s="46">
        <f>IF(BD_ESTADISTICA_INF_B[[#This Row],[Lanzam. 7m]]="","",BD_ESTADISTICA_INF_B[[#This Row],[Goles 7m]]/BD_ESTADISTICA_INF_B[[#This Row],[Lanzam. 7m]])</f>
        <v>1</v>
      </c>
      <c r="J48" s="22">
        <v>2</v>
      </c>
      <c r="K48" s="22"/>
      <c r="L48" s="22">
        <v>4</v>
      </c>
      <c r="M48" s="22"/>
      <c r="N48" s="22"/>
      <c r="O48" s="22"/>
      <c r="P48" s="22">
        <v>1</v>
      </c>
      <c r="Q48" s="22"/>
      <c r="R48" s="22"/>
      <c r="S48" s="23">
        <v>3</v>
      </c>
      <c r="T48" s="24">
        <v>1</v>
      </c>
      <c r="U48" s="25" t="s">
        <v>79</v>
      </c>
      <c r="V48" s="11" t="s">
        <v>109</v>
      </c>
      <c r="W48" s="26" t="str">
        <f>IF(OR(BD_ESTADISTICA_INF_B[[#This Row],[Jugador]]="eudald",BD_ESTADISTICA_INF_B[[#This Row],[Jugador]]="jules",BD_ESTADISTICA_INF_B[[#This Row],[Jugador]]="JAN"),"PORTERO","JUGADOR")</f>
        <v>JUGADOR</v>
      </c>
      <c r="X48" s="26">
        <f>IF(BD_ESTADISTICA_INF_B[[#This Row],[POSICION]]="jugador",BD_ESTADISTICA_INF_B[[#This Row],[Goles]],0)</f>
        <v>3</v>
      </c>
      <c r="Y48" s="26">
        <f>IF(BD_ESTADISTICA_INF_B[[#This Row],[POSICION]]="portero",BD_ESTADISTICA_INF_B[[#This Row],[Lanzam.]]-BD_ESTADISTICA_INF_B[[#This Row],[Paradas]],0)</f>
        <v>0</v>
      </c>
      <c r="Z48" s="26">
        <f>IF(BD_ESTADISTICA_INF_B[[#This Row],[POSICION]]="jugador",BD_ESTADISTICA_INF_B[[#This Row],[Lanzam.]],0)</f>
        <v>9</v>
      </c>
      <c r="AA48" s="26">
        <f>IF(BD_ESTADISTICA_INF_B[[#This Row],[POSICION]]="portero",BD_ESTADISTICA_INF_B[[#This Row],[Lanzam.]],0)</f>
        <v>0</v>
      </c>
    </row>
    <row r="49" spans="1:27">
      <c r="A49" s="21" t="s">
        <v>24</v>
      </c>
      <c r="B49" s="21"/>
      <c r="C49" s="22">
        <v>3</v>
      </c>
      <c r="D49" s="22"/>
      <c r="E49" s="22">
        <v>3</v>
      </c>
      <c r="F49" s="8">
        <f>IF(BD_ESTADISTICA_INF_B[[#This Row],[Lanzam.]]="","",IF(BD_ESTADISTICA_INF_B[[#This Row],[POSICION]]="jugador",C49/E49,D49/E49))</f>
        <v>1</v>
      </c>
      <c r="G49" s="45"/>
      <c r="H49" s="45"/>
      <c r="I49" s="46" t="str">
        <f>IF(BD_ESTADISTICA_INF_B[[#This Row],[Lanzam. 7m]]="","",BD_ESTADISTICA_INF_B[[#This Row],[Goles 7m]]/BD_ESTADISTICA_INF_B[[#This Row],[Lanzam. 7m]])</f>
        <v/>
      </c>
      <c r="J49" s="22"/>
      <c r="K49" s="22"/>
      <c r="L49" s="22"/>
      <c r="M49" s="22"/>
      <c r="N49" s="22"/>
      <c r="O49" s="22"/>
      <c r="P49" s="22">
        <v>1</v>
      </c>
      <c r="Q49" s="22"/>
      <c r="R49" s="22"/>
      <c r="S49" s="23">
        <v>3</v>
      </c>
      <c r="T49" s="24">
        <v>1</v>
      </c>
      <c r="U49" s="25" t="s">
        <v>79</v>
      </c>
      <c r="V49" s="11" t="s">
        <v>109</v>
      </c>
      <c r="W49" s="26" t="str">
        <f>IF(OR(BD_ESTADISTICA_INF_B[[#This Row],[Jugador]]="eudald",BD_ESTADISTICA_INF_B[[#This Row],[Jugador]]="jules",BD_ESTADISTICA_INF_B[[#This Row],[Jugador]]="JAN"),"PORTERO","JUGADOR")</f>
        <v>JUGADOR</v>
      </c>
      <c r="X49" s="26">
        <f>IF(BD_ESTADISTICA_INF_B[[#This Row],[POSICION]]="jugador",BD_ESTADISTICA_INF_B[[#This Row],[Goles]],0)</f>
        <v>3</v>
      </c>
      <c r="Y49" s="26">
        <f>IF(BD_ESTADISTICA_INF_B[[#This Row],[POSICION]]="portero",BD_ESTADISTICA_INF_B[[#This Row],[Lanzam.]]-BD_ESTADISTICA_INF_B[[#This Row],[Paradas]],0)</f>
        <v>0</v>
      </c>
      <c r="Z49" s="26">
        <f>IF(BD_ESTADISTICA_INF_B[[#This Row],[POSICION]]="jugador",BD_ESTADISTICA_INF_B[[#This Row],[Lanzam.]],0)</f>
        <v>3</v>
      </c>
      <c r="AA49" s="26">
        <f>IF(BD_ESTADISTICA_INF_B[[#This Row],[POSICION]]="portero",BD_ESTADISTICA_INF_B[[#This Row],[Lanzam.]],0)</f>
        <v>0</v>
      </c>
    </row>
    <row r="50" spans="1:27">
      <c r="A50" s="21" t="s">
        <v>25</v>
      </c>
      <c r="B50" s="21"/>
      <c r="C50" s="22">
        <v>3</v>
      </c>
      <c r="D50" s="22"/>
      <c r="E50" s="22">
        <v>5</v>
      </c>
      <c r="F50" s="8">
        <f>IF(BD_ESTADISTICA_INF_B[[#This Row],[Lanzam.]]="","",IF(BD_ESTADISTICA_INF_B[[#This Row],[POSICION]]="jugador",C50/E50,D50/E50))</f>
        <v>0.6</v>
      </c>
      <c r="G50" s="45">
        <v>1</v>
      </c>
      <c r="H50" s="45">
        <v>1</v>
      </c>
      <c r="I50" s="46">
        <f>IF(BD_ESTADISTICA_INF_B[[#This Row],[Lanzam. 7m]]="","",BD_ESTADISTICA_INF_B[[#This Row],[Goles 7m]]/BD_ESTADISTICA_INF_B[[#This Row],[Lanzam. 7m]])</f>
        <v>1</v>
      </c>
      <c r="J50" s="22"/>
      <c r="K50" s="22"/>
      <c r="L50" s="22">
        <v>4</v>
      </c>
      <c r="M50" s="22"/>
      <c r="N50" s="22"/>
      <c r="O50" s="22"/>
      <c r="P50" s="22"/>
      <c r="Q50" s="22">
        <v>2</v>
      </c>
      <c r="R50" s="22">
        <v>2</v>
      </c>
      <c r="S50" s="23">
        <v>3</v>
      </c>
      <c r="T50" s="24">
        <v>1</v>
      </c>
      <c r="U50" s="25" t="s">
        <v>79</v>
      </c>
      <c r="V50" s="11" t="s">
        <v>109</v>
      </c>
      <c r="W50" s="26" t="str">
        <f>IF(OR(BD_ESTADISTICA_INF_B[[#This Row],[Jugador]]="eudald",BD_ESTADISTICA_INF_B[[#This Row],[Jugador]]="jules",BD_ESTADISTICA_INF_B[[#This Row],[Jugador]]="JAN"),"PORTERO","JUGADOR")</f>
        <v>JUGADOR</v>
      </c>
      <c r="X50" s="26">
        <f>IF(BD_ESTADISTICA_INF_B[[#This Row],[POSICION]]="jugador",BD_ESTADISTICA_INF_B[[#This Row],[Goles]],0)</f>
        <v>3</v>
      </c>
      <c r="Y50" s="26">
        <f>IF(BD_ESTADISTICA_INF_B[[#This Row],[POSICION]]="portero",BD_ESTADISTICA_INF_B[[#This Row],[Lanzam.]]-BD_ESTADISTICA_INF_B[[#This Row],[Paradas]],0)</f>
        <v>0</v>
      </c>
      <c r="Z50" s="26">
        <f>IF(BD_ESTADISTICA_INF_B[[#This Row],[POSICION]]="jugador",BD_ESTADISTICA_INF_B[[#This Row],[Lanzam.]],0)</f>
        <v>5</v>
      </c>
      <c r="AA50" s="26">
        <f>IF(BD_ESTADISTICA_INF_B[[#This Row],[POSICION]]="portero",BD_ESTADISTICA_INF_B[[#This Row],[Lanzam.]],0)</f>
        <v>0</v>
      </c>
    </row>
    <row r="51" spans="1:27">
      <c r="A51" s="21" t="s">
        <v>26</v>
      </c>
      <c r="B51" s="21"/>
      <c r="C51" s="22">
        <v>4</v>
      </c>
      <c r="D51" s="22"/>
      <c r="E51" s="22">
        <v>6</v>
      </c>
      <c r="F51" s="8">
        <f>IF(BD_ESTADISTICA_INF_B[[#This Row],[Lanzam.]]="","",IF(BD_ESTADISTICA_INF_B[[#This Row],[POSICION]]="jugador",C51/E51,D51/E51))</f>
        <v>0.66666666666666663</v>
      </c>
      <c r="G51" s="45"/>
      <c r="H51" s="45"/>
      <c r="I51" s="46" t="str">
        <f>IF(BD_ESTADISTICA_INF_B[[#This Row],[Lanzam. 7m]]="","",BD_ESTADISTICA_INF_B[[#This Row],[Goles 7m]]/BD_ESTADISTICA_INF_B[[#This Row],[Lanzam. 7m]])</f>
        <v/>
      </c>
      <c r="J51" s="22">
        <v>2</v>
      </c>
      <c r="K51" s="22">
        <v>2</v>
      </c>
      <c r="L51" s="22"/>
      <c r="M51" s="22"/>
      <c r="N51" s="22">
        <v>1</v>
      </c>
      <c r="O51" s="22">
        <v>1</v>
      </c>
      <c r="P51" s="22"/>
      <c r="Q51" s="22"/>
      <c r="R51" s="22">
        <v>1</v>
      </c>
      <c r="S51" s="23">
        <v>3</v>
      </c>
      <c r="T51" s="24">
        <v>1</v>
      </c>
      <c r="U51" s="25" t="s">
        <v>79</v>
      </c>
      <c r="V51" s="11" t="s">
        <v>109</v>
      </c>
      <c r="W51" s="26" t="str">
        <f>IF(OR(BD_ESTADISTICA_INF_B[[#This Row],[Jugador]]="eudald",BD_ESTADISTICA_INF_B[[#This Row],[Jugador]]="jules",BD_ESTADISTICA_INF_B[[#This Row],[Jugador]]="JAN"),"PORTERO","JUGADOR")</f>
        <v>JUGADOR</v>
      </c>
      <c r="X51" s="26">
        <f>IF(BD_ESTADISTICA_INF_B[[#This Row],[POSICION]]="jugador",BD_ESTADISTICA_INF_B[[#This Row],[Goles]],0)</f>
        <v>4</v>
      </c>
      <c r="Y51" s="26">
        <f>IF(BD_ESTADISTICA_INF_B[[#This Row],[POSICION]]="portero",BD_ESTADISTICA_INF_B[[#This Row],[Lanzam.]]-BD_ESTADISTICA_INF_B[[#This Row],[Paradas]],0)</f>
        <v>0</v>
      </c>
      <c r="Z51" s="26">
        <f>IF(BD_ESTADISTICA_INF_B[[#This Row],[POSICION]]="jugador",BD_ESTADISTICA_INF_B[[#This Row],[Lanzam.]],0)</f>
        <v>6</v>
      </c>
      <c r="AA51" s="26">
        <f>IF(BD_ESTADISTICA_INF_B[[#This Row],[POSICION]]="portero",BD_ESTADISTICA_INF_B[[#This Row],[Lanzam.]],0)</f>
        <v>0</v>
      </c>
    </row>
    <row r="52" spans="1:27">
      <c r="A52" s="21" t="s">
        <v>27</v>
      </c>
      <c r="B52" s="21"/>
      <c r="C52" s="22">
        <v>6</v>
      </c>
      <c r="D52" s="22"/>
      <c r="E52" s="22">
        <v>8</v>
      </c>
      <c r="F52" s="8">
        <f>IF(BD_ESTADISTICA_INF_B[[#This Row],[Lanzam.]]="","",IF(BD_ESTADISTICA_INF_B[[#This Row],[POSICION]]="jugador",C52/E52,D52/E52))</f>
        <v>0.75</v>
      </c>
      <c r="G52" s="45">
        <v>4</v>
      </c>
      <c r="H52" s="45">
        <v>4</v>
      </c>
      <c r="I52" s="46">
        <f>IF(BD_ESTADISTICA_INF_B[[#This Row],[Lanzam. 7m]]="","",BD_ESTADISTICA_INF_B[[#This Row],[Goles 7m]]/BD_ESTADISTICA_INF_B[[#This Row],[Lanzam. 7m]])</f>
        <v>1</v>
      </c>
      <c r="J52" s="22"/>
      <c r="K52" s="22"/>
      <c r="L52" s="22"/>
      <c r="M52" s="22"/>
      <c r="N52" s="22"/>
      <c r="O52" s="22"/>
      <c r="P52" s="22">
        <v>4</v>
      </c>
      <c r="Q52" s="22">
        <v>1</v>
      </c>
      <c r="R52" s="22">
        <v>1</v>
      </c>
      <c r="S52" s="23">
        <v>3</v>
      </c>
      <c r="T52" s="24">
        <v>1</v>
      </c>
      <c r="U52" s="25" t="s">
        <v>79</v>
      </c>
      <c r="V52" s="11" t="s">
        <v>109</v>
      </c>
      <c r="W52" s="26" t="str">
        <f>IF(OR(BD_ESTADISTICA_INF_B[[#This Row],[Jugador]]="eudald",BD_ESTADISTICA_INF_B[[#This Row],[Jugador]]="jules",BD_ESTADISTICA_INF_B[[#This Row],[Jugador]]="JAN"),"PORTERO","JUGADOR")</f>
        <v>JUGADOR</v>
      </c>
      <c r="X52" s="26">
        <f>IF(BD_ESTADISTICA_INF_B[[#This Row],[POSICION]]="jugador",BD_ESTADISTICA_INF_B[[#This Row],[Goles]],0)</f>
        <v>6</v>
      </c>
      <c r="Y52" s="26">
        <f>IF(BD_ESTADISTICA_INF_B[[#This Row],[POSICION]]="portero",BD_ESTADISTICA_INF_B[[#This Row],[Lanzam.]]-BD_ESTADISTICA_INF_B[[#This Row],[Paradas]],0)</f>
        <v>0</v>
      </c>
      <c r="Z52" s="26">
        <f>IF(BD_ESTADISTICA_INF_B[[#This Row],[POSICION]]="jugador",BD_ESTADISTICA_INF_B[[#This Row],[Lanzam.]],0)</f>
        <v>8</v>
      </c>
      <c r="AA52" s="26">
        <f>IF(BD_ESTADISTICA_INF_B[[#This Row],[POSICION]]="portero",BD_ESTADISTICA_INF_B[[#This Row],[Lanzam.]],0)</f>
        <v>0</v>
      </c>
    </row>
    <row r="53" spans="1:27">
      <c r="A53" s="34" t="s">
        <v>28</v>
      </c>
      <c r="B53" s="21"/>
      <c r="C53" s="22"/>
      <c r="D53" s="22"/>
      <c r="E53" s="22"/>
      <c r="F53" s="8" t="str">
        <f>IF(BD_ESTADISTICA_INF_B[[#This Row],[Lanzam.]]="","",IF(BD_ESTADISTICA_INF_B[[#This Row],[POSICION]]="jugador",C53/E53,D53/E53))</f>
        <v/>
      </c>
      <c r="G53" s="45"/>
      <c r="H53" s="45"/>
      <c r="I53" s="46" t="str">
        <f>IF(BD_ESTADISTICA_INF_B[[#This Row],[Lanzam. 7m]]="","",BD_ESTADISTICA_INF_B[[#This Row],[Goles 7m]]/BD_ESTADISTICA_INF_B[[#This Row],[Lanzam. 7m]])</f>
        <v/>
      </c>
      <c r="J53" s="22"/>
      <c r="K53" s="22"/>
      <c r="L53" s="22"/>
      <c r="M53" s="22"/>
      <c r="N53" s="22"/>
      <c r="O53" s="22"/>
      <c r="P53" s="22"/>
      <c r="Q53" s="22"/>
      <c r="R53" s="22"/>
      <c r="S53" s="23">
        <v>3</v>
      </c>
      <c r="T53" s="24">
        <v>1</v>
      </c>
      <c r="U53" s="25" t="s">
        <v>79</v>
      </c>
      <c r="V53" s="11" t="s">
        <v>109</v>
      </c>
      <c r="W53" s="26" t="str">
        <f>IF(OR(BD_ESTADISTICA_INF_B[[#This Row],[Jugador]]="eudald",BD_ESTADISTICA_INF_B[[#This Row],[Jugador]]="jules",BD_ESTADISTICA_INF_B[[#This Row],[Jugador]]="JAN"),"PORTERO","JUGADOR")</f>
        <v>JUGADOR</v>
      </c>
      <c r="X53" s="26">
        <f>IF(BD_ESTADISTICA_INF_B[[#This Row],[POSICION]]="jugador",BD_ESTADISTICA_INF_B[[#This Row],[Goles]],0)</f>
        <v>0</v>
      </c>
      <c r="Y53" s="26">
        <f>IF(BD_ESTADISTICA_INF_B[[#This Row],[POSICION]]="portero",BD_ESTADISTICA_INF_B[[#This Row],[Lanzam.]]-BD_ESTADISTICA_INF_B[[#This Row],[Paradas]],0)</f>
        <v>0</v>
      </c>
      <c r="Z53" s="26">
        <f>IF(BD_ESTADISTICA_INF_B[[#This Row],[POSICION]]="jugador",BD_ESTADISTICA_INF_B[[#This Row],[Lanzam.]],0)</f>
        <v>0</v>
      </c>
      <c r="AA53" s="26">
        <f>IF(BD_ESTADISTICA_INF_B[[#This Row],[POSICION]]="portero",BD_ESTADISTICA_INF_B[[#This Row],[Lanzam.]],0)</f>
        <v>0</v>
      </c>
    </row>
    <row r="54" spans="1:27">
      <c r="A54" s="21" t="s">
        <v>31</v>
      </c>
      <c r="B54" s="21"/>
      <c r="C54" s="22"/>
      <c r="D54" s="22">
        <v>1</v>
      </c>
      <c r="E54" s="22">
        <v>2</v>
      </c>
      <c r="F54" s="8">
        <f>IF(BD_ESTADISTICA_INF_B[[#This Row],[Lanzam.]]="","",IF(BD_ESTADISTICA_INF_B[[#This Row],[POSICION]]="jugador",C54/E54,D54/E54))</f>
        <v>0.5</v>
      </c>
      <c r="G54" s="45"/>
      <c r="H54" s="45"/>
      <c r="I54" s="46" t="str">
        <f>IF(BD_ESTADISTICA_INF_B[[#This Row],[Lanzam. 7m]]="","",BD_ESTADISTICA_INF_B[[#This Row],[Goles 7m]]/BD_ESTADISTICA_INF_B[[#This Row],[Lanzam. 7m]])</f>
        <v/>
      </c>
      <c r="J54" s="22"/>
      <c r="K54" s="22"/>
      <c r="L54" s="22"/>
      <c r="M54" s="22"/>
      <c r="N54" s="22"/>
      <c r="O54" s="22"/>
      <c r="P54" s="22"/>
      <c r="Q54" s="22"/>
      <c r="R54" s="22"/>
      <c r="S54" s="23">
        <v>3</v>
      </c>
      <c r="T54" s="24">
        <v>1</v>
      </c>
      <c r="U54" s="25" t="s">
        <v>79</v>
      </c>
      <c r="V54" s="11" t="s">
        <v>109</v>
      </c>
      <c r="W54" s="26" t="str">
        <f>IF(OR(BD_ESTADISTICA_INF_B[[#This Row],[Jugador]]="eudald",BD_ESTADISTICA_INF_B[[#This Row],[Jugador]]="jules",BD_ESTADISTICA_INF_B[[#This Row],[Jugador]]="JAN"),"PORTERO","JUGADOR")</f>
        <v>PORTERO</v>
      </c>
      <c r="X54" s="26">
        <f>IF(BD_ESTADISTICA_INF_B[[#This Row],[POSICION]]="jugador",BD_ESTADISTICA_INF_B[[#This Row],[Goles]],0)</f>
        <v>0</v>
      </c>
      <c r="Y54" s="26">
        <f>IF(BD_ESTADISTICA_INF_B[[#This Row],[POSICION]]="portero",BD_ESTADISTICA_INF_B[[#This Row],[Lanzam.]]-BD_ESTADISTICA_INF_B[[#This Row],[Paradas]],0)</f>
        <v>1</v>
      </c>
      <c r="Z54" s="26">
        <f>IF(BD_ESTADISTICA_INF_B[[#This Row],[POSICION]]="jugador",BD_ESTADISTICA_INF_B[[#This Row],[Lanzam.]],0)</f>
        <v>0</v>
      </c>
      <c r="AA54" s="26">
        <f>IF(BD_ESTADISTICA_INF_B[[#This Row],[POSICION]]="portero",BD_ESTADISTICA_INF_B[[#This Row],[Lanzam.]],0)</f>
        <v>2</v>
      </c>
    </row>
    <row r="55" spans="1:27">
      <c r="A55" s="21" t="s">
        <v>29</v>
      </c>
      <c r="B55" s="21"/>
      <c r="C55" s="22"/>
      <c r="D55" s="22">
        <v>10</v>
      </c>
      <c r="E55" s="22">
        <v>42</v>
      </c>
      <c r="F55" s="8">
        <f>IF(BD_ESTADISTICA_INF_B[[#This Row],[Lanzam.]]="","",IF(BD_ESTADISTICA_INF_B[[#This Row],[POSICION]]="jugador",C55/E55,D55/E55))</f>
        <v>0.23809523809523808</v>
      </c>
      <c r="G55" s="45"/>
      <c r="H55" s="45"/>
      <c r="I55" s="46" t="str">
        <f>IF(BD_ESTADISTICA_INF_B[[#This Row],[Lanzam. 7m]]="","",BD_ESTADISTICA_INF_B[[#This Row],[Goles 7m]]/BD_ESTADISTICA_INF_B[[#This Row],[Lanzam. 7m]])</f>
        <v/>
      </c>
      <c r="J55" s="22"/>
      <c r="K55" s="22"/>
      <c r="L55" s="22"/>
      <c r="M55" s="22"/>
      <c r="N55" s="22"/>
      <c r="O55" s="22"/>
      <c r="P55" s="22"/>
      <c r="Q55" s="22"/>
      <c r="R55" s="22"/>
      <c r="S55" s="23">
        <v>3</v>
      </c>
      <c r="T55" s="24">
        <v>1</v>
      </c>
      <c r="U55" s="25" t="s">
        <v>79</v>
      </c>
      <c r="V55" s="11" t="s">
        <v>109</v>
      </c>
      <c r="W55" s="26" t="str">
        <f>IF(OR(BD_ESTADISTICA_INF_B[[#This Row],[Jugador]]="eudald",BD_ESTADISTICA_INF_B[[#This Row],[Jugador]]="jules",BD_ESTADISTICA_INF_B[[#This Row],[Jugador]]="JAN"),"PORTERO","JUGADOR")</f>
        <v>PORTERO</v>
      </c>
      <c r="X55" s="26">
        <f>IF(BD_ESTADISTICA_INF_B[[#This Row],[POSICION]]="jugador",BD_ESTADISTICA_INF_B[[#This Row],[Goles]],0)</f>
        <v>0</v>
      </c>
      <c r="Y55" s="26">
        <f>IF(BD_ESTADISTICA_INF_B[[#This Row],[POSICION]]="portero",BD_ESTADISTICA_INF_B[[#This Row],[Lanzam.]]-BD_ESTADISTICA_INF_B[[#This Row],[Paradas]],0)</f>
        <v>32</v>
      </c>
      <c r="Z55" s="26">
        <f>IF(BD_ESTADISTICA_INF_B[[#This Row],[POSICION]]="jugador",BD_ESTADISTICA_INF_B[[#This Row],[Lanzam.]],0)</f>
        <v>0</v>
      </c>
      <c r="AA55" s="26">
        <f>IF(BD_ESTADISTICA_INF_B[[#This Row],[POSICION]]="portero",BD_ESTADISTICA_INF_B[[#This Row],[Lanzam.]],0)</f>
        <v>42</v>
      </c>
    </row>
    <row r="56" spans="1:27">
      <c r="A56" s="21" t="s">
        <v>30</v>
      </c>
      <c r="B56" s="21"/>
      <c r="C56" s="22"/>
      <c r="D56" s="22">
        <v>1</v>
      </c>
      <c r="E56" s="22">
        <v>11</v>
      </c>
      <c r="F56" s="8">
        <f>IF(BD_ESTADISTICA_INF_B[[#This Row],[Lanzam.]]="","",IF(BD_ESTADISTICA_INF_B[[#This Row],[POSICION]]="jugador",C56/E56,D56/E56))</f>
        <v>9.0909090909090912E-2</v>
      </c>
      <c r="G56" s="45"/>
      <c r="H56" s="45"/>
      <c r="I56" s="46" t="str">
        <f>IF(BD_ESTADISTICA_INF_B[[#This Row],[Lanzam. 7m]]="","",BD_ESTADISTICA_INF_B[[#This Row],[Goles 7m]]/BD_ESTADISTICA_INF_B[[#This Row],[Lanzam. 7m]])</f>
        <v/>
      </c>
      <c r="J56" s="22"/>
      <c r="K56" s="22"/>
      <c r="L56" s="22"/>
      <c r="M56" s="22"/>
      <c r="N56" s="22"/>
      <c r="O56" s="22"/>
      <c r="P56" s="22"/>
      <c r="Q56" s="22"/>
      <c r="R56" s="22"/>
      <c r="S56" s="23">
        <v>3</v>
      </c>
      <c r="T56" s="24">
        <v>1</v>
      </c>
      <c r="U56" s="25" t="s">
        <v>79</v>
      </c>
      <c r="V56" s="11" t="s">
        <v>109</v>
      </c>
      <c r="W56" s="26" t="str">
        <f>IF(OR(BD_ESTADISTICA_INF_B[[#This Row],[Jugador]]="eudald",BD_ESTADISTICA_INF_B[[#This Row],[Jugador]]="jules",BD_ESTADISTICA_INF_B[[#This Row],[Jugador]]="JAN"),"PORTERO","JUGADOR")</f>
        <v>PORTERO</v>
      </c>
      <c r="X56" s="26">
        <f>IF(BD_ESTADISTICA_INF_B[[#This Row],[POSICION]]="jugador",BD_ESTADISTICA_INF_B[[#This Row],[Goles]],0)</f>
        <v>0</v>
      </c>
      <c r="Y56" s="26">
        <f>IF(BD_ESTADISTICA_INF_B[[#This Row],[POSICION]]="portero",BD_ESTADISTICA_INF_B[[#This Row],[Lanzam.]]-BD_ESTADISTICA_INF_B[[#This Row],[Paradas]],0)</f>
        <v>10</v>
      </c>
      <c r="Z56" s="26">
        <f>IF(BD_ESTADISTICA_INF_B[[#This Row],[POSICION]]="jugador",BD_ESTADISTICA_INF_B[[#This Row],[Lanzam.]],0)</f>
        <v>0</v>
      </c>
      <c r="AA56" s="26">
        <f>IF(BD_ESTADISTICA_INF_B[[#This Row],[POSICION]]="portero",BD_ESTADISTICA_INF_B[[#This Row],[Lanzam.]],0)</f>
        <v>11</v>
      </c>
    </row>
    <row r="57" spans="1:27">
      <c r="A57" s="21" t="s">
        <v>42</v>
      </c>
      <c r="B57" s="21"/>
      <c r="C57" s="22">
        <v>1</v>
      </c>
      <c r="D57" s="22"/>
      <c r="E57" s="22">
        <v>2</v>
      </c>
      <c r="F57" s="8">
        <f>IF(BD_ESTADISTICA_INF_B[[#This Row],[Lanzam.]]="","",IF(BD_ESTADISTICA_INF_B[[#This Row],[POSICION]]="jugador",C57/E57,D57/E57))</f>
        <v>0.5</v>
      </c>
      <c r="G57" s="45"/>
      <c r="H57" s="45"/>
      <c r="I57" s="46" t="str">
        <f>IF(BD_ESTADISTICA_INF_B[[#This Row],[Lanzam. 7m]]="","",BD_ESTADISTICA_INF_B[[#This Row],[Goles 7m]]/BD_ESTADISTICA_INF_B[[#This Row],[Lanzam. 7m]])</f>
        <v/>
      </c>
      <c r="J57" s="22"/>
      <c r="K57" s="22"/>
      <c r="L57" s="22"/>
      <c r="M57" s="22"/>
      <c r="N57" s="22"/>
      <c r="O57" s="22"/>
      <c r="P57" s="22"/>
      <c r="Q57" s="22"/>
      <c r="R57" s="22"/>
      <c r="S57" s="23">
        <v>3</v>
      </c>
      <c r="T57" s="24">
        <v>1</v>
      </c>
      <c r="U57" s="25" t="s">
        <v>79</v>
      </c>
      <c r="V57" s="11" t="s">
        <v>109</v>
      </c>
      <c r="W57" s="26" t="str">
        <f>IF(OR(BD_ESTADISTICA_INF_B[[#This Row],[Jugador]]="eudald",BD_ESTADISTICA_INF_B[[#This Row],[Jugador]]="jules",BD_ESTADISTICA_INF_B[[#This Row],[Jugador]]="JAN"),"PORTERO","JUGADOR")</f>
        <v>JUGADOR</v>
      </c>
      <c r="X57" s="26">
        <f>IF(BD_ESTADISTICA_INF_B[[#This Row],[POSICION]]="jugador",BD_ESTADISTICA_INF_B[[#This Row],[Goles]],0)</f>
        <v>1</v>
      </c>
      <c r="Y57" s="26">
        <f>IF(BD_ESTADISTICA_INF_B[[#This Row],[POSICION]]="portero",BD_ESTADISTICA_INF_B[[#This Row],[Lanzam.]]-BD_ESTADISTICA_INF_B[[#This Row],[Paradas]],0)</f>
        <v>0</v>
      </c>
      <c r="Z57" s="26">
        <f>IF(BD_ESTADISTICA_INF_B[[#This Row],[POSICION]]="jugador",BD_ESTADISTICA_INF_B[[#This Row],[Lanzam.]],0)</f>
        <v>2</v>
      </c>
      <c r="AA57" s="26">
        <f>IF(BD_ESTADISTICA_INF_B[[#This Row],[POSICION]]="portero",BD_ESTADISTICA_INF_B[[#This Row],[Lanzam.]],0)</f>
        <v>0</v>
      </c>
    </row>
    <row r="58" spans="1:27">
      <c r="A58" s="21" t="s">
        <v>22</v>
      </c>
      <c r="B58" s="21"/>
      <c r="C58" s="22"/>
      <c r="D58" s="22"/>
      <c r="E58" s="22"/>
      <c r="F58" s="8" t="str">
        <f>IF(BD_ESTADISTICA_INF_B[[#This Row],[Lanzam.]]="","",IF(BD_ESTADISTICA_INF_B[[#This Row],[POSICION]]="jugador",C58/E58,D58/E58))</f>
        <v/>
      </c>
      <c r="G58" s="45"/>
      <c r="H58" s="45"/>
      <c r="I58" s="46" t="str">
        <f>IF(BD_ESTADISTICA_INF_B[[#This Row],[Lanzam. 7m]]="","",BD_ESTADISTICA_INF_B[[#This Row],[Goles 7m]]/BD_ESTADISTICA_INF_B[[#This Row],[Lanzam. 7m]])</f>
        <v/>
      </c>
      <c r="J58" s="22"/>
      <c r="K58" s="22"/>
      <c r="L58" s="22"/>
      <c r="M58" s="22"/>
      <c r="N58" s="22"/>
      <c r="O58" s="22"/>
      <c r="P58" s="22"/>
      <c r="Q58" s="22"/>
      <c r="R58" s="22"/>
      <c r="S58" s="23">
        <v>3</v>
      </c>
      <c r="T58" s="24">
        <v>1</v>
      </c>
      <c r="U58" s="25" t="s">
        <v>79</v>
      </c>
      <c r="V58" s="11" t="s">
        <v>109</v>
      </c>
      <c r="W58" s="26" t="str">
        <f>IF(OR(BD_ESTADISTICA_INF_B[[#This Row],[Jugador]]="eudald",BD_ESTADISTICA_INF_B[[#This Row],[Jugador]]="jules",BD_ESTADISTICA_INF_B[[#This Row],[Jugador]]="JAN"),"PORTERO","JUGADOR")</f>
        <v>JUGADOR</v>
      </c>
      <c r="X58" s="26">
        <f>IF(BD_ESTADISTICA_INF_B[[#This Row],[POSICION]]="jugador",BD_ESTADISTICA_INF_B[[#This Row],[Goles]],0)</f>
        <v>0</v>
      </c>
      <c r="Y58" s="26">
        <f>IF(BD_ESTADISTICA_INF_B[[#This Row],[POSICION]]="portero",BD_ESTADISTICA_INF_B[[#This Row],[Lanzam.]]-BD_ESTADISTICA_INF_B[[#This Row],[Paradas]],0)</f>
        <v>0</v>
      </c>
      <c r="Z58" s="26">
        <f>IF(BD_ESTADISTICA_INF_B[[#This Row],[POSICION]]="jugador",BD_ESTADISTICA_INF_B[[#This Row],[Lanzam.]],0)</f>
        <v>0</v>
      </c>
      <c r="AA58" s="26">
        <f>IF(BD_ESTADISTICA_INF_B[[#This Row],[POSICION]]="portero",BD_ESTADISTICA_INF_B[[#This Row],[Lanzam.]],0)</f>
        <v>0</v>
      </c>
    </row>
  </sheetData>
  <phoneticPr fontId="6" type="noConversion"/>
  <pageMargins left="0.70000000000000007" right="0.70000000000000007" top="0.75" bottom="0.75" header="0.30000000000000004" footer="0.30000000000000004"/>
  <pageSetup paperSize="9" fitToWidth="0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2"/>
  <sheetViews>
    <sheetView zoomScale="99" zoomScaleNormal="90" workbookViewId="0">
      <selection activeCell="H22" sqref="H22"/>
    </sheetView>
  </sheetViews>
  <sheetFormatPr baseColWidth="10" defaultRowHeight="13.8"/>
  <cols>
    <col min="1" max="1" width="2.796875" customWidth="1"/>
    <col min="3" max="3" width="22.0976562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0.5" bestFit="1" customWidth="1"/>
    <col min="15" max="15" width="9.296875" bestFit="1" customWidth="1"/>
    <col min="16" max="16" width="24.796875" bestFit="1" customWidth="1"/>
    <col min="17" max="17" width="24.29687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4.29687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40">
        <v>9</v>
      </c>
      <c r="E4" s="40">
        <v>11</v>
      </c>
      <c r="F4" s="20"/>
      <c r="G4" s="17">
        <v>1</v>
      </c>
      <c r="H4" s="18">
        <v>0.81818181818181823</v>
      </c>
      <c r="J4" s="17" t="s">
        <v>27</v>
      </c>
      <c r="K4" s="40">
        <v>15</v>
      </c>
      <c r="L4" s="40">
        <v>19</v>
      </c>
      <c r="N4" s="17" t="s">
        <v>105</v>
      </c>
      <c r="Q4" s="17">
        <v>1</v>
      </c>
      <c r="R4" s="40"/>
      <c r="S4" s="40">
        <v>2</v>
      </c>
      <c r="T4" s="40"/>
      <c r="U4" s="40">
        <v>4</v>
      </c>
      <c r="W4" s="17">
        <v>1</v>
      </c>
      <c r="X4" s="40">
        <v>2</v>
      </c>
      <c r="Y4" s="40"/>
      <c r="Z4" s="40"/>
      <c r="AA4" s="40"/>
      <c r="AC4" s="18">
        <v>0.78947368421052633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4.333333333333333</v>
      </c>
    </row>
    <row r="5" spans="1:44">
      <c r="C5" s="27" t="s">
        <v>105</v>
      </c>
      <c r="D5" s="40">
        <v>9</v>
      </c>
      <c r="E5" s="40">
        <v>11</v>
      </c>
      <c r="F5" s="20"/>
      <c r="G5" s="17">
        <v>2</v>
      </c>
      <c r="H5" s="18">
        <v>0.75</v>
      </c>
      <c r="J5" s="17" t="s">
        <v>35</v>
      </c>
      <c r="K5" s="40">
        <v>15</v>
      </c>
      <c r="L5" s="40">
        <v>19</v>
      </c>
      <c r="N5" s="17" t="s">
        <v>108</v>
      </c>
      <c r="Q5" s="27" t="s">
        <v>105</v>
      </c>
      <c r="R5" s="40"/>
      <c r="S5" s="40">
        <v>2</v>
      </c>
      <c r="T5" s="40"/>
      <c r="U5" s="40">
        <v>4</v>
      </c>
      <c r="W5" s="27" t="s">
        <v>105</v>
      </c>
      <c r="X5" s="40">
        <v>2</v>
      </c>
      <c r="Y5" s="40"/>
      <c r="Z5" s="40"/>
      <c r="AA5" s="40"/>
      <c r="AE5" s="40"/>
      <c r="AF5" s="40">
        <v>2</v>
      </c>
      <c r="AG5" s="40"/>
      <c r="AH5" s="40">
        <v>13</v>
      </c>
      <c r="AJ5" s="40">
        <v>1</v>
      </c>
      <c r="AK5" s="40">
        <v>2</v>
      </c>
      <c r="AL5" s="40"/>
      <c r="AM5" s="40"/>
      <c r="AO5" s="17">
        <v>2</v>
      </c>
      <c r="AQ5" t="s">
        <v>96</v>
      </c>
      <c r="AR5">
        <f>GETPIVOTDATA("Exclusiones provocadas",$AE$4)/Analisis_Equipo!AI2</f>
        <v>0</v>
      </c>
    </row>
    <row r="6" spans="1:44">
      <c r="C6" s="17">
        <v>2</v>
      </c>
      <c r="D6" s="40">
        <v>6</v>
      </c>
      <c r="E6" s="40">
        <v>8</v>
      </c>
      <c r="F6" s="20"/>
      <c r="G6" s="17" t="s">
        <v>35</v>
      </c>
      <c r="H6" s="18">
        <v>0.78947368421052633</v>
      </c>
      <c r="N6" s="17" t="s">
        <v>35</v>
      </c>
      <c r="Q6" s="17">
        <v>2</v>
      </c>
      <c r="R6" s="40"/>
      <c r="S6" s="40"/>
      <c r="T6" s="40"/>
      <c r="U6" s="40">
        <v>9</v>
      </c>
      <c r="W6" s="17">
        <v>2</v>
      </c>
      <c r="X6" s="40"/>
      <c r="Y6" s="40"/>
      <c r="Z6" s="40"/>
      <c r="AA6" s="40">
        <v>1</v>
      </c>
      <c r="AO6" s="17" t="s">
        <v>35</v>
      </c>
      <c r="AQ6" t="s">
        <v>97</v>
      </c>
      <c r="AR6">
        <f>GETPIVOTDATA("Penaltis provocados",$AE$4)/Analisis_Equipo!AI2</f>
        <v>0.66666666666666663</v>
      </c>
    </row>
    <row r="7" spans="1:44">
      <c r="C7" s="27" t="s">
        <v>108</v>
      </c>
      <c r="D7" s="40">
        <v>6</v>
      </c>
      <c r="E7" s="40">
        <v>8</v>
      </c>
      <c r="F7" s="20"/>
      <c r="Q7" s="27" t="s">
        <v>108</v>
      </c>
      <c r="R7" s="40"/>
      <c r="S7" s="40"/>
      <c r="T7" s="40"/>
      <c r="U7" s="40">
        <v>9</v>
      </c>
      <c r="W7" s="27" t="s">
        <v>108</v>
      </c>
      <c r="X7" s="40"/>
      <c r="Y7" s="40"/>
      <c r="Z7" s="40"/>
      <c r="AA7" s="40">
        <v>1</v>
      </c>
      <c r="AQ7" t="s">
        <v>98</v>
      </c>
      <c r="AR7">
        <f>GETPIVOTDATA("Asistencias",$AE$4)/Analisis_Equipo!AI2</f>
        <v>0</v>
      </c>
    </row>
    <row r="8" spans="1:44">
      <c r="C8" s="17" t="s">
        <v>35</v>
      </c>
      <c r="D8" s="40">
        <v>15</v>
      </c>
      <c r="E8" s="40">
        <v>19</v>
      </c>
      <c r="F8" s="20"/>
      <c r="Q8" s="17" t="s">
        <v>35</v>
      </c>
      <c r="R8" s="40"/>
      <c r="S8" s="40">
        <v>2</v>
      </c>
      <c r="T8" s="40"/>
      <c r="U8" s="40">
        <v>13</v>
      </c>
      <c r="W8" s="17" t="s">
        <v>35</v>
      </c>
      <c r="X8" s="40">
        <v>2</v>
      </c>
      <c r="Y8" s="40"/>
      <c r="Z8" s="40"/>
      <c r="AA8" s="40">
        <v>1</v>
      </c>
    </row>
    <row r="9" spans="1:44">
      <c r="F9" s="20"/>
    </row>
    <row r="10" spans="1:44">
      <c r="F10" s="20"/>
    </row>
    <row r="11" spans="1:44">
      <c r="F11" s="20"/>
    </row>
    <row r="12" spans="1:44">
      <c r="F12" s="20"/>
    </row>
  </sheetData>
  <pageMargins left="0.7" right="0.7" top="0.75" bottom="0.75" header="0.3" footer="0.3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AC1" zoomScale="99" zoomScaleNormal="90" workbookViewId="0">
      <selection activeCell="AL17" sqref="AL17"/>
    </sheetView>
  </sheetViews>
  <sheetFormatPr baseColWidth="10" defaultRowHeight="13.8"/>
  <cols>
    <col min="1" max="1" width="2.796875" customWidth="1"/>
    <col min="3" max="3" width="22.09765625" bestFit="1" customWidth="1"/>
    <col min="4" max="4" width="19.19921875" bestFit="1" customWidth="1"/>
    <col min="5" max="5" width="30.69921875" bestFit="1" customWidth="1"/>
    <col min="6" max="6" width="17.796875" style="31" bestFit="1" customWidth="1"/>
    <col min="7" max="7" width="19.19921875" bestFit="1" customWidth="1"/>
    <col min="8" max="8" width="30.69921875" style="20" bestFit="1" customWidth="1"/>
    <col min="9" max="9" width="17.59765625" style="32" bestFit="1" customWidth="1"/>
    <col min="10" max="10" width="17" bestFit="1" customWidth="1"/>
    <col min="11" max="11" width="22.09765625" bestFit="1" customWidth="1"/>
    <col min="12" max="12" width="16.3984375" bestFit="1" customWidth="1"/>
    <col min="13" max="13" width="20.19921875" bestFit="1" customWidth="1"/>
    <col min="14" max="14" width="25.296875" style="32" bestFit="1" customWidth="1"/>
    <col min="15" max="15" width="24.296875" style="32" customWidth="1"/>
    <col min="16" max="16" width="20.19921875" bestFit="1" customWidth="1"/>
    <col min="17" max="17" width="16.3984375" bestFit="1" customWidth="1"/>
    <col min="18" max="18" width="17.59765625" style="32" bestFit="1" customWidth="1"/>
    <col min="19" max="19" width="10.796875" bestFit="1" customWidth="1"/>
    <col min="20" max="20" width="24.29687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4.29687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3.296875" bestFit="1" customWidth="1"/>
    <col min="38" max="38" width="6.09765625" bestFit="1" customWidth="1"/>
    <col min="39" max="39" width="13.6992187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2" t="s">
        <v>58</v>
      </c>
      <c r="G2" t="s">
        <v>56</v>
      </c>
      <c r="H2" t="s">
        <v>57</v>
      </c>
      <c r="I2" s="32" t="s">
        <v>59</v>
      </c>
      <c r="L2" t="s">
        <v>61</v>
      </c>
      <c r="M2" t="s">
        <v>60</v>
      </c>
      <c r="N2" s="32" t="s">
        <v>62</v>
      </c>
      <c r="P2" t="s">
        <v>60</v>
      </c>
      <c r="Q2" t="s">
        <v>61</v>
      </c>
      <c r="R2" s="32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f>MAX(Datos!S:S)</f>
        <v>3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40">
        <v>43</v>
      </c>
      <c r="E3" s="40">
        <v>60</v>
      </c>
      <c r="F3" s="32">
        <v>71.666666666666671</v>
      </c>
      <c r="G3" s="40">
        <v>83</v>
      </c>
      <c r="H3" s="40">
        <v>114</v>
      </c>
      <c r="I3" s="32">
        <v>72.807017543859658</v>
      </c>
      <c r="K3" s="17">
        <v>1</v>
      </c>
      <c r="L3" s="40">
        <v>18</v>
      </c>
      <c r="M3" s="40">
        <v>31</v>
      </c>
      <c r="N3" s="32">
        <v>36.734693877551024</v>
      </c>
      <c r="P3" s="40">
        <v>64</v>
      </c>
      <c r="Q3" s="40">
        <v>25</v>
      </c>
      <c r="R3" s="32">
        <v>28.08988764044944</v>
      </c>
      <c r="T3" s="17">
        <v>1</v>
      </c>
      <c r="U3" s="40">
        <v>24</v>
      </c>
      <c r="V3" s="40">
        <v>6</v>
      </c>
      <c r="W3" s="40">
        <v>1</v>
      </c>
      <c r="X3" s="40">
        <v>14</v>
      </c>
      <c r="Z3" s="17">
        <v>1</v>
      </c>
      <c r="AA3" s="40">
        <v>14</v>
      </c>
      <c r="AB3" s="40"/>
      <c r="AC3" s="40"/>
      <c r="AD3" s="40">
        <v>1</v>
      </c>
      <c r="AH3" t="s">
        <v>65</v>
      </c>
      <c r="AI3">
        <f>GETPIVOTDATA("Suma de goles favor",$G$2)</f>
        <v>83</v>
      </c>
      <c r="AK3" s="40">
        <v>23</v>
      </c>
      <c r="AL3" s="40">
        <v>1</v>
      </c>
      <c r="AM3" s="40">
        <v>2</v>
      </c>
      <c r="AN3" s="40">
        <v>6</v>
      </c>
    </row>
    <row r="4" spans="1:50">
      <c r="A4" s="14"/>
      <c r="C4" s="27" t="s">
        <v>105</v>
      </c>
      <c r="D4" s="40">
        <v>43</v>
      </c>
      <c r="E4" s="40">
        <v>60</v>
      </c>
      <c r="F4" s="32">
        <v>71.666666666666671</v>
      </c>
      <c r="H4"/>
      <c r="K4" s="27" t="s">
        <v>105</v>
      </c>
      <c r="L4" s="40">
        <v>18</v>
      </c>
      <c r="M4" s="40">
        <v>31</v>
      </c>
      <c r="N4" s="32">
        <v>36.734693877551024</v>
      </c>
      <c r="T4" s="27" t="s">
        <v>105</v>
      </c>
      <c r="U4" s="40">
        <v>24</v>
      </c>
      <c r="V4" s="40">
        <v>6</v>
      </c>
      <c r="W4" s="40">
        <v>1</v>
      </c>
      <c r="X4" s="40">
        <v>14</v>
      </c>
      <c r="Z4" s="27" t="s">
        <v>105</v>
      </c>
      <c r="AA4" s="40">
        <v>14</v>
      </c>
      <c r="AB4" s="40"/>
      <c r="AC4" s="40"/>
      <c r="AD4" s="40">
        <v>1</v>
      </c>
      <c r="AH4" t="s">
        <v>66</v>
      </c>
      <c r="AI4">
        <f>GETPIVOTDATA("Suma de goles contra",$P$2)</f>
        <v>64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>
        <v>2</v>
      </c>
      <c r="D5" s="40">
        <v>40</v>
      </c>
      <c r="E5" s="40">
        <v>54</v>
      </c>
      <c r="F5" s="32">
        <v>74.074074074074076</v>
      </c>
      <c r="H5"/>
      <c r="K5" s="17">
        <v>2</v>
      </c>
      <c r="L5" s="40">
        <v>7</v>
      </c>
      <c r="M5" s="40">
        <v>33</v>
      </c>
      <c r="N5" s="32">
        <v>17.5</v>
      </c>
      <c r="T5" s="17">
        <v>2</v>
      </c>
      <c r="U5" s="40">
        <v>13</v>
      </c>
      <c r="V5" s="40">
        <v>2</v>
      </c>
      <c r="W5" s="40">
        <v>3</v>
      </c>
      <c r="X5" s="40">
        <v>17</v>
      </c>
      <c r="Z5" s="17">
        <v>2</v>
      </c>
      <c r="AA5" s="40">
        <v>9</v>
      </c>
      <c r="AB5" s="40">
        <v>1</v>
      </c>
      <c r="AC5" s="40">
        <v>2</v>
      </c>
      <c r="AD5" s="40">
        <v>5</v>
      </c>
      <c r="AH5" t="s">
        <v>67</v>
      </c>
      <c r="AI5">
        <f>GETPIVOTDATA("Suma de Paradas",$P$2)</f>
        <v>25</v>
      </c>
      <c r="AJ5" s="39">
        <f>AI5/AI2</f>
        <v>8.3333333333333339</v>
      </c>
      <c r="AK5" t="s">
        <v>45</v>
      </c>
      <c r="AL5" t="s">
        <v>44</v>
      </c>
      <c r="AM5" t="s">
        <v>75</v>
      </c>
      <c r="AP5" s="40">
        <v>37</v>
      </c>
      <c r="AQ5" s="40">
        <v>8</v>
      </c>
      <c r="AR5" s="40">
        <v>4</v>
      </c>
      <c r="AS5" s="40">
        <v>31</v>
      </c>
      <c r="AU5" s="40">
        <v>23</v>
      </c>
      <c r="AV5" s="40">
        <v>1</v>
      </c>
      <c r="AW5" s="40">
        <v>2</v>
      </c>
      <c r="AX5" s="40">
        <v>6</v>
      </c>
    </row>
    <row r="6" spans="1:50">
      <c r="C6" s="27" t="s">
        <v>108</v>
      </c>
      <c r="D6" s="40">
        <v>40</v>
      </c>
      <c r="E6" s="40">
        <v>54</v>
      </c>
      <c r="F6" s="32">
        <v>74.074074074074076</v>
      </c>
      <c r="H6"/>
      <c r="K6" s="27" t="s">
        <v>108</v>
      </c>
      <c r="L6" s="40">
        <v>7</v>
      </c>
      <c r="M6" s="40">
        <v>33</v>
      </c>
      <c r="N6" s="32">
        <v>17.5</v>
      </c>
      <c r="T6" s="27" t="s">
        <v>108</v>
      </c>
      <c r="U6" s="40">
        <v>13</v>
      </c>
      <c r="V6" s="40">
        <v>2</v>
      </c>
      <c r="W6" s="40">
        <v>3</v>
      </c>
      <c r="X6" s="40">
        <v>17</v>
      </c>
      <c r="Z6" s="27" t="s">
        <v>108</v>
      </c>
      <c r="AA6" s="40">
        <v>9</v>
      </c>
      <c r="AB6" s="40">
        <v>1</v>
      </c>
      <c r="AC6" s="40">
        <v>2</v>
      </c>
      <c r="AD6" s="40">
        <v>5</v>
      </c>
      <c r="AH6" t="s">
        <v>68</v>
      </c>
      <c r="AI6">
        <f>GETPIVOTDATA("Suma de lanzamientos realizados",$G$2)</f>
        <v>114</v>
      </c>
      <c r="AJ6" s="39">
        <f>AI6/AI2</f>
        <v>38</v>
      </c>
      <c r="AK6" s="40">
        <v>37</v>
      </c>
      <c r="AL6" s="40">
        <v>31</v>
      </c>
      <c r="AM6" s="40">
        <v>4</v>
      </c>
    </row>
    <row r="7" spans="1:50">
      <c r="C7" s="17" t="s">
        <v>35</v>
      </c>
      <c r="D7" s="40">
        <v>83</v>
      </c>
      <c r="E7" s="40">
        <v>114</v>
      </c>
      <c r="F7" s="32">
        <v>72.807017543859658</v>
      </c>
      <c r="H7"/>
      <c r="K7" s="17" t="s">
        <v>35</v>
      </c>
      <c r="L7" s="40">
        <v>25</v>
      </c>
      <c r="M7" s="40">
        <v>64</v>
      </c>
      <c r="N7" s="32">
        <v>28.08988764044944</v>
      </c>
      <c r="T7" s="17" t="s">
        <v>35</v>
      </c>
      <c r="U7" s="40">
        <v>37</v>
      </c>
      <c r="V7" s="40">
        <v>8</v>
      </c>
      <c r="W7" s="40">
        <v>4</v>
      </c>
      <c r="X7" s="40">
        <v>31</v>
      </c>
      <c r="Z7" s="17" t="s">
        <v>35</v>
      </c>
      <c r="AA7" s="40">
        <v>23</v>
      </c>
      <c r="AB7" s="40">
        <v>1</v>
      </c>
      <c r="AC7" s="40">
        <v>2</v>
      </c>
      <c r="AD7" s="40">
        <v>6</v>
      </c>
      <c r="AH7" t="s">
        <v>69</v>
      </c>
      <c r="AI7" s="33">
        <f>GETPIVOTDATA("Suma de Campo11",$G$2)</f>
        <v>72.807017543859658</v>
      </c>
    </row>
    <row r="8" spans="1:50">
      <c r="F8"/>
      <c r="H8"/>
      <c r="N8"/>
      <c r="AH8" t="s">
        <v>72</v>
      </c>
      <c r="AI8" s="33">
        <f>AI3/AI2</f>
        <v>27.666666666666668</v>
      </c>
    </row>
    <row r="9" spans="1:50">
      <c r="F9"/>
      <c r="H9"/>
      <c r="N9"/>
      <c r="O9"/>
      <c r="AH9" t="s">
        <v>70</v>
      </c>
      <c r="AI9" s="30">
        <f>GETPIVOTDATA("Suma de Paradas",$P$2)/(AI4+AI5)</f>
        <v>0.2808988764044944</v>
      </c>
    </row>
    <row r="10" spans="1:50">
      <c r="F10"/>
      <c r="G10" s="19"/>
      <c r="N10"/>
      <c r="AH10" t="s">
        <v>71</v>
      </c>
      <c r="AI10" s="33">
        <f>AI4/AI2</f>
        <v>21.333333333333332</v>
      </c>
    </row>
    <row r="11" spans="1:50">
      <c r="F11"/>
      <c r="G11" s="19"/>
      <c r="N11"/>
      <c r="AH11" t="s">
        <v>73</v>
      </c>
      <c r="AI11">
        <f>GETPIVOTDATA("Asistencias",$AK$5)</f>
        <v>37</v>
      </c>
      <c r="AJ11" s="33">
        <f>AI11/AI2</f>
        <v>12.333333333333334</v>
      </c>
    </row>
    <row r="12" spans="1:50">
      <c r="F12"/>
      <c r="G12" s="19"/>
      <c r="N12"/>
      <c r="AH12" t="s">
        <v>74</v>
      </c>
      <c r="AI12">
        <f>GETPIVOTDATA("Pérdidas pase",$AK$2)+GETPIVOTDATA("Áreas",$AK$2)+GETPIVOTDATA("Perdidas otros",$AK$2)</f>
        <v>26</v>
      </c>
      <c r="AJ12" s="33">
        <f>AI12/$AI$2</f>
        <v>8.6666666666666661</v>
      </c>
    </row>
    <row r="13" spans="1:50">
      <c r="F13"/>
      <c r="N13"/>
      <c r="AH13" t="s">
        <v>76</v>
      </c>
      <c r="AI13">
        <f>GETPIVOTDATA("Recuperaciones",$AK$5)</f>
        <v>31</v>
      </c>
      <c r="AJ13" s="33">
        <f>AI13/$AI$2</f>
        <v>10.333333333333334</v>
      </c>
    </row>
    <row r="14" spans="1:50">
      <c r="F14"/>
      <c r="N14"/>
      <c r="AH14" t="s">
        <v>77</v>
      </c>
      <c r="AI14">
        <f>GETPIVOTDATA("Suma de Exclusión +",$AK$5)</f>
        <v>4</v>
      </c>
      <c r="AJ14" s="33">
        <f>AI14/$AI$2</f>
        <v>1.3333333333333333</v>
      </c>
    </row>
    <row r="15" spans="1:50">
      <c r="F15"/>
      <c r="N15"/>
      <c r="AH15" t="s">
        <v>78</v>
      </c>
      <c r="AI15">
        <f>GETPIVOTDATA("Exclusiones",$AK$2)</f>
        <v>6</v>
      </c>
      <c r="AJ15" s="33">
        <f>AI15/$AI$2</f>
        <v>2</v>
      </c>
    </row>
    <row r="16" spans="1:50">
      <c r="F16"/>
      <c r="N16"/>
      <c r="AH16" t="s">
        <v>80</v>
      </c>
      <c r="AI16">
        <f>GETPIVOTDATA("Penaltis provocados",$T$2)</f>
        <v>8</v>
      </c>
    </row>
    <row r="17" spans="6:35">
      <c r="F17"/>
      <c r="N17"/>
      <c r="AH17" t="s">
        <v>81</v>
      </c>
      <c r="AI17">
        <f>GETPIVOTDATA("Pérdidas pase",$Z$2)</f>
        <v>23</v>
      </c>
    </row>
    <row r="18" spans="6:35">
      <c r="F18"/>
      <c r="N18"/>
      <c r="AH18" t="s">
        <v>82</v>
      </c>
      <c r="AI18">
        <f>GETPIVOTDATA("Perdidas otros",$Z$2)</f>
        <v>2</v>
      </c>
    </row>
    <row r="19" spans="6:35">
      <c r="F19"/>
      <c r="N19"/>
      <c r="AH19" t="s">
        <v>83</v>
      </c>
      <c r="AI19">
        <f>GETPIVOTDATA("Áreas",$Z$2)</f>
        <v>1</v>
      </c>
    </row>
    <row r="20" spans="6:35">
      <c r="F20"/>
      <c r="N20"/>
    </row>
    <row r="21" spans="6:35">
      <c r="F21"/>
      <c r="N21"/>
    </row>
    <row r="22" spans="6:35">
      <c r="F22"/>
      <c r="N22"/>
    </row>
    <row r="23" spans="6:35">
      <c r="F23"/>
      <c r="N23"/>
    </row>
    <row r="24" spans="6:35">
      <c r="F24"/>
      <c r="N24"/>
    </row>
    <row r="25" spans="6:35">
      <c r="F25"/>
      <c r="N25"/>
    </row>
    <row r="26" spans="6:35">
      <c r="F26"/>
      <c r="N26"/>
    </row>
    <row r="27" spans="6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4" zoomScaleNormal="21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zoomScale="144" zoomScaleNormal="144" workbookViewId="0">
      <selection activeCell="E29" sqref="E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zoomScale="142" zoomScaleNormal="142" workbookViewId="0">
      <selection activeCell="D2" sqref="D2:E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47" t="s">
        <v>87</v>
      </c>
      <c r="E2" s="48"/>
      <c r="F2" s="38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5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49" t="s">
        <v>99</v>
      </c>
      <c r="E2" s="50"/>
      <c r="F2" s="51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5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6" t="s">
        <v>85</v>
      </c>
      <c r="D4" s="36" t="s">
        <v>86</v>
      </c>
      <c r="E4" s="36" t="s">
        <v>87</v>
      </c>
      <c r="F4" s="36" t="s">
        <v>88</v>
      </c>
      <c r="G4" s="37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2026-10-15T13:58:57Z</dcterms:modified>
</cp:coreProperties>
</file>