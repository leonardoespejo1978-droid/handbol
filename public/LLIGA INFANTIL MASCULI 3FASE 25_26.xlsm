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9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62AE74E2-6626-4D4D-90DF-8D1EA750B10A}" xr6:coauthVersionLast="36" xr6:coauthVersionMax="47" xr10:uidLastSave="{00000000-0000-0000-0000-000000000000}"/>
  <bookViews>
    <workbookView xWindow="0" yWindow="0" windowWidth="23040" windowHeight="11280" activeTab="6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Datos!$A$1:$Q$115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5" i="1" l="1"/>
  <c r="W115" i="1" s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W84" i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W77" i="1"/>
  <c r="S77" i="1"/>
  <c r="U77" i="1" s="1"/>
  <c r="E115" i="1"/>
  <c r="E114" i="1"/>
  <c r="E113" i="1"/>
  <c r="E112" i="1"/>
  <c r="E111" i="1"/>
  <c r="E110" i="1"/>
  <c r="E108" i="1"/>
  <c r="E107" i="1"/>
  <c r="E106" i="1"/>
  <c r="E105" i="1"/>
  <c r="E103" i="1"/>
  <c r="E101" i="1"/>
  <c r="E100" i="1"/>
  <c r="E99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T65" i="1"/>
  <c r="S66" i="1"/>
  <c r="T66" i="1" s="1"/>
  <c r="S67" i="1"/>
  <c r="V67" i="1" s="1"/>
  <c r="S68" i="1"/>
  <c r="V68" i="1" s="1"/>
  <c r="S69" i="1"/>
  <c r="U69" i="1" s="1"/>
  <c r="S70" i="1"/>
  <c r="E70" i="1" s="1"/>
  <c r="T70" i="1"/>
  <c r="S71" i="1"/>
  <c r="T71" i="1" s="1"/>
  <c r="S72" i="1"/>
  <c r="E72" i="1" s="1"/>
  <c r="T72" i="1"/>
  <c r="U72" i="1"/>
  <c r="V72" i="1"/>
  <c r="W72" i="1"/>
  <c r="S73" i="1"/>
  <c r="U73" i="1" s="1"/>
  <c r="S74" i="1"/>
  <c r="W74" i="1" s="1"/>
  <c r="S75" i="1"/>
  <c r="W75" i="1" s="1"/>
  <c r="S76" i="1"/>
  <c r="E76" i="1" s="1"/>
  <c r="T76" i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T56" i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T111" i="1" l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U115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V115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T115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2" i="6"/>
  <c r="AI3" i="6"/>
  <c r="AR4" i="2"/>
  <c r="AI12" i="6"/>
  <c r="AI18" i="6"/>
  <c r="AI6" i="6"/>
  <c r="AI13" i="6"/>
  <c r="AI15" i="6"/>
  <c r="AR5" i="2"/>
  <c r="AI4" i="6"/>
  <c r="AI11" i="6"/>
  <c r="AR7" i="2"/>
  <c r="AI14" i="6"/>
  <c r="AI17" i="6"/>
  <c r="AR6" i="2"/>
  <c r="AI7" i="6"/>
  <c r="AI16" i="6"/>
  <c r="AI19" i="6"/>
  <c r="AI5" i="6"/>
  <c r="AJ6" i="6" l="1"/>
  <c r="AJ5" i="6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<sst xmlns="http://schemas.openxmlformats.org/spreadsheetml/2006/main" count="540" uniqueCount="126">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</sst>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8"/>
      <tableStyleElement type="headerRow" dxfId="47"/>
    </tableStyle>
    <tableStyle name="mi estilo personalizado 2" pivot="0" table="0" count="10" xr9:uid="{3D081C6B-30F4-4F84-BB75-048369B2BAFE}">
      <tableStyleElement type="wholeTable" dxfId="46"/>
      <tableStyleElement type="headerRow" dxfId="45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Analisis_Equipo!$L$3:$L$15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Analisis_Equipo!$M$3:$M$15</c:f>
              <c:numCache>
                <c:formatCode>General</c:formatCode>
                <c:ptCount val="6"/>
                <c:pt idx="0">
                  <c:v>19</c:v>
                </c:pt>
                <c:pt idx="1">
                  <c:v>8</c:v>
                </c:pt>
                <c:pt idx="2">
                  <c:v>14</c:v>
                </c:pt>
                <c:pt idx="3">
                  <c:v>24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Analisis_Equipo!$N$3:$N$15</c:f>
              <c:numCache>
                <c:formatCode>0</c:formatCode>
                <c:ptCount val="6"/>
                <c:pt idx="0">
                  <c:v>32.142857142857146</c:v>
                </c:pt>
                <c:pt idx="1">
                  <c:v>42.857142857142854</c:v>
                </c:pt>
                <c:pt idx="2">
                  <c:v>44</c:v>
                </c:pt>
                <c:pt idx="3">
                  <c:v>36.84210526315789</c:v>
                </c:pt>
                <c:pt idx="4">
                  <c:v>37.037037037037038</c:v>
                </c:pt>
                <c:pt idx="5">
                  <c:v>28.571428571428569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36.601307189542482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Analisis_Equipo!$D$3:$D$15</c:f>
              <c:numCache>
                <c:formatCode>General</c:formatCode>
                <c:ptCount val="6"/>
                <c:pt idx="0">
                  <c:v>39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37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Analisis_Equipo!$E$3:$E$15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55</c:v>
                </c:pt>
                <c:pt idx="3">
                  <c:v>66</c:v>
                </c:pt>
                <c:pt idx="4">
                  <c:v>43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Analisis_Equipo!$F$3:$F$15</c:f>
              <c:numCache>
                <c:formatCode>0</c:formatCode>
                <c:ptCount val="6"/>
                <c:pt idx="0">
                  <c:v>78</c:v>
                </c:pt>
                <c:pt idx="1">
                  <c:v>88.888888888888886</c:v>
                </c:pt>
                <c:pt idx="2">
                  <c:v>89.090909090909093</c:v>
                </c:pt>
                <c:pt idx="3">
                  <c:v>75.757575757575751</c:v>
                </c:pt>
                <c:pt idx="4">
                  <c:v>86.04651162790698</c:v>
                </c:pt>
                <c:pt idx="5">
                  <c:v>91.304347826086953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Analisis_Equipo!$L$3:$L$15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Analisis_Equipo!$M$3:$M$15</c:f>
              <c:numCache>
                <c:formatCode>General</c:formatCode>
                <c:ptCount val="6"/>
                <c:pt idx="0">
                  <c:v>19</c:v>
                </c:pt>
                <c:pt idx="1">
                  <c:v>8</c:v>
                </c:pt>
                <c:pt idx="2">
                  <c:v>14</c:v>
                </c:pt>
                <c:pt idx="3">
                  <c:v>24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Analisis_Equipo!$N$3:$N$15</c:f>
              <c:numCache>
                <c:formatCode>0</c:formatCode>
                <c:ptCount val="6"/>
                <c:pt idx="0">
                  <c:v>32.142857142857146</c:v>
                </c:pt>
                <c:pt idx="1">
                  <c:v>42.857142857142854</c:v>
                </c:pt>
                <c:pt idx="2">
                  <c:v>44</c:v>
                </c:pt>
                <c:pt idx="3">
                  <c:v>36.84210526315789</c:v>
                </c:pt>
                <c:pt idx="4">
                  <c:v>37.037037037037038</c:v>
                </c:pt>
                <c:pt idx="5">
                  <c:v>28.571428571428569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36.601307189542482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Analisis_Equipo!$D$3:$D$15</c:f>
              <c:numCache>
                <c:formatCode>General</c:formatCode>
                <c:ptCount val="6"/>
                <c:pt idx="0">
                  <c:v>39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37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Analisis_Equipo!$E$3:$E$15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55</c:v>
                </c:pt>
                <c:pt idx="3">
                  <c:v>66</c:v>
                </c:pt>
                <c:pt idx="4">
                  <c:v>43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Analisis_Equipo!$F$3:$F$15</c:f>
              <c:numCache>
                <c:formatCode>0</c:formatCode>
                <c:ptCount val="6"/>
                <c:pt idx="0">
                  <c:v>78</c:v>
                </c:pt>
                <c:pt idx="1">
                  <c:v>88.888888888888886</c:v>
                </c:pt>
                <c:pt idx="2">
                  <c:v>89.090909090909093</c:v>
                </c:pt>
                <c:pt idx="3">
                  <c:v>75.757575757575751</c:v>
                </c:pt>
                <c:pt idx="4">
                  <c:v>86.04651162790698</c:v>
                </c:pt>
                <c:pt idx="5">
                  <c:v>91.304347826086953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ORTAD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784860</xdr:colOff>
      <xdr:row>129</xdr:row>
      <xdr:rowOff>99060</xdr:rowOff>
    </xdr:from>
    <xdr:to>
      <xdr:col>15</xdr:col>
      <xdr:colOff>633046</xdr:colOff>
      <xdr:row>131</xdr:row>
      <xdr:rowOff>32239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85CB3-1A4F-400D-80E1-0AFB47B49711}"/>
            </a:ext>
          </a:extLst>
        </xdr:cNvPr>
        <xdr:cNvSpPr/>
      </xdr:nvSpPr>
      <xdr:spPr>
        <a:xfrm>
          <a:off x="13167360" y="6316980"/>
          <a:ext cx="861646" cy="2989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08288" y="1038773"/>
          <a:ext cx="4953945" cy="2201354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0,142857143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0,428571429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445477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9870831" y="4706815"/>
          <a:ext cx="861646" cy="2989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79374</xdr:rowOff>
    </xdr:from>
    <xdr:to>
      <xdr:col>13</xdr:col>
      <xdr:colOff>269875</xdr:colOff>
      <xdr:row>5</xdr:row>
      <xdr:rowOff>171880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968796" y="79374"/>
          <a:ext cx="5619590" cy="98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787727</xdr:colOff>
      <xdr:row>1</xdr:row>
      <xdr:rowOff>127889</xdr:rowOff>
    </xdr:from>
    <xdr:to>
      <xdr:col>8</xdr:col>
      <xdr:colOff>354850</xdr:colOff>
      <xdr:row>3</xdr:row>
      <xdr:rowOff>143764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390409" y="304074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93784</xdr:colOff>
      <xdr:row>1</xdr:row>
      <xdr:rowOff>132293</xdr:rowOff>
    </xdr:from>
    <xdr:to>
      <xdr:col>8</xdr:col>
      <xdr:colOff>356775</xdr:colOff>
      <xdr:row>3</xdr:row>
      <xdr:rowOff>1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595009" y="308478"/>
          <a:ext cx="262991" cy="220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37,9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325943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6383219" y="427340"/>
          <a:ext cx="443949" cy="165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558350</xdr:colOff>
      <xdr:row>3</xdr:row>
      <xdr:rowOff>54802</xdr:rowOff>
    </xdr:from>
    <xdr:to>
      <xdr:col>10</xdr:col>
      <xdr:colOff>125473</xdr:colOff>
      <xdr:row>4</xdr:row>
      <xdr:rowOff>66101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958119" y="583357"/>
          <a:ext cx="465666" cy="187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699753</xdr:colOff>
      <xdr:row>1</xdr:row>
      <xdr:rowOff>131314</xdr:rowOff>
    </xdr:from>
    <xdr:to>
      <xdr:col>10</xdr:col>
      <xdr:colOff>266876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8099522" y="307499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881394</xdr:colOff>
      <xdr:row>1</xdr:row>
      <xdr:rowOff>124965</xdr:rowOff>
    </xdr:from>
    <xdr:to>
      <xdr:col>11</xdr:col>
      <xdr:colOff>558358</xdr:colOff>
      <xdr:row>2</xdr:row>
      <xdr:rowOff>118191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9179706" y="301150"/>
          <a:ext cx="575507" cy="169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650042</xdr:colOff>
      <xdr:row>2</xdr:row>
      <xdr:rowOff>101822</xdr:rowOff>
    </xdr:from>
    <xdr:to>
      <xdr:col>10</xdr:col>
      <xdr:colOff>217165</xdr:colOff>
      <xdr:row>3</xdr:row>
      <xdr:rowOff>101399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8049811" y="454192"/>
          <a:ext cx="465666" cy="175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217474</xdr:colOff>
      <xdr:row>2</xdr:row>
      <xdr:rowOff>95207</xdr:rowOff>
    </xdr:from>
    <xdr:to>
      <xdr:col>11</xdr:col>
      <xdr:colOff>703274</xdr:colOff>
      <xdr:row>4</xdr:row>
      <xdr:rowOff>111083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411035" y="442134"/>
          <a:ext cx="485800" cy="362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153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35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401052</xdr:colOff>
      <xdr:row>26</xdr:row>
      <xdr:rowOff>85939</xdr:rowOff>
    </xdr:from>
    <xdr:to>
      <xdr:col>13</xdr:col>
      <xdr:colOff>151210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9608075" y="4703774"/>
          <a:ext cx="861646" cy="2989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676141</xdr:colOff>
      <xdr:row>26</xdr:row>
      <xdr:rowOff>118056</xdr:rowOff>
    </xdr:from>
    <xdr:to>
      <xdr:col>11</xdr:col>
      <xdr:colOff>636266</xdr:colOff>
      <xdr:row>28</xdr:row>
      <xdr:rowOff>62826</xdr:rowOff>
    </xdr:to>
    <xdr:sp macro="" textlink="">
      <xdr:nvSpPr>
        <xdr:cNvPr id="31" name="Rectángulo: esquinas redondeada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63DBDA2-28B6-49B3-89C9-AF628D7DF5CD}"/>
            </a:ext>
          </a:extLst>
        </xdr:cNvPr>
        <xdr:cNvSpPr/>
      </xdr:nvSpPr>
      <xdr:spPr>
        <a:xfrm>
          <a:off x="9004479" y="4507605"/>
          <a:ext cx="861646" cy="2989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37,9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44,9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308288" y="1038773"/>
          <a:ext cx="4953945" cy="22013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0,142857143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0,428571429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077.485821527778" createdVersion="8" refreshedVersion="6" minRefreshableVersion="3" recordCount="114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8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1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1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11" u="1"/>
        <n v="12" u="1"/>
        <n v="8" u="1"/>
        <n v="2" u="1"/>
        <n v="9" u="1"/>
        <n v="10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2">
        <s v="H.SANT QUIRZE(L)"/>
        <s v="VIROLAI (V)"/>
        <s v="CH PALAUTORDERA (L)"/>
        <s v="CH ESPLUGUES (V)"/>
        <s v="CREU ALTA SABADELL (L)"/>
        <s v="UES SARRIA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0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19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0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m="1" x="9"/>
        <item x="0"/>
        <item x="1"/>
        <item x="3"/>
        <item x="5"/>
        <item m="1" x="11"/>
        <item x="4"/>
        <item m="1" x="8"/>
        <item m="1" x="10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30"/>
        <item m="1" x="38"/>
        <item m="1" x="17"/>
        <item m="1" x="12"/>
        <item m="1" x="21"/>
        <item m="1" x="10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7"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29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0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a de Campo1" fld="24" baseField="0" baseItem="0"/>
  </dataFields>
  <formats count="2">
    <format dxfId="21">
      <pivotArea collapsedLevelsAreSubtotals="1" fieldPosition="0">
        <references count="1">
          <reference field="14" count="0"/>
        </references>
      </pivotArea>
    </format>
    <format dxfId="20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15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 s="1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2">
        <i x="3" s="1"/>
        <i x="2" s="1"/>
        <i x="4" s="1"/>
        <i x="0" s="1"/>
        <i x="5" s="1"/>
        <i x="1" s="1"/>
        <i x="39" s="1" nd="1"/>
        <i x="34" s="1" nd="1"/>
        <i x="37" s="1" nd="1"/>
        <i x="33" s="1" nd="1"/>
        <i x="26" s="1" nd="1"/>
        <i x="32" s="1" nd="1"/>
        <i x="25" s="1" nd="1"/>
        <i x="13" s="1" nd="1"/>
        <i x="29" s="1" nd="1"/>
        <i x="8" s="1" nd="1"/>
        <i x="40" s="1" nd="1"/>
        <i x="7" s="1" nd="1"/>
        <i x="10" s="1" nd="1"/>
        <i x="30" s="1" nd="1"/>
        <i x="41" s="1" nd="1"/>
        <i x="31" s="1" nd="1"/>
        <i x="38" s="1" nd="1"/>
        <i x="17" s="1" nd="1"/>
        <i x="11" s="1" nd="1"/>
        <i x="24" s="1" nd="1"/>
        <i x="19" s="1" nd="1"/>
        <i x="35" s="1" nd="1"/>
        <i x="27" s="1" nd="1"/>
        <i x="22" s="1" nd="1"/>
        <i x="16" s="1" nd="1"/>
        <i x="9" s="1" nd="1"/>
        <i x="36" s="1" nd="1"/>
        <i x="28" s="1" nd="1"/>
        <i x="23" s="1" nd="1"/>
        <i x="18" s="1" nd="1"/>
        <i x="21" s="1" nd="1"/>
        <i x="12" s="1" nd="1"/>
        <i x="15" s="1" nd="1"/>
        <i x="14" s="1" nd="1"/>
        <i x="20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15" totalsRowShown="0">
  <autoFilter ref="A1:W115" xr:uid="{4E0CACF7-2516-40E4-A13A-36A69BFCF042}">
    <filterColumn colId="14">
      <filters>
        <filter val="7"/>
      </filters>
    </filterColumn>
  </autoFilter>
  <tableColumns count="23">
    <tableColumn id="1" xr3:uid="{52391530-6B4D-4F5B-A13F-EBEFDEBFF05D}" name="Jugador" dataDxfId="44" dataCellStyle="Normal 3"/>
    <tableColumn id="2" xr3:uid="{20EFE687-939F-4CE3-B940-223B282FF463}" name="Goles" dataDxfId="43" dataCellStyle="Normal 3"/>
    <tableColumn id="3" xr3:uid="{684A7D4D-D7B7-43F6-9A93-2ACF8C669153}" name="Paradas" dataDxfId="42" dataCellStyle="Normal 3"/>
    <tableColumn id="4" xr3:uid="{AAA14793-E69C-41E1-B0A0-4517D77AAD17}" name="Lanzam." dataDxfId="41" dataCellStyle="Normal 3"/>
    <tableColumn id="5" xr3:uid="{F7F9DF44-8244-4CC7-A0D1-06835389FDF4}" name="% lanz" dataDxfId="40" dataCellStyle="Porcentaje"/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/>
    <tableColumn id="11" xr3:uid="{96A71FE8-7C2B-4C18-AC1B-E8C62789BC53}" name="goles favor" dataDxfId="25" dataCellStyle="Normal 3"/>
    <tableColumn id="15" xr3:uid="{46089932-E578-45E8-A8AB-7B2B44941717}" name="goles contra" dataDxfId="24" dataCellStyle="Normal 3"/>
    <tableColumn id="16" xr3:uid="{BDAED3E0-6A88-4C71-B9F0-1E82A087A2F2}" name="lanzamientos realizados" dataDxfId="23" dataCellStyle="Normal 3"/>
    <tableColumn id="18" xr3:uid="{7B0893AD-D9E4-4F00-8941-20FDECBB17AC}" name="lanzamientos recibidos" dataDxfId="2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10" customWidth="1"/>
  </cols>
  <sheetData>
    <row r="1" spans="1:20">
      <c r="A1" s="41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</row>
    <row r="3" spans="1:20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</row>
    <row r="4" spans="1:20">
      <c r="A4" s="41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ht="28.05" customHeight="1">
      <c r="A5" s="41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</row>
    <row r="6" spans="1:20" ht="42" customHeight="1">
      <c r="A6" s="41"/>
      <c r="B6" s="44" t="s">
        <v>125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</row>
    <row r="7" spans="1:20" ht="28.05" customHeight="1">
      <c r="A7" s="41"/>
      <c r="B7" s="45" t="s">
        <v>109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</row>
    <row r="8" spans="1:20" ht="28.05" customHeight="1">
      <c r="A8" s="41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</row>
    <row r="9" spans="1:20" ht="3" customHeight="1">
      <c r="A9" s="41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ht="7.95" customHeight="1">
      <c r="A10" s="4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ht="28.05" customHeight="1">
      <c r="A11" s="41"/>
      <c r="B11" s="47" t="s">
        <v>110</v>
      </c>
      <c r="C11" s="42"/>
      <c r="D11" s="48" t="s">
        <v>111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ht="28.05" customHeight="1">
      <c r="A12" s="41"/>
      <c r="B12" s="47" t="s">
        <v>112</v>
      </c>
      <c r="C12" s="42"/>
      <c r="D12" s="48" t="s">
        <v>113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ht="28.05" customHeight="1">
      <c r="A13" s="41"/>
      <c r="B13" s="47" t="s">
        <v>114</v>
      </c>
      <c r="C13" s="42"/>
      <c r="D13" s="48" t="s">
        <v>115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ht="28.05" customHeight="1">
      <c r="A14" s="41"/>
      <c r="B14" s="47" t="s">
        <v>116</v>
      </c>
      <c r="C14" s="42"/>
      <c r="D14" s="48" t="s">
        <v>117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>
      <c r="A16" s="41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ht="25.95" customHeight="1">
      <c r="A18" s="41"/>
      <c r="B18" s="49" t="s">
        <v>118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ht="7.95" customHeight="1">
      <c r="A19" s="41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ht="22.05" customHeight="1">
      <c r="A20" s="41"/>
      <c r="B20" s="50" t="s">
        <v>119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ht="22.05" customHeight="1">
      <c r="A21" s="41"/>
      <c r="B21" s="50" t="s">
        <v>120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ht="22.05" customHeight="1">
      <c r="A22" s="41"/>
      <c r="B22" s="50" t="s">
        <v>121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ht="22.05" customHeight="1">
      <c r="A23" s="41"/>
      <c r="B23" s="50" t="s">
        <v>122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ht="22.05" customHeight="1">
      <c r="A24" s="41"/>
      <c r="B24" s="50" t="s">
        <v>123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>
      <c r="A25" s="41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>
      <c r="A26" s="41"/>
      <c r="B26" s="51" t="s">
        <v>124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>
      <c r="A27" s="41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>
      <c r="A28" s="41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>
      <c r="A29" s="41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>
      <c r="A30" s="41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>
      <c r="A31" s="41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>
      <c r="A32" s="41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>
      <c r="A33" s="41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>
      <c r="A34" s="41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  <row r="35" spans="1:20">
      <c r="A35" s="41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</row>
    <row r="36" spans="1:20">
      <c r="A36" s="41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</row>
    <row r="37" spans="1:20">
      <c r="A37" s="41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</row>
    <row r="38" spans="1:20">
      <c r="A38" s="41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</row>
    <row r="39" spans="1:20">
      <c r="A39" s="41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</row>
    <row r="40" spans="1:20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15"/>
  <sheetViews>
    <sheetView workbookViewId="0">
      <pane ySplit="1" topLeftCell="A73" activePane="bottomLeft" state="frozen"/>
      <selection pane="bottomLeft" activeCell="P130" sqref="P130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6"/>
  <sheetViews>
    <sheetView zoomScale="99" zoomScaleNormal="90" workbookViewId="0">
      <selection activeCell="E24" sqref="E24"/>
    </sheetView>
  </sheetViews>
  <sheetFormatPr baseColWidth="10" defaultRowHeight="13.8"/>
  <cols>
    <col min="1" max="1" width="2.796875" customWidth="1"/>
    <col min="3" max="3" width="25.19921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59765625" bestFit="1" customWidth="1"/>
    <col min="15" max="15" width="9.296875" bestFit="1" customWidth="1"/>
    <col min="16" max="16" width="24.796875" bestFit="1" customWidth="1"/>
    <col min="17" max="17" width="27.39843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39843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/>
      <c r="E4" s="40"/>
      <c r="F4" s="20"/>
      <c r="G4" s="17">
        <v>1</v>
      </c>
      <c r="H4" s="18" t="e">
        <v>#DIV/0!</v>
      </c>
      <c r="J4" s="17" t="s">
        <v>20</v>
      </c>
      <c r="K4" s="40">
        <v>6</v>
      </c>
      <c r="L4" s="40">
        <v>6</v>
      </c>
      <c r="N4" s="17" t="s">
        <v>102</v>
      </c>
      <c r="Q4" s="17">
        <v>1</v>
      </c>
      <c r="R4" s="40"/>
      <c r="S4" s="40"/>
      <c r="T4" s="40"/>
      <c r="U4" s="40"/>
      <c r="W4" s="17">
        <v>1</v>
      </c>
      <c r="X4" s="40"/>
      <c r="Y4" s="40"/>
      <c r="Z4" s="40"/>
      <c r="AA4" s="40"/>
      <c r="AC4" s="18">
        <v>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0.14285714285714285</v>
      </c>
    </row>
    <row r="5" spans="1:44">
      <c r="C5" s="27" t="s">
        <v>105</v>
      </c>
      <c r="D5" s="40"/>
      <c r="E5" s="40"/>
      <c r="F5" s="20"/>
      <c r="G5" s="17">
        <v>3</v>
      </c>
      <c r="H5" s="18" t="e">
        <v>#DIV/0!</v>
      </c>
      <c r="J5" s="17" t="s">
        <v>35</v>
      </c>
      <c r="K5" s="40">
        <v>6</v>
      </c>
      <c r="L5" s="40">
        <v>6</v>
      </c>
      <c r="N5" s="17" t="s">
        <v>104</v>
      </c>
      <c r="Q5" s="27" t="s">
        <v>105</v>
      </c>
      <c r="R5" s="40"/>
      <c r="S5" s="40"/>
      <c r="T5" s="40"/>
      <c r="U5" s="40"/>
      <c r="W5" s="27" t="s">
        <v>105</v>
      </c>
      <c r="X5" s="40"/>
      <c r="Y5" s="40"/>
      <c r="Z5" s="40"/>
      <c r="AA5" s="40"/>
      <c r="AE5" s="40">
        <v>3</v>
      </c>
      <c r="AF5" s="40"/>
      <c r="AG5" s="40"/>
      <c r="AH5" s="40">
        <v>1</v>
      </c>
      <c r="AJ5" s="40">
        <v>1</v>
      </c>
      <c r="AK5" s="40">
        <v>1</v>
      </c>
      <c r="AL5" s="40">
        <v>1</v>
      </c>
      <c r="AM5" s="40"/>
      <c r="AO5" s="17">
        <v>3</v>
      </c>
      <c r="AQ5" t="s">
        <v>96</v>
      </c>
      <c r="AR5">
        <f>GETPIVOTDATA("Exclusiones provocadas",$AE$4)/Analisis_Equipo!AI2</f>
        <v>0</v>
      </c>
    </row>
    <row r="6" spans="1:44">
      <c r="C6" s="17">
        <v>3</v>
      </c>
      <c r="D6" s="40"/>
      <c r="E6" s="40"/>
      <c r="F6" s="20"/>
      <c r="G6" s="17">
        <v>4</v>
      </c>
      <c r="H6" s="18">
        <v>1</v>
      </c>
      <c r="N6" s="17" t="s">
        <v>105</v>
      </c>
      <c r="Q6" s="17">
        <v>3</v>
      </c>
      <c r="R6" s="40"/>
      <c r="S6" s="40"/>
      <c r="T6" s="40"/>
      <c r="U6" s="40">
        <v>1</v>
      </c>
      <c r="W6" s="17">
        <v>3</v>
      </c>
      <c r="X6" s="40"/>
      <c r="Y6" s="40"/>
      <c r="Z6" s="40"/>
      <c r="AA6" s="40"/>
      <c r="AO6" s="17">
        <v>4</v>
      </c>
      <c r="AQ6" t="s">
        <v>97</v>
      </c>
      <c r="AR6">
        <f>GETPIVOTDATA("Penaltis provocados",$AE$4)/Analisis_Equipo!AI2</f>
        <v>0</v>
      </c>
    </row>
    <row r="7" spans="1:44">
      <c r="C7" s="27" t="s">
        <v>102</v>
      </c>
      <c r="D7" s="40"/>
      <c r="E7" s="40"/>
      <c r="F7" s="20"/>
      <c r="G7" s="17">
        <v>5</v>
      </c>
      <c r="H7" s="18" t="e">
        <v>#DIV/0!</v>
      </c>
      <c r="N7" s="17" t="s">
        <v>106</v>
      </c>
      <c r="Q7" s="27" t="s">
        <v>102</v>
      </c>
      <c r="R7" s="40"/>
      <c r="S7" s="40"/>
      <c r="T7" s="40"/>
      <c r="U7" s="40">
        <v>1</v>
      </c>
      <c r="W7" s="27" t="s">
        <v>102</v>
      </c>
      <c r="X7" s="40"/>
      <c r="Y7" s="40"/>
      <c r="Z7" s="40"/>
      <c r="AA7" s="40"/>
      <c r="AO7" s="17">
        <v>5</v>
      </c>
      <c r="AQ7" t="s">
        <v>98</v>
      </c>
      <c r="AR7">
        <f>GETPIVOTDATA("Asistencias",$AE$4)/Analisis_Equipo!AI2</f>
        <v>0.42857142857142855</v>
      </c>
    </row>
    <row r="8" spans="1:44">
      <c r="C8" s="17">
        <v>4</v>
      </c>
      <c r="D8" s="40">
        <v>2</v>
      </c>
      <c r="E8" s="40">
        <v>2</v>
      </c>
      <c r="F8" s="20"/>
      <c r="G8" s="17">
        <v>6</v>
      </c>
      <c r="H8" s="18">
        <v>1</v>
      </c>
      <c r="N8" s="17" t="s">
        <v>107</v>
      </c>
      <c r="Q8" s="17">
        <v>4</v>
      </c>
      <c r="R8" s="40">
        <v>3</v>
      </c>
      <c r="S8" s="40"/>
      <c r="T8" s="40"/>
      <c r="U8" s="40"/>
      <c r="W8" s="17">
        <v>4</v>
      </c>
      <c r="X8" s="40">
        <v>1</v>
      </c>
      <c r="Y8" s="40"/>
      <c r="Z8" s="40"/>
      <c r="AA8" s="40">
        <v>1</v>
      </c>
      <c r="AO8" s="17">
        <v>6</v>
      </c>
    </row>
    <row r="9" spans="1:44">
      <c r="C9" s="27" t="s">
        <v>104</v>
      </c>
      <c r="D9" s="40">
        <v>2</v>
      </c>
      <c r="E9" s="40">
        <v>2</v>
      </c>
      <c r="F9" s="20"/>
      <c r="G9" s="17">
        <v>7</v>
      </c>
      <c r="H9" s="18">
        <v>1</v>
      </c>
      <c r="N9" s="17" t="s">
        <v>108</v>
      </c>
      <c r="Q9" s="27" t="s">
        <v>104</v>
      </c>
      <c r="R9" s="40">
        <v>3</v>
      </c>
      <c r="S9" s="40"/>
      <c r="T9" s="40"/>
      <c r="U9" s="40"/>
      <c r="W9" s="27" t="s">
        <v>104</v>
      </c>
      <c r="X9" s="40">
        <v>1</v>
      </c>
      <c r="Y9" s="40"/>
      <c r="Z9" s="40"/>
      <c r="AA9" s="40">
        <v>1</v>
      </c>
      <c r="AO9" s="17">
        <v>7</v>
      </c>
    </row>
    <row r="10" spans="1:44">
      <c r="C10" s="17">
        <v>5</v>
      </c>
      <c r="D10" s="40"/>
      <c r="E10" s="40"/>
      <c r="F10" s="20"/>
      <c r="G10" s="17" t="s">
        <v>35</v>
      </c>
      <c r="H10" s="18">
        <v>1</v>
      </c>
      <c r="N10" s="17" t="s">
        <v>35</v>
      </c>
      <c r="Q10" s="17">
        <v>5</v>
      </c>
      <c r="R10" s="40"/>
      <c r="S10" s="40"/>
      <c r="T10" s="40"/>
      <c r="U10" s="40"/>
      <c r="W10" s="17">
        <v>5</v>
      </c>
      <c r="X10" s="40"/>
      <c r="Y10" s="40"/>
      <c r="Z10" s="40"/>
      <c r="AA10" s="40"/>
      <c r="AO10" s="17" t="s">
        <v>35</v>
      </c>
    </row>
    <row r="11" spans="1:44">
      <c r="C11" s="27" t="s">
        <v>107</v>
      </c>
      <c r="D11" s="40"/>
      <c r="E11" s="40"/>
      <c r="F11" s="20"/>
      <c r="Q11" s="27" t="s">
        <v>107</v>
      </c>
      <c r="R11" s="40"/>
      <c r="S11" s="40"/>
      <c r="T11" s="40"/>
      <c r="U11" s="40"/>
      <c r="W11" s="27" t="s">
        <v>107</v>
      </c>
      <c r="X11" s="40"/>
      <c r="Y11" s="40"/>
      <c r="Z11" s="40"/>
      <c r="AA11" s="40"/>
    </row>
    <row r="12" spans="1:44">
      <c r="C12" s="17">
        <v>6</v>
      </c>
      <c r="D12" s="40">
        <v>2</v>
      </c>
      <c r="E12" s="40">
        <v>2</v>
      </c>
      <c r="F12" s="20"/>
      <c r="Q12" s="17">
        <v>6</v>
      </c>
      <c r="R12" s="40"/>
      <c r="S12" s="40"/>
      <c r="T12" s="40"/>
      <c r="U12" s="40"/>
      <c r="W12" s="17">
        <v>6</v>
      </c>
      <c r="X12" s="40"/>
      <c r="Y12" s="40">
        <v>1</v>
      </c>
      <c r="Z12" s="40"/>
      <c r="AA12" s="40"/>
    </row>
    <row r="13" spans="1:44">
      <c r="C13" s="27" t="s">
        <v>106</v>
      </c>
      <c r="D13" s="40">
        <v>2</v>
      </c>
      <c r="E13" s="40">
        <v>2</v>
      </c>
      <c r="Q13" s="27" t="s">
        <v>106</v>
      </c>
      <c r="R13" s="40"/>
      <c r="S13" s="40"/>
      <c r="T13" s="40"/>
      <c r="U13" s="40"/>
      <c r="W13" s="27" t="s">
        <v>106</v>
      </c>
      <c r="X13" s="40"/>
      <c r="Y13" s="40">
        <v>1</v>
      </c>
      <c r="Z13" s="40"/>
      <c r="AA13" s="40"/>
    </row>
    <row r="14" spans="1:44">
      <c r="C14" s="17">
        <v>7</v>
      </c>
      <c r="D14" s="40">
        <v>2</v>
      </c>
      <c r="E14" s="40">
        <v>2</v>
      </c>
      <c r="Q14" s="17">
        <v>7</v>
      </c>
      <c r="R14" s="40"/>
      <c r="S14" s="40"/>
      <c r="T14" s="40"/>
      <c r="U14" s="40"/>
      <c r="W14" s="17">
        <v>7</v>
      </c>
      <c r="X14" s="40"/>
      <c r="Y14" s="40"/>
      <c r="Z14" s="40"/>
      <c r="AA14" s="40"/>
    </row>
    <row r="15" spans="1:44">
      <c r="C15" s="27" t="s">
        <v>108</v>
      </c>
      <c r="D15" s="40">
        <v>2</v>
      </c>
      <c r="E15" s="40">
        <v>2</v>
      </c>
      <c r="Q15" s="27" t="s">
        <v>108</v>
      </c>
      <c r="R15" s="40"/>
      <c r="S15" s="40"/>
      <c r="T15" s="40"/>
      <c r="U15" s="40"/>
      <c r="W15" s="27" t="s">
        <v>108</v>
      </c>
      <c r="X15" s="40"/>
      <c r="Y15" s="40"/>
      <c r="Z15" s="40"/>
      <c r="AA15" s="40"/>
    </row>
    <row r="16" spans="1:44">
      <c r="C16" s="17" t="s">
        <v>35</v>
      </c>
      <c r="D16" s="40">
        <v>6</v>
      </c>
      <c r="E16" s="40">
        <v>6</v>
      </c>
      <c r="Q16" s="17" t="s">
        <v>35</v>
      </c>
      <c r="R16" s="40">
        <v>3</v>
      </c>
      <c r="S16" s="40"/>
      <c r="T16" s="40"/>
      <c r="U16" s="40">
        <v>1</v>
      </c>
      <c r="W16" s="17" t="s">
        <v>35</v>
      </c>
      <c r="X16" s="40">
        <v>1</v>
      </c>
      <c r="Y16" s="40">
        <v>1</v>
      </c>
      <c r="Z16" s="40"/>
      <c r="AA16" s="40">
        <v>1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S1" zoomScale="99" zoomScaleNormal="90" workbookViewId="0">
      <selection activeCell="AI14" sqref="AI14"/>
    </sheetView>
  </sheetViews>
  <sheetFormatPr baseColWidth="10" defaultRowHeight="13.8"/>
  <cols>
    <col min="1" max="1" width="2.796875" customWidth="1"/>
    <col min="3" max="3" width="25.199218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25.199218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27.39843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39843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MAX(Datos!O:O)</f>
        <v>7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39</v>
      </c>
      <c r="E3" s="40">
        <v>50</v>
      </c>
      <c r="F3" s="31">
        <v>78</v>
      </c>
      <c r="G3" s="40">
        <v>265</v>
      </c>
      <c r="H3" s="40">
        <v>314</v>
      </c>
      <c r="I3" s="31">
        <v>84.394904458598731</v>
      </c>
      <c r="K3" s="17">
        <v>1</v>
      </c>
      <c r="L3" s="40">
        <v>9</v>
      </c>
      <c r="M3" s="40">
        <v>19</v>
      </c>
      <c r="N3" s="31">
        <v>32.142857142857146</v>
      </c>
      <c r="P3" s="40">
        <v>97</v>
      </c>
      <c r="Q3" s="40">
        <v>56</v>
      </c>
      <c r="R3" s="31">
        <v>36.601307189542482</v>
      </c>
      <c r="T3" s="17">
        <v>1</v>
      </c>
      <c r="U3" s="40">
        <v>24</v>
      </c>
      <c r="V3" s="40">
        <v>4</v>
      </c>
      <c r="W3" s="40">
        <v>3</v>
      </c>
      <c r="X3" s="40">
        <v>12</v>
      </c>
      <c r="Z3" s="17">
        <v>1</v>
      </c>
      <c r="AA3" s="40">
        <v>10</v>
      </c>
      <c r="AB3" s="40">
        <v>1</v>
      </c>
      <c r="AC3" s="40"/>
      <c r="AD3" s="40">
        <v>2</v>
      </c>
      <c r="AH3" t="s">
        <v>65</v>
      </c>
      <c r="AI3">
        <f>GETPIVOTDATA("Suma de goles favor",$G$2)</f>
        <v>265</v>
      </c>
      <c r="AK3" s="40">
        <v>35</v>
      </c>
      <c r="AL3" s="40">
        <v>2</v>
      </c>
      <c r="AM3" s="40">
        <v>1</v>
      </c>
      <c r="AN3" s="40">
        <v>16</v>
      </c>
    </row>
    <row r="4" spans="1:50">
      <c r="A4" s="14"/>
      <c r="C4" s="27" t="s">
        <v>105</v>
      </c>
      <c r="D4" s="40">
        <v>39</v>
      </c>
      <c r="E4" s="40">
        <v>50</v>
      </c>
      <c r="F4" s="31">
        <v>78</v>
      </c>
      <c r="H4"/>
      <c r="K4" s="27" t="s">
        <v>105</v>
      </c>
      <c r="L4" s="40">
        <v>9</v>
      </c>
      <c r="M4" s="40">
        <v>19</v>
      </c>
      <c r="N4" s="31">
        <v>32.142857142857146</v>
      </c>
      <c r="T4" s="27" t="s">
        <v>105</v>
      </c>
      <c r="U4" s="40">
        <v>24</v>
      </c>
      <c r="V4" s="40">
        <v>4</v>
      </c>
      <c r="W4" s="40">
        <v>3</v>
      </c>
      <c r="X4" s="40">
        <v>12</v>
      </c>
      <c r="Z4" s="27" t="s">
        <v>105</v>
      </c>
      <c r="AA4" s="40">
        <v>10</v>
      </c>
      <c r="AB4" s="40">
        <v>1</v>
      </c>
      <c r="AC4" s="40"/>
      <c r="AD4" s="40">
        <v>2</v>
      </c>
      <c r="AH4" t="s">
        <v>66</v>
      </c>
      <c r="AI4">
        <f>GETPIVOTDATA("Suma de goles contra",$P$2)</f>
        <v>97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3</v>
      </c>
      <c r="D5" s="40">
        <v>48</v>
      </c>
      <c r="E5" s="40">
        <v>54</v>
      </c>
      <c r="F5" s="31">
        <v>88.888888888888886</v>
      </c>
      <c r="H5"/>
      <c r="K5" s="17">
        <v>3</v>
      </c>
      <c r="L5" s="40">
        <v>6</v>
      </c>
      <c r="M5" s="40">
        <v>8</v>
      </c>
      <c r="N5" s="31">
        <v>42.857142857142854</v>
      </c>
      <c r="T5" s="17">
        <v>3</v>
      </c>
      <c r="U5" s="40">
        <v>28</v>
      </c>
      <c r="V5" s="40">
        <v>1</v>
      </c>
      <c r="W5" s="40"/>
      <c r="X5" s="40">
        <v>19</v>
      </c>
      <c r="Z5" s="17">
        <v>3</v>
      </c>
      <c r="AA5" s="40">
        <v>2</v>
      </c>
      <c r="AB5" s="40"/>
      <c r="AC5" s="40"/>
      <c r="AD5" s="40">
        <v>1</v>
      </c>
      <c r="AH5" t="s">
        <v>67</v>
      </c>
      <c r="AI5">
        <f>GETPIVOTDATA("Suma de Paradas",$P$2)</f>
        <v>56</v>
      </c>
      <c r="AJ5" s="38">
        <f>AI5/AI2</f>
        <v>8</v>
      </c>
      <c r="AK5" t="s">
        <v>45</v>
      </c>
      <c r="AL5" t="s">
        <v>44</v>
      </c>
      <c r="AM5" t="s">
        <v>75</v>
      </c>
      <c r="AP5" s="40">
        <v>153</v>
      </c>
      <c r="AQ5" s="40">
        <v>13</v>
      </c>
      <c r="AR5" s="40">
        <v>7</v>
      </c>
      <c r="AS5" s="40">
        <v>100</v>
      </c>
      <c r="AU5" s="40">
        <v>35</v>
      </c>
      <c r="AV5" s="40">
        <v>2</v>
      </c>
      <c r="AW5" s="40">
        <v>1</v>
      </c>
      <c r="AX5" s="40">
        <v>16</v>
      </c>
    </row>
    <row r="6" spans="1:50">
      <c r="C6" s="27" t="s">
        <v>102</v>
      </c>
      <c r="D6" s="40">
        <v>48</v>
      </c>
      <c r="E6" s="40">
        <v>54</v>
      </c>
      <c r="F6" s="31">
        <v>88.888888888888886</v>
      </c>
      <c r="H6"/>
      <c r="K6" s="27" t="s">
        <v>102</v>
      </c>
      <c r="L6" s="40">
        <v>6</v>
      </c>
      <c r="M6" s="40">
        <v>8</v>
      </c>
      <c r="N6" s="31">
        <v>42.857142857142854</v>
      </c>
      <c r="T6" s="27" t="s">
        <v>102</v>
      </c>
      <c r="U6" s="40">
        <v>28</v>
      </c>
      <c r="V6" s="40">
        <v>1</v>
      </c>
      <c r="W6" s="40"/>
      <c r="X6" s="40">
        <v>19</v>
      </c>
      <c r="Z6" s="27" t="s">
        <v>102</v>
      </c>
      <c r="AA6" s="40">
        <v>2</v>
      </c>
      <c r="AB6" s="40"/>
      <c r="AC6" s="40"/>
      <c r="AD6" s="40">
        <v>1</v>
      </c>
      <c r="AH6" t="s">
        <v>68</v>
      </c>
      <c r="AI6">
        <f>GETPIVOTDATA("Suma de lanzamientos realizados",$G$2)</f>
        <v>314</v>
      </c>
      <c r="AJ6" s="38">
        <f>AI6/AI2</f>
        <v>44.857142857142854</v>
      </c>
      <c r="AK6" s="40">
        <v>153</v>
      </c>
      <c r="AL6" s="40">
        <v>100</v>
      </c>
      <c r="AM6" s="40">
        <v>7</v>
      </c>
    </row>
    <row r="7" spans="1:50">
      <c r="C7" s="17">
        <v>4</v>
      </c>
      <c r="D7" s="40">
        <v>49</v>
      </c>
      <c r="E7" s="40">
        <v>55</v>
      </c>
      <c r="F7" s="31">
        <v>89.090909090909093</v>
      </c>
      <c r="H7"/>
      <c r="K7" s="17">
        <v>4</v>
      </c>
      <c r="L7" s="40">
        <v>11</v>
      </c>
      <c r="M7" s="40">
        <v>14</v>
      </c>
      <c r="N7" s="31">
        <v>44</v>
      </c>
      <c r="T7" s="17">
        <v>4</v>
      </c>
      <c r="U7" s="40">
        <v>25</v>
      </c>
      <c r="V7" s="40">
        <v>2</v>
      </c>
      <c r="W7" s="40">
        <v>2</v>
      </c>
      <c r="X7" s="40">
        <v>23</v>
      </c>
      <c r="Z7" s="17">
        <v>4</v>
      </c>
      <c r="AA7" s="40">
        <v>5</v>
      </c>
      <c r="AB7" s="40"/>
      <c r="AC7" s="40"/>
      <c r="AD7" s="40">
        <v>5</v>
      </c>
      <c r="AH7" t="s">
        <v>69</v>
      </c>
      <c r="AI7" s="32">
        <f>GETPIVOTDATA("Suma de Campo11",$G$2)</f>
        <v>84.394904458598731</v>
      </c>
    </row>
    <row r="8" spans="1:50">
      <c r="C8" s="27" t="s">
        <v>104</v>
      </c>
      <c r="D8" s="40">
        <v>49</v>
      </c>
      <c r="E8" s="40">
        <v>55</v>
      </c>
      <c r="F8" s="31">
        <v>89.090909090909093</v>
      </c>
      <c r="H8"/>
      <c r="K8" s="27" t="s">
        <v>104</v>
      </c>
      <c r="L8" s="40">
        <v>11</v>
      </c>
      <c r="M8" s="40">
        <v>14</v>
      </c>
      <c r="N8" s="31">
        <v>44</v>
      </c>
      <c r="T8" s="27" t="s">
        <v>104</v>
      </c>
      <c r="U8" s="40">
        <v>25</v>
      </c>
      <c r="V8" s="40">
        <v>2</v>
      </c>
      <c r="W8" s="40">
        <v>2</v>
      </c>
      <c r="X8" s="40">
        <v>23</v>
      </c>
      <c r="Z8" s="27" t="s">
        <v>104</v>
      </c>
      <c r="AA8" s="40">
        <v>5</v>
      </c>
      <c r="AB8" s="40"/>
      <c r="AC8" s="40"/>
      <c r="AD8" s="40">
        <v>5</v>
      </c>
      <c r="AH8" t="s">
        <v>72</v>
      </c>
      <c r="AI8" s="32">
        <f>AI3/AI2</f>
        <v>37.857142857142854</v>
      </c>
    </row>
    <row r="9" spans="1:50">
      <c r="C9" s="17">
        <v>5</v>
      </c>
      <c r="D9" s="40">
        <v>50</v>
      </c>
      <c r="E9" s="40">
        <v>66</v>
      </c>
      <c r="F9" s="31">
        <v>75.757575757575751</v>
      </c>
      <c r="H9"/>
      <c r="K9" s="17">
        <v>5</v>
      </c>
      <c r="L9" s="40">
        <v>14</v>
      </c>
      <c r="M9" s="40">
        <v>24</v>
      </c>
      <c r="N9" s="31">
        <v>36.84210526315789</v>
      </c>
      <c r="O9"/>
      <c r="T9" s="17">
        <v>5</v>
      </c>
      <c r="U9" s="40">
        <v>25</v>
      </c>
      <c r="V9" s="40">
        <v>4</v>
      </c>
      <c r="W9" s="40">
        <v>2</v>
      </c>
      <c r="X9" s="40">
        <v>20</v>
      </c>
      <c r="Z9" s="17">
        <v>5</v>
      </c>
      <c r="AA9" s="40">
        <v>5</v>
      </c>
      <c r="AB9" s="40"/>
      <c r="AC9" s="40"/>
      <c r="AD9" s="40">
        <v>4</v>
      </c>
      <c r="AH9" t="s">
        <v>70</v>
      </c>
      <c r="AI9" s="29">
        <f>GETPIVOTDATA("Suma de Paradas",$P$2)/(AI4+AI5)</f>
        <v>0.36601307189542481</v>
      </c>
    </row>
    <row r="10" spans="1:50">
      <c r="C10" s="27" t="s">
        <v>107</v>
      </c>
      <c r="D10" s="40">
        <v>50</v>
      </c>
      <c r="E10" s="40">
        <v>66</v>
      </c>
      <c r="F10" s="31">
        <v>75.757575757575751</v>
      </c>
      <c r="G10" s="19"/>
      <c r="K10" s="27" t="s">
        <v>107</v>
      </c>
      <c r="L10" s="40">
        <v>14</v>
      </c>
      <c r="M10" s="40">
        <v>24</v>
      </c>
      <c r="N10" s="31">
        <v>36.84210526315789</v>
      </c>
      <c r="T10" s="27" t="s">
        <v>107</v>
      </c>
      <c r="U10" s="40">
        <v>25</v>
      </c>
      <c r="V10" s="40">
        <v>4</v>
      </c>
      <c r="W10" s="40">
        <v>2</v>
      </c>
      <c r="X10" s="40">
        <v>20</v>
      </c>
      <c r="Z10" s="27" t="s">
        <v>107</v>
      </c>
      <c r="AA10" s="40">
        <v>5</v>
      </c>
      <c r="AB10" s="40"/>
      <c r="AC10" s="40"/>
      <c r="AD10" s="40">
        <v>4</v>
      </c>
      <c r="AH10" t="s">
        <v>71</v>
      </c>
      <c r="AI10" s="32">
        <f>AI4/AI2</f>
        <v>13.857142857142858</v>
      </c>
    </row>
    <row r="11" spans="1:50">
      <c r="C11" s="17">
        <v>6</v>
      </c>
      <c r="D11" s="40">
        <v>37</v>
      </c>
      <c r="E11" s="40">
        <v>43</v>
      </c>
      <c r="F11" s="31">
        <v>86.04651162790698</v>
      </c>
      <c r="G11" s="19"/>
      <c r="K11" s="17">
        <v>6</v>
      </c>
      <c r="L11" s="40">
        <v>10</v>
      </c>
      <c r="M11" s="40">
        <v>17</v>
      </c>
      <c r="N11" s="31">
        <v>37.037037037037038</v>
      </c>
      <c r="T11" s="17">
        <v>6</v>
      </c>
      <c r="U11" s="40">
        <v>27</v>
      </c>
      <c r="V11" s="40">
        <v>1</v>
      </c>
      <c r="W11" s="40"/>
      <c r="X11" s="40">
        <v>12</v>
      </c>
      <c r="Z11" s="17">
        <v>6</v>
      </c>
      <c r="AA11" s="40">
        <v>6</v>
      </c>
      <c r="AB11" s="40">
        <v>1</v>
      </c>
      <c r="AC11" s="40"/>
      <c r="AD11" s="40">
        <v>2</v>
      </c>
      <c r="AH11" t="s">
        <v>73</v>
      </c>
      <c r="AI11">
        <f>GETPIVOTDATA("Asistencias",$AK$5)</f>
        <v>153</v>
      </c>
      <c r="AJ11" s="32">
        <f>AI11/AI2</f>
        <v>21.857142857142858</v>
      </c>
    </row>
    <row r="12" spans="1:50">
      <c r="C12" s="27" t="s">
        <v>106</v>
      </c>
      <c r="D12" s="40">
        <v>37</v>
      </c>
      <c r="E12" s="40">
        <v>43</v>
      </c>
      <c r="F12" s="31">
        <v>86.04651162790698</v>
      </c>
      <c r="G12" s="19"/>
      <c r="K12" s="27" t="s">
        <v>106</v>
      </c>
      <c r="L12" s="40">
        <v>10</v>
      </c>
      <c r="M12" s="40">
        <v>17</v>
      </c>
      <c r="N12" s="31">
        <v>37.037037037037038</v>
      </c>
      <c r="T12" s="27" t="s">
        <v>106</v>
      </c>
      <c r="U12" s="40">
        <v>27</v>
      </c>
      <c r="V12" s="40">
        <v>1</v>
      </c>
      <c r="W12" s="40"/>
      <c r="X12" s="40">
        <v>12</v>
      </c>
      <c r="Z12" s="27" t="s">
        <v>106</v>
      </c>
      <c r="AA12" s="40">
        <v>6</v>
      </c>
      <c r="AB12" s="40">
        <v>1</v>
      </c>
      <c r="AC12" s="40"/>
      <c r="AD12" s="40">
        <v>2</v>
      </c>
      <c r="AH12" t="s">
        <v>74</v>
      </c>
      <c r="AI12">
        <f>GETPIVOTDATA("Pérdidas pase",$AK$2)+GETPIVOTDATA("Áreas",$AK$2)+GETPIVOTDATA("Perdidas otros",$AK$2)</f>
        <v>38</v>
      </c>
      <c r="AJ12" s="32">
        <f>AI12/$AI$2</f>
        <v>5.4285714285714288</v>
      </c>
    </row>
    <row r="13" spans="1:50">
      <c r="C13" s="17">
        <v>7</v>
      </c>
      <c r="D13" s="40">
        <v>42</v>
      </c>
      <c r="E13" s="40">
        <v>46</v>
      </c>
      <c r="F13" s="31">
        <v>91.304347826086953</v>
      </c>
      <c r="K13" s="17">
        <v>7</v>
      </c>
      <c r="L13" s="40">
        <v>6</v>
      </c>
      <c r="M13" s="40">
        <v>15</v>
      </c>
      <c r="N13" s="31">
        <v>28.571428571428569</v>
      </c>
      <c r="T13" s="17">
        <v>7</v>
      </c>
      <c r="U13" s="40">
        <v>24</v>
      </c>
      <c r="V13" s="40">
        <v>1</v>
      </c>
      <c r="W13" s="40"/>
      <c r="X13" s="40">
        <v>14</v>
      </c>
      <c r="Z13" s="17">
        <v>7</v>
      </c>
      <c r="AA13" s="40">
        <v>7</v>
      </c>
      <c r="AB13" s="40"/>
      <c r="AC13" s="40">
        <v>1</v>
      </c>
      <c r="AD13" s="40">
        <v>2</v>
      </c>
      <c r="AH13" t="s">
        <v>76</v>
      </c>
      <c r="AI13">
        <f>GETPIVOTDATA("Recuperaciones",$AK$5)</f>
        <v>100</v>
      </c>
      <c r="AJ13" s="32">
        <f>AI13/$AI$2</f>
        <v>14.285714285714286</v>
      </c>
    </row>
    <row r="14" spans="1:50">
      <c r="C14" s="27" t="s">
        <v>108</v>
      </c>
      <c r="D14" s="40">
        <v>42</v>
      </c>
      <c r="E14" s="40">
        <v>46</v>
      </c>
      <c r="F14" s="31">
        <v>91.304347826086953</v>
      </c>
      <c r="K14" s="27" t="s">
        <v>108</v>
      </c>
      <c r="L14" s="40">
        <v>6</v>
      </c>
      <c r="M14" s="40">
        <v>15</v>
      </c>
      <c r="N14" s="31">
        <v>28.571428571428569</v>
      </c>
      <c r="T14" s="27" t="s">
        <v>108</v>
      </c>
      <c r="U14" s="40">
        <v>24</v>
      </c>
      <c r="V14" s="40">
        <v>1</v>
      </c>
      <c r="W14" s="40"/>
      <c r="X14" s="40">
        <v>14</v>
      </c>
      <c r="Z14" s="27" t="s">
        <v>108</v>
      </c>
      <c r="AA14" s="40">
        <v>7</v>
      </c>
      <c r="AB14" s="40"/>
      <c r="AC14" s="40">
        <v>1</v>
      </c>
      <c r="AD14" s="40">
        <v>2</v>
      </c>
      <c r="AH14" t="s">
        <v>77</v>
      </c>
      <c r="AI14">
        <f>GETPIVOTDATA("Suma de Exclusión +",$AK$5)</f>
        <v>7</v>
      </c>
      <c r="AJ14" s="32">
        <f>AI14/$AI$2</f>
        <v>1</v>
      </c>
    </row>
    <row r="15" spans="1:50">
      <c r="C15" s="17" t="s">
        <v>35</v>
      </c>
      <c r="D15" s="40">
        <v>265</v>
      </c>
      <c r="E15" s="40">
        <v>314</v>
      </c>
      <c r="F15" s="31">
        <v>84.394904458598731</v>
      </c>
      <c r="K15" s="17" t="s">
        <v>35</v>
      </c>
      <c r="L15" s="40">
        <v>56</v>
      </c>
      <c r="M15" s="40">
        <v>97</v>
      </c>
      <c r="N15" s="31">
        <v>36.601307189542482</v>
      </c>
      <c r="T15" s="17" t="s">
        <v>35</v>
      </c>
      <c r="U15" s="40">
        <v>153</v>
      </c>
      <c r="V15" s="40">
        <v>13</v>
      </c>
      <c r="W15" s="40">
        <v>7</v>
      </c>
      <c r="X15" s="40">
        <v>100</v>
      </c>
      <c r="Z15" s="17" t="s">
        <v>35</v>
      </c>
      <c r="AA15" s="40">
        <v>35</v>
      </c>
      <c r="AB15" s="40">
        <v>2</v>
      </c>
      <c r="AC15" s="40">
        <v>1</v>
      </c>
      <c r="AD15" s="40">
        <v>16</v>
      </c>
      <c r="AH15" t="s">
        <v>78</v>
      </c>
      <c r="AI15">
        <f>GETPIVOTDATA("Exclusiones",$AK$2)</f>
        <v>16</v>
      </c>
      <c r="AJ15" s="32">
        <f>AI15/$AI$2</f>
        <v>2.2857142857142856</v>
      </c>
    </row>
    <row r="16" spans="1:50">
      <c r="F16"/>
      <c r="N16"/>
      <c r="AH16" t="s">
        <v>80</v>
      </c>
      <c r="AI16">
        <f>GETPIVOTDATA("Penaltis provocados",$T$2)</f>
        <v>13</v>
      </c>
    </row>
    <row r="17" spans="6:35">
      <c r="F17"/>
      <c r="N17"/>
      <c r="AH17" t="s">
        <v>81</v>
      </c>
      <c r="AI17">
        <f>GETPIVOTDATA("Pérdidas pase",$Z$2)</f>
        <v>35</v>
      </c>
    </row>
    <row r="18" spans="6:35">
      <c r="F18"/>
      <c r="N18"/>
      <c r="AH18" t="s">
        <v>82</v>
      </c>
      <c r="AI18">
        <f>GETPIVOTDATA("Perdidas otros",$Z$2)</f>
        <v>1</v>
      </c>
    </row>
    <row r="19" spans="6:35">
      <c r="F19"/>
      <c r="N19"/>
      <c r="AH19" t="s">
        <v>83</v>
      </c>
      <c r="AI19">
        <f>GETPIVOTDATA("Áreas",$Z$2)</f>
        <v>2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30" zoomScaleNormal="130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33" zoomScaleNormal="130" workbookViewId="0">
      <selection activeCell="O22" sqref="O2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abSelected="1"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2" t="s">
        <v>87</v>
      </c>
      <c r="E2" s="53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4" t="s">
        <v>99</v>
      </c>
      <c r="E2" s="55"/>
      <c r="F2" s="5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2026-02-24T10:41:27Z</dcterms:modified>
</cp:coreProperties>
</file>