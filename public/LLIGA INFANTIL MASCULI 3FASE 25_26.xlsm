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8D41E3F2-A035-4726-A110-4F9D62125574}" xr6:coauthVersionLast="36" xr6:coauthVersionMax="47" xr10:uidLastSave="{00000000-0000-0000-0000-000000000000}"/>
  <bookViews>
    <workbookView xWindow="0" yWindow="0" windowWidth="23040" windowHeight="8940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Datos!$A$1:$Q$191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1" i="1" l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U115" i="1"/>
  <c r="V115" i="1"/>
  <c r="W115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T157" i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T167" i="1"/>
  <c r="S168" i="1"/>
  <c r="V168" i="1" s="1"/>
  <c r="S169" i="1"/>
  <c r="T169" i="1" s="1"/>
  <c r="S170" i="1"/>
  <c r="U170" i="1" s="1"/>
  <c r="S171" i="1"/>
  <c r="T171" i="1" s="1"/>
  <c r="S172" i="1"/>
  <c r="W172" i="1" s="1"/>
  <c r="E154" i="1"/>
  <c r="E155" i="1"/>
  <c r="E156" i="1"/>
  <c r="E158" i="1"/>
  <c r="E164" i="1"/>
  <c r="E166" i="1"/>
  <c r="E167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T187" i="1" l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6" i="6"/>
  <c r="AI13" i="6"/>
  <c r="AI15" i="6"/>
  <c r="AI4" i="6"/>
  <c r="AI19" i="6"/>
  <c r="AR5" i="2"/>
  <c r="AI3" i="6"/>
  <c r="AI16" i="6"/>
  <c r="AI5" i="6"/>
  <c r="AI18" i="6"/>
  <c r="AI7" i="6"/>
  <c r="AI14" i="6"/>
  <c r="AI17" i="6"/>
  <c r="AI11" i="6"/>
  <c r="AI12" i="6"/>
  <c r="AJ6" i="6" l="1"/>
  <c r="AJ5" i="6"/>
  <c r="AJ11" i="6"/>
  <c r="AJ12" i="6"/>
  <c r="AI8" i="6"/>
  <c r="AJ13" i="6"/>
  <c r="AI10" i="6"/>
  <c r="AJ14" i="6"/>
  <c r="AJ15" i="6"/>
  <c r="AR4" i="2"/>
  <c r="AR7" i="2"/>
  <c r="AI9" i="6"/>
  <c r="AR6" i="2"/>
</calcChain>
</file>

<file path=xl/sharedStrings.xml><?xml version="1.0" encoding="utf-8"?>
<sst xmlns="http://schemas.openxmlformats.org/spreadsheetml/2006/main" count="800" uniqueCount="130">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</sst>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8"/>
      <tableStyleElement type="headerRow" dxfId="47"/>
    </tableStyle>
    <tableStyle name="mi estilo personalizado 2" pivot="0" table="0" count="10" xr9:uid="{3D081C6B-30F4-4F84-BB75-048369B2BAFE}">
      <tableStyleElement type="wholeTable" dxfId="46"/>
      <tableStyleElement type="headerRow" dxfId="45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68,9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2,125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2,375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094.413284606482" createdVersion="8" refreshedVersion="6" minRefreshableVersion="3" recordCount="190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 u="1"/>
        <n v="12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6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19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4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34"/>
        <item m="1" x="42"/>
        <item m="1" x="21"/>
        <item m="1" x="16"/>
        <item m="1" x="25"/>
        <item m="1" x="14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4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Campo1" fld="24" baseField="0" baseItem="0"/>
  </dataFields>
  <formats count="2">
    <format dxfId="21">
      <pivotArea collapsedLevelsAreSubtotals="1" fieldPosition="0">
        <references count="1">
          <reference field="14" count="0"/>
        </references>
      </pivotArea>
    </format>
    <format dxfId="20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4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23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/>
        <i x="11" s="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6">
        <i x="3" s="1"/>
        <i x="2" s="1"/>
        <i x="9" s="1"/>
        <i x="4" s="1"/>
        <i x="8" s="1"/>
        <i x="0" s="1"/>
        <i x="7" s="1"/>
        <i x="6" s="1"/>
        <i x="5" s="1"/>
        <i x="1" s="1"/>
        <i x="43" s="1" nd="1"/>
        <i x="38" s="1" nd="1"/>
        <i x="41" s="1" nd="1"/>
        <i x="37" s="1" nd="1"/>
        <i x="30" s="1" nd="1"/>
        <i x="36" s="1" nd="1"/>
        <i x="29" s="1" nd="1"/>
        <i x="17" s="1" nd="1"/>
        <i x="33" s="1" nd="1"/>
        <i x="12" s="1" nd="1"/>
        <i x="44" s="1" nd="1"/>
        <i x="11" s="1" nd="1"/>
        <i x="14" s="1" nd="1"/>
        <i x="34" s="1" nd="1"/>
        <i x="45" s="1" nd="1"/>
        <i x="35" s="1" nd="1"/>
        <i x="42" s="1" nd="1"/>
        <i x="21" s="1" nd="1"/>
        <i x="15" s="1" nd="1"/>
        <i x="28" s="1" nd="1"/>
        <i x="23" s="1" nd="1"/>
        <i x="39" s="1" nd="1"/>
        <i x="31" s="1" nd="1"/>
        <i x="26" s="1" nd="1"/>
        <i x="20" s="1" nd="1"/>
        <i x="13" s="1" nd="1"/>
        <i x="40" s="1" nd="1"/>
        <i x="32" s="1" nd="1"/>
        <i x="27" s="1" nd="1"/>
        <i x="22" s="1" nd="1"/>
        <i x="25" s="1" nd="1"/>
        <i x="16" s="1" nd="1"/>
        <i x="19" s="1" nd="1"/>
        <i x="18" s="1" nd="1"/>
        <i x="24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91" totalsRowShown="0">
  <autoFilter ref="A1:W191" xr:uid="{4E0CACF7-2516-40E4-A13A-36A69BFCF042}">
    <filterColumn colId="14">
      <filters>
        <filter val="8"/>
      </filters>
    </filterColumn>
  </autoFilter>
  <tableColumns count="23">
    <tableColumn id="1" xr3:uid="{52391530-6B4D-4F5B-A13F-EBEFDEBFF05D}" name="Jugador" dataDxfId="44" dataCellStyle="Normal 3"/>
    <tableColumn id="2" xr3:uid="{20EFE687-939F-4CE3-B940-223B282FF463}" name="Goles" dataDxfId="43" dataCellStyle="Normal 3"/>
    <tableColumn id="3" xr3:uid="{684A7D4D-D7B7-43F6-9A93-2ACF8C669153}" name="Paradas" dataDxfId="42" dataCellStyle="Normal 3"/>
    <tableColumn id="4" xr3:uid="{AAA14793-E69C-41E1-B0A0-4517D77AAD17}" name="Lanzam." dataDxfId="41" dataCellStyle="Normal 3"/>
    <tableColumn id="5" xr3:uid="{F7F9DF44-8244-4CC7-A0D1-06835389FDF4}" name="% lanz" dataDxfId="40" dataCellStyle="Porcentaje"/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/>
    <tableColumn id="11" xr3:uid="{96A71FE8-7C2B-4C18-AC1B-E8C62789BC53}" name="goles favor" dataDxfId="25" dataCellStyle="Normal 3"/>
    <tableColumn id="15" xr3:uid="{46089932-E578-45E8-A8AB-7B2B44941717}" name="goles contra" dataDxfId="24" dataCellStyle="Normal 3"/>
    <tableColumn id="16" xr3:uid="{BDAED3E0-6A88-4C71-B9F0-1E82A087A2F2}" name="lanzamientos realizados" dataDxfId="23" dataCellStyle="Normal 3"/>
    <tableColumn id="18" xr3:uid="{7B0893AD-D9E4-4F00-8941-20FDECBB17AC}" name="lanzamientos recibidos" dataDxfId="2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91"/>
  <sheetViews>
    <sheetView tabSelected="1" workbookViewId="0">
      <pane ySplit="1" topLeftCell="A107" activePane="bottomLeft" state="frozen"/>
      <selection pane="bottomLeft" activeCell="M183" sqref="M183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/>
      <c r="H183" s="22">
        <v>3</v>
      </c>
      <c r="I183" s="22"/>
      <c r="J183" s="22"/>
      <c r="K183" s="22"/>
      <c r="L183" s="22">
        <v>2</v>
      </c>
      <c r="M183" s="22"/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4"/>
  <sheetViews>
    <sheetView zoomScale="99" zoomScaleNormal="90" workbookViewId="0">
      <selection activeCell="D4" sqref="D4"/>
    </sheetView>
  </sheetViews>
  <sheetFormatPr baseColWidth="10" defaultRowHeight="13.8"/>
  <cols>
    <col min="1" max="1" width="2.796875" customWidth="1"/>
    <col min="3" max="3" width="25.19921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59765625" bestFit="1" customWidth="1"/>
    <col min="15" max="15" width="9.296875" bestFit="1" customWidth="1"/>
    <col min="16" max="16" width="24.796875" bestFit="1" customWidth="1"/>
    <col min="17" max="17" width="27.39843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39843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51">
        <v>3</v>
      </c>
      <c r="E4" s="51">
        <v>3</v>
      </c>
      <c r="F4" s="20"/>
      <c r="G4" s="17">
        <v>1</v>
      </c>
      <c r="H4" s="18">
        <v>1</v>
      </c>
      <c r="J4" s="17" t="s">
        <v>26</v>
      </c>
      <c r="K4" s="51">
        <v>34</v>
      </c>
      <c r="L4" s="51">
        <v>39</v>
      </c>
      <c r="N4" s="17" t="s">
        <v>102</v>
      </c>
      <c r="Q4" s="17">
        <v>1</v>
      </c>
      <c r="R4" s="51">
        <v>1</v>
      </c>
      <c r="S4" s="51"/>
      <c r="T4" s="51"/>
      <c r="U4" s="51">
        <v>2</v>
      </c>
      <c r="W4" s="17">
        <v>1</v>
      </c>
      <c r="X4" s="51"/>
      <c r="Y4" s="51"/>
      <c r="Z4" s="51"/>
      <c r="AA4" s="51"/>
      <c r="AC4" s="18">
        <v>0.87179487179487181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2.125</v>
      </c>
    </row>
    <row r="5" spans="1:44">
      <c r="C5" s="27" t="s">
        <v>105</v>
      </c>
      <c r="D5" s="51">
        <v>3</v>
      </c>
      <c r="E5" s="51">
        <v>3</v>
      </c>
      <c r="F5" s="20"/>
      <c r="G5" s="17">
        <v>2</v>
      </c>
      <c r="H5" s="18">
        <v>0.75</v>
      </c>
      <c r="J5" s="17" t="s">
        <v>35</v>
      </c>
      <c r="K5" s="51">
        <v>34</v>
      </c>
      <c r="L5" s="51">
        <v>39</v>
      </c>
      <c r="N5" s="17" t="s">
        <v>104</v>
      </c>
      <c r="Q5" s="27" t="s">
        <v>105</v>
      </c>
      <c r="R5" s="51">
        <v>1</v>
      </c>
      <c r="S5" s="51"/>
      <c r="T5" s="51"/>
      <c r="U5" s="51">
        <v>2</v>
      </c>
      <c r="W5" s="27" t="s">
        <v>105</v>
      </c>
      <c r="X5" s="51"/>
      <c r="Y5" s="51"/>
      <c r="Z5" s="51"/>
      <c r="AA5" s="51"/>
      <c r="AE5" s="51">
        <v>19</v>
      </c>
      <c r="AF5" s="51">
        <v>2</v>
      </c>
      <c r="AG5" s="51"/>
      <c r="AH5" s="51">
        <v>17</v>
      </c>
      <c r="AJ5" s="51">
        <v>4</v>
      </c>
      <c r="AK5" s="51">
        <v>3</v>
      </c>
      <c r="AL5" s="51"/>
      <c r="AM5" s="51"/>
      <c r="AO5" s="17">
        <v>2</v>
      </c>
      <c r="AQ5" t="s">
        <v>96</v>
      </c>
      <c r="AR5">
        <f>GETPIVOTDATA("Exclusiones provocadas",$AE$4)/Analisis_Equipo!AI2</f>
        <v>0</v>
      </c>
    </row>
    <row r="6" spans="1:44">
      <c r="C6" s="17">
        <v>2</v>
      </c>
      <c r="D6" s="51">
        <v>6</v>
      </c>
      <c r="E6" s="51">
        <v>8</v>
      </c>
      <c r="F6" s="20"/>
      <c r="G6" s="17">
        <v>3</v>
      </c>
      <c r="H6" s="18">
        <v>1</v>
      </c>
      <c r="N6" s="17" t="s">
        <v>105</v>
      </c>
      <c r="Q6" s="17">
        <v>2</v>
      </c>
      <c r="R6" s="51">
        <v>8</v>
      </c>
      <c r="S6" s="51"/>
      <c r="T6" s="51"/>
      <c r="U6" s="51">
        <v>3</v>
      </c>
      <c r="W6" s="17">
        <v>2</v>
      </c>
      <c r="X6" s="51"/>
      <c r="Y6" s="51"/>
      <c r="Z6" s="51"/>
      <c r="AA6" s="51">
        <v>1</v>
      </c>
      <c r="AO6" s="17">
        <v>3</v>
      </c>
      <c r="AQ6" t="s">
        <v>97</v>
      </c>
      <c r="AR6">
        <f>GETPIVOTDATA("Penaltis provocados",$AE$4)/Analisis_Equipo!AI2</f>
        <v>0.25</v>
      </c>
    </row>
    <row r="7" spans="1:44">
      <c r="C7" s="27" t="s">
        <v>126</v>
      </c>
      <c r="D7" s="51">
        <v>6</v>
      </c>
      <c r="E7" s="51">
        <v>8</v>
      </c>
      <c r="F7" s="20"/>
      <c r="G7" s="17">
        <v>4</v>
      </c>
      <c r="H7" s="18" t="e">
        <v>#DIV/0!</v>
      </c>
      <c r="N7" s="17" t="s">
        <v>106</v>
      </c>
      <c r="Q7" s="27" t="s">
        <v>126</v>
      </c>
      <c r="R7" s="51">
        <v>8</v>
      </c>
      <c r="S7" s="51"/>
      <c r="T7" s="51"/>
      <c r="U7" s="51">
        <v>3</v>
      </c>
      <c r="W7" s="27" t="s">
        <v>126</v>
      </c>
      <c r="X7" s="51"/>
      <c r="Y7" s="51"/>
      <c r="Z7" s="51"/>
      <c r="AA7" s="51">
        <v>1</v>
      </c>
      <c r="AO7" s="17">
        <v>4</v>
      </c>
      <c r="AQ7" t="s">
        <v>98</v>
      </c>
      <c r="AR7">
        <f>GETPIVOTDATA("Asistencias",$AE$4)/Analisis_Equipo!AI2</f>
        <v>2.375</v>
      </c>
    </row>
    <row r="8" spans="1:44">
      <c r="C8" s="17">
        <v>3</v>
      </c>
      <c r="D8" s="51">
        <v>5</v>
      </c>
      <c r="E8" s="51">
        <v>5</v>
      </c>
      <c r="F8" s="20"/>
      <c r="G8" s="17">
        <v>5</v>
      </c>
      <c r="H8" s="18">
        <v>1</v>
      </c>
      <c r="N8" s="17" t="s">
        <v>107</v>
      </c>
      <c r="Q8" s="17">
        <v>3</v>
      </c>
      <c r="R8" s="51">
        <v>2</v>
      </c>
      <c r="S8" s="51"/>
      <c r="T8" s="51"/>
      <c r="U8" s="51">
        <v>6</v>
      </c>
      <c r="W8" s="17">
        <v>3</v>
      </c>
      <c r="X8" s="51"/>
      <c r="Y8" s="51"/>
      <c r="Z8" s="51"/>
      <c r="AA8" s="51"/>
      <c r="AO8" s="17">
        <v>5</v>
      </c>
    </row>
    <row r="9" spans="1:44">
      <c r="C9" s="27" t="s">
        <v>102</v>
      </c>
      <c r="D9" s="51">
        <v>5</v>
      </c>
      <c r="E9" s="51">
        <v>5</v>
      </c>
      <c r="F9" s="20"/>
      <c r="G9" s="17">
        <v>6</v>
      </c>
      <c r="H9" s="18">
        <v>0.66666666666666663</v>
      </c>
      <c r="N9" s="17" t="s">
        <v>108</v>
      </c>
      <c r="Q9" s="27" t="s">
        <v>102</v>
      </c>
      <c r="R9" s="51">
        <v>2</v>
      </c>
      <c r="S9" s="51"/>
      <c r="T9" s="51"/>
      <c r="U9" s="51">
        <v>6</v>
      </c>
      <c r="W9" s="27" t="s">
        <v>102</v>
      </c>
      <c r="X9" s="51"/>
      <c r="Y9" s="51"/>
      <c r="Z9" s="51"/>
      <c r="AA9" s="51"/>
      <c r="AO9" s="17">
        <v>6</v>
      </c>
    </row>
    <row r="10" spans="1:44">
      <c r="C10" s="17">
        <v>4</v>
      </c>
      <c r="D10" s="51"/>
      <c r="E10" s="51"/>
      <c r="F10" s="20"/>
      <c r="G10" s="17">
        <v>7</v>
      </c>
      <c r="H10" s="18">
        <v>1</v>
      </c>
      <c r="N10" s="17" t="s">
        <v>126</v>
      </c>
      <c r="Q10" s="17">
        <v>4</v>
      </c>
      <c r="R10" s="51"/>
      <c r="S10" s="51"/>
      <c r="T10" s="51"/>
      <c r="U10" s="51"/>
      <c r="W10" s="17">
        <v>4</v>
      </c>
      <c r="X10" s="51"/>
      <c r="Y10" s="51"/>
      <c r="Z10" s="51"/>
      <c r="AA10" s="51"/>
      <c r="AO10" s="17">
        <v>7</v>
      </c>
    </row>
    <row r="11" spans="1:44">
      <c r="C11" s="27" t="s">
        <v>104</v>
      </c>
      <c r="D11" s="51"/>
      <c r="E11" s="51"/>
      <c r="F11" s="20"/>
      <c r="G11" s="17">
        <v>8</v>
      </c>
      <c r="H11" s="18">
        <v>1</v>
      </c>
      <c r="N11" s="17" t="s">
        <v>127</v>
      </c>
      <c r="Q11" s="27" t="s">
        <v>104</v>
      </c>
      <c r="R11" s="51"/>
      <c r="S11" s="51"/>
      <c r="T11" s="51"/>
      <c r="U11" s="51"/>
      <c r="W11" s="27" t="s">
        <v>104</v>
      </c>
      <c r="X11" s="51"/>
      <c r="Y11" s="51"/>
      <c r="Z11" s="51"/>
      <c r="AA11" s="51"/>
      <c r="AO11" s="17">
        <v>8</v>
      </c>
    </row>
    <row r="12" spans="1:44">
      <c r="C12" s="17">
        <v>5</v>
      </c>
      <c r="D12" s="51">
        <v>6</v>
      </c>
      <c r="E12" s="51">
        <v>6</v>
      </c>
      <c r="F12" s="20"/>
      <c r="G12" s="17">
        <v>9</v>
      </c>
      <c r="H12" s="18">
        <v>1</v>
      </c>
      <c r="N12" s="17" t="s">
        <v>128</v>
      </c>
      <c r="Q12" s="17">
        <v>5</v>
      </c>
      <c r="R12" s="51">
        <v>1</v>
      </c>
      <c r="S12" s="51">
        <v>1</v>
      </c>
      <c r="T12" s="51"/>
      <c r="U12" s="51">
        <v>1</v>
      </c>
      <c r="W12" s="17">
        <v>5</v>
      </c>
      <c r="X12" s="51"/>
      <c r="Y12" s="51"/>
      <c r="Z12" s="51"/>
      <c r="AA12" s="51"/>
      <c r="AO12" s="17">
        <v>9</v>
      </c>
    </row>
    <row r="13" spans="1:44">
      <c r="C13" s="27" t="s">
        <v>107</v>
      </c>
      <c r="D13" s="51">
        <v>6</v>
      </c>
      <c r="E13" s="51">
        <v>6</v>
      </c>
      <c r="G13" s="17">
        <v>10</v>
      </c>
      <c r="H13" s="18">
        <v>0.5</v>
      </c>
      <c r="N13" s="17" t="s">
        <v>129</v>
      </c>
      <c r="Q13" s="27" t="s">
        <v>107</v>
      </c>
      <c r="R13" s="51">
        <v>1</v>
      </c>
      <c r="S13" s="51">
        <v>1</v>
      </c>
      <c r="T13" s="51"/>
      <c r="U13" s="51">
        <v>1</v>
      </c>
      <c r="W13" s="27" t="s">
        <v>107</v>
      </c>
      <c r="X13" s="51"/>
      <c r="Y13" s="51"/>
      <c r="Z13" s="51"/>
      <c r="AA13" s="51"/>
      <c r="AO13" s="17">
        <v>10</v>
      </c>
    </row>
    <row r="14" spans="1:44">
      <c r="C14" s="17">
        <v>6</v>
      </c>
      <c r="D14" s="51">
        <v>2</v>
      </c>
      <c r="E14" s="51">
        <v>3</v>
      </c>
      <c r="G14" s="17" t="s">
        <v>35</v>
      </c>
      <c r="H14" s="18">
        <v>0.87179487179487181</v>
      </c>
      <c r="N14" s="17" t="s">
        <v>35</v>
      </c>
      <c r="Q14" s="17">
        <v>6</v>
      </c>
      <c r="R14" s="51">
        <v>1</v>
      </c>
      <c r="S14" s="51">
        <v>1</v>
      </c>
      <c r="T14" s="51"/>
      <c r="U14" s="51"/>
      <c r="W14" s="17">
        <v>6</v>
      </c>
      <c r="X14" s="51">
        <v>1</v>
      </c>
      <c r="Y14" s="51"/>
      <c r="Z14" s="51"/>
      <c r="AA14" s="51">
        <v>1</v>
      </c>
      <c r="AO14" s="17" t="s">
        <v>35</v>
      </c>
    </row>
    <row r="15" spans="1:44">
      <c r="C15" s="27" t="s">
        <v>106</v>
      </c>
      <c r="D15" s="51">
        <v>2</v>
      </c>
      <c r="E15" s="51">
        <v>3</v>
      </c>
      <c r="Q15" s="27" t="s">
        <v>106</v>
      </c>
      <c r="R15" s="51">
        <v>1</v>
      </c>
      <c r="S15" s="51">
        <v>1</v>
      </c>
      <c r="T15" s="51"/>
      <c r="U15" s="51"/>
      <c r="W15" s="27" t="s">
        <v>106</v>
      </c>
      <c r="X15" s="51">
        <v>1</v>
      </c>
      <c r="Y15" s="51"/>
      <c r="Z15" s="51"/>
      <c r="AA15" s="51">
        <v>1</v>
      </c>
    </row>
    <row r="16" spans="1:44">
      <c r="C16" s="17">
        <v>7</v>
      </c>
      <c r="D16" s="51">
        <v>4</v>
      </c>
      <c r="E16" s="51">
        <v>4</v>
      </c>
      <c r="Q16" s="17">
        <v>7</v>
      </c>
      <c r="R16" s="51">
        <v>1</v>
      </c>
      <c r="S16" s="51"/>
      <c r="T16" s="51"/>
      <c r="U16" s="51">
        <v>1</v>
      </c>
      <c r="W16" s="17">
        <v>7</v>
      </c>
      <c r="X16" s="51"/>
      <c r="Y16" s="51"/>
      <c r="Z16" s="51"/>
      <c r="AA16" s="51"/>
    </row>
    <row r="17" spans="3:27">
      <c r="C17" s="27" t="s">
        <v>108</v>
      </c>
      <c r="D17" s="51">
        <v>4</v>
      </c>
      <c r="E17" s="51">
        <v>4</v>
      </c>
      <c r="Q17" s="27" t="s">
        <v>108</v>
      </c>
      <c r="R17" s="51">
        <v>1</v>
      </c>
      <c r="S17" s="51"/>
      <c r="T17" s="51"/>
      <c r="U17" s="51">
        <v>1</v>
      </c>
      <c r="W17" s="27" t="s">
        <v>108</v>
      </c>
      <c r="X17" s="51"/>
      <c r="Y17" s="51"/>
      <c r="Z17" s="51"/>
      <c r="AA17" s="51"/>
    </row>
    <row r="18" spans="3:27">
      <c r="C18" s="17">
        <v>8</v>
      </c>
      <c r="D18" s="51">
        <v>1</v>
      </c>
      <c r="E18" s="51">
        <v>1</v>
      </c>
      <c r="Q18" s="17">
        <v>8</v>
      </c>
      <c r="R18" s="51"/>
      <c r="S18" s="51"/>
      <c r="T18" s="51"/>
      <c r="U18" s="51">
        <v>1</v>
      </c>
      <c r="W18" s="17">
        <v>8</v>
      </c>
      <c r="X18" s="51"/>
      <c r="Y18" s="51"/>
      <c r="Z18" s="51"/>
      <c r="AA18" s="51">
        <v>2</v>
      </c>
    </row>
    <row r="19" spans="3:27">
      <c r="C19" s="27" t="s">
        <v>129</v>
      </c>
      <c r="D19" s="51">
        <v>1</v>
      </c>
      <c r="E19" s="51">
        <v>1</v>
      </c>
      <c r="Q19" s="27" t="s">
        <v>129</v>
      </c>
      <c r="R19" s="51"/>
      <c r="S19" s="51"/>
      <c r="T19" s="51"/>
      <c r="U19" s="51">
        <v>1</v>
      </c>
      <c r="W19" s="27" t="s">
        <v>129</v>
      </c>
      <c r="X19" s="51"/>
      <c r="Y19" s="51"/>
      <c r="Z19" s="51"/>
      <c r="AA19" s="51">
        <v>2</v>
      </c>
    </row>
    <row r="20" spans="3:27">
      <c r="C20" s="17">
        <v>9</v>
      </c>
      <c r="D20" s="51">
        <v>5</v>
      </c>
      <c r="E20" s="51">
        <v>5</v>
      </c>
      <c r="Q20" s="17">
        <v>9</v>
      </c>
      <c r="R20" s="51">
        <v>3</v>
      </c>
      <c r="S20" s="51"/>
      <c r="T20" s="51"/>
      <c r="U20" s="51">
        <v>1</v>
      </c>
      <c r="W20" s="17">
        <v>9</v>
      </c>
      <c r="X20" s="51"/>
      <c r="Y20" s="51"/>
      <c r="Z20" s="51"/>
      <c r="AA20" s="51"/>
    </row>
    <row r="21" spans="3:27">
      <c r="C21" s="27" t="s">
        <v>127</v>
      </c>
      <c r="D21" s="51">
        <v>5</v>
      </c>
      <c r="E21" s="51">
        <v>5</v>
      </c>
      <c r="Q21" s="27" t="s">
        <v>127</v>
      </c>
      <c r="R21" s="51">
        <v>3</v>
      </c>
      <c r="S21" s="51"/>
      <c r="T21" s="51"/>
      <c r="U21" s="51">
        <v>1</v>
      </c>
      <c r="W21" s="27" t="s">
        <v>127</v>
      </c>
      <c r="X21" s="51"/>
      <c r="Y21" s="51"/>
      <c r="Z21" s="51"/>
      <c r="AA21" s="51"/>
    </row>
    <row r="22" spans="3:27">
      <c r="C22" s="17">
        <v>10</v>
      </c>
      <c r="D22" s="51">
        <v>2</v>
      </c>
      <c r="E22" s="51">
        <v>4</v>
      </c>
      <c r="Q22" s="17">
        <v>10</v>
      </c>
      <c r="R22" s="51">
        <v>2</v>
      </c>
      <c r="S22" s="51"/>
      <c r="T22" s="51"/>
      <c r="U22" s="51">
        <v>2</v>
      </c>
      <c r="W22" s="17">
        <v>10</v>
      </c>
      <c r="X22" s="51">
        <v>2</v>
      </c>
      <c r="Y22" s="51"/>
      <c r="Z22" s="51"/>
      <c r="AA22" s="51"/>
    </row>
    <row r="23" spans="3:27">
      <c r="C23" s="27" t="s">
        <v>128</v>
      </c>
      <c r="D23" s="51">
        <v>2</v>
      </c>
      <c r="E23" s="51">
        <v>4</v>
      </c>
      <c r="Q23" s="27" t="s">
        <v>128</v>
      </c>
      <c r="R23" s="51">
        <v>2</v>
      </c>
      <c r="S23" s="51"/>
      <c r="T23" s="51"/>
      <c r="U23" s="51">
        <v>2</v>
      </c>
      <c r="W23" s="27" t="s">
        <v>128</v>
      </c>
      <c r="X23" s="51">
        <v>2</v>
      </c>
      <c r="Y23" s="51"/>
      <c r="Z23" s="51"/>
      <c r="AA23" s="51"/>
    </row>
    <row r="24" spans="3:27">
      <c r="C24" s="17" t="s">
        <v>35</v>
      </c>
      <c r="D24" s="51">
        <v>34</v>
      </c>
      <c r="E24" s="51">
        <v>39</v>
      </c>
      <c r="Q24" s="17" t="s">
        <v>35</v>
      </c>
      <c r="R24" s="51">
        <v>19</v>
      </c>
      <c r="S24" s="51">
        <v>2</v>
      </c>
      <c r="T24" s="51"/>
      <c r="U24" s="51">
        <v>17</v>
      </c>
      <c r="W24" s="17" t="s">
        <v>35</v>
      </c>
      <c r="X24" s="51">
        <v>3</v>
      </c>
      <c r="Y24" s="51"/>
      <c r="Z24" s="51"/>
      <c r="AA24" s="51">
        <v>4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199218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25.199218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27.39843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39843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51">
        <v>39</v>
      </c>
      <c r="E3" s="51">
        <v>50</v>
      </c>
      <c r="F3" s="31">
        <v>78</v>
      </c>
      <c r="G3" s="51">
        <v>464</v>
      </c>
      <c r="H3" s="51">
        <v>551</v>
      </c>
      <c r="I3" s="31">
        <v>84.210526315789465</v>
      </c>
      <c r="K3" s="17">
        <v>1</v>
      </c>
      <c r="L3" s="51">
        <v>9</v>
      </c>
      <c r="M3" s="51">
        <v>19</v>
      </c>
      <c r="N3" s="31">
        <v>32.142857142857146</v>
      </c>
      <c r="P3" s="51">
        <v>168</v>
      </c>
      <c r="Q3" s="51">
        <v>104</v>
      </c>
      <c r="R3" s="31">
        <v>38.235294117647058</v>
      </c>
      <c r="T3" s="17">
        <v>1</v>
      </c>
      <c r="U3" s="51">
        <v>24</v>
      </c>
      <c r="V3" s="51">
        <v>4</v>
      </c>
      <c r="W3" s="51">
        <v>3</v>
      </c>
      <c r="X3" s="51">
        <v>12</v>
      </c>
      <c r="Z3" s="17">
        <v>1</v>
      </c>
      <c r="AA3" s="51">
        <v>10</v>
      </c>
      <c r="AB3" s="51">
        <v>1</v>
      </c>
      <c r="AC3" s="51"/>
      <c r="AD3" s="51">
        <v>2</v>
      </c>
      <c r="AH3" t="s">
        <v>65</v>
      </c>
      <c r="AI3">
        <f>GETPIVOTDATA("Suma de goles favor",$G$2)</f>
        <v>464</v>
      </c>
      <c r="AK3" s="51">
        <v>57</v>
      </c>
      <c r="AL3" s="51">
        <v>4</v>
      </c>
      <c r="AM3" s="51">
        <v>8</v>
      </c>
      <c r="AN3" s="51">
        <v>27</v>
      </c>
    </row>
    <row r="4" spans="1:50">
      <c r="A4" s="14"/>
      <c r="C4" s="27" t="s">
        <v>105</v>
      </c>
      <c r="D4" s="51">
        <v>39</v>
      </c>
      <c r="E4" s="51">
        <v>50</v>
      </c>
      <c r="F4" s="31">
        <v>78</v>
      </c>
      <c r="H4"/>
      <c r="K4" s="27" t="s">
        <v>105</v>
      </c>
      <c r="L4" s="51">
        <v>9</v>
      </c>
      <c r="M4" s="51">
        <v>19</v>
      </c>
      <c r="N4" s="31">
        <v>32.142857142857146</v>
      </c>
      <c r="T4" s="27" t="s">
        <v>105</v>
      </c>
      <c r="U4" s="51">
        <v>24</v>
      </c>
      <c r="V4" s="51">
        <v>4</v>
      </c>
      <c r="W4" s="51">
        <v>3</v>
      </c>
      <c r="X4" s="51">
        <v>12</v>
      </c>
      <c r="Z4" s="27" t="s">
        <v>105</v>
      </c>
      <c r="AA4" s="51">
        <v>10</v>
      </c>
      <c r="AB4" s="51">
        <v>1</v>
      </c>
      <c r="AC4" s="51"/>
      <c r="AD4" s="51">
        <v>2</v>
      </c>
      <c r="AH4" t="s">
        <v>66</v>
      </c>
      <c r="AI4">
        <f>GETPIVOTDATA("Suma de goles contra",$P$2)</f>
        <v>168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2</v>
      </c>
      <c r="D5" s="51">
        <v>50</v>
      </c>
      <c r="E5" s="51">
        <v>57</v>
      </c>
      <c r="F5" s="31">
        <v>87.719298245614027</v>
      </c>
      <c r="H5"/>
      <c r="K5" s="17">
        <v>2</v>
      </c>
      <c r="L5" s="51">
        <v>13</v>
      </c>
      <c r="M5" s="51">
        <v>18</v>
      </c>
      <c r="N5" s="31">
        <v>41.935483870967744</v>
      </c>
      <c r="T5" s="17">
        <v>2</v>
      </c>
      <c r="U5" s="51">
        <v>33</v>
      </c>
      <c r="V5" s="51">
        <v>4</v>
      </c>
      <c r="W5" s="51">
        <v>3</v>
      </c>
      <c r="X5" s="51">
        <v>18</v>
      </c>
      <c r="Z5" s="17">
        <v>2</v>
      </c>
      <c r="AA5" s="51">
        <v>5</v>
      </c>
      <c r="AB5" s="51"/>
      <c r="AC5" s="51">
        <v>2</v>
      </c>
      <c r="AD5" s="51">
        <v>3</v>
      </c>
      <c r="AH5" t="s">
        <v>67</v>
      </c>
      <c r="AI5">
        <f>GETPIVOTDATA("Suma de Paradas",$P$2)</f>
        <v>104</v>
      </c>
      <c r="AJ5" s="38">
        <f>AI5/AI2</f>
        <v>13</v>
      </c>
      <c r="AK5" t="s">
        <v>45</v>
      </c>
      <c r="AL5" t="s">
        <v>44</v>
      </c>
      <c r="AM5" t="s">
        <v>75</v>
      </c>
      <c r="AP5" s="51">
        <v>265</v>
      </c>
      <c r="AQ5" s="51">
        <v>20</v>
      </c>
      <c r="AR5" s="51">
        <v>18</v>
      </c>
      <c r="AS5" s="51">
        <v>189</v>
      </c>
      <c r="AU5" s="51">
        <v>57</v>
      </c>
      <c r="AV5" s="51">
        <v>4</v>
      </c>
      <c r="AW5" s="51">
        <v>8</v>
      </c>
      <c r="AX5" s="51">
        <v>27</v>
      </c>
    </row>
    <row r="6" spans="1:50">
      <c r="C6" s="27" t="s">
        <v>126</v>
      </c>
      <c r="D6" s="51">
        <v>50</v>
      </c>
      <c r="E6" s="51">
        <v>57</v>
      </c>
      <c r="F6" s="31">
        <v>87.719298245614027</v>
      </c>
      <c r="H6"/>
      <c r="K6" s="27" t="s">
        <v>126</v>
      </c>
      <c r="L6" s="51">
        <v>13</v>
      </c>
      <c r="M6" s="51">
        <v>18</v>
      </c>
      <c r="N6" s="31">
        <v>41.935483870967744</v>
      </c>
      <c r="T6" s="27" t="s">
        <v>126</v>
      </c>
      <c r="U6" s="51">
        <v>33</v>
      </c>
      <c r="V6" s="51">
        <v>4</v>
      </c>
      <c r="W6" s="51">
        <v>3</v>
      </c>
      <c r="X6" s="51">
        <v>18</v>
      </c>
      <c r="Z6" s="27" t="s">
        <v>126</v>
      </c>
      <c r="AA6" s="51">
        <v>5</v>
      </c>
      <c r="AB6" s="51"/>
      <c r="AC6" s="51">
        <v>2</v>
      </c>
      <c r="AD6" s="51">
        <v>3</v>
      </c>
      <c r="AH6" t="s">
        <v>68</v>
      </c>
      <c r="AI6">
        <f>GETPIVOTDATA("Suma de lanzamientos realizados",$G$2)</f>
        <v>551</v>
      </c>
      <c r="AJ6" s="38">
        <f>AI6/AI2</f>
        <v>68.875</v>
      </c>
      <c r="AK6" s="51">
        <v>265</v>
      </c>
      <c r="AL6" s="51">
        <v>189</v>
      </c>
      <c r="AM6" s="51">
        <v>18</v>
      </c>
    </row>
    <row r="7" spans="1:50">
      <c r="C7" s="17">
        <v>3</v>
      </c>
      <c r="D7" s="51">
        <v>48</v>
      </c>
      <c r="E7" s="51">
        <v>54</v>
      </c>
      <c r="F7" s="31">
        <v>88.888888888888886</v>
      </c>
      <c r="H7"/>
      <c r="K7" s="17">
        <v>3</v>
      </c>
      <c r="L7" s="51">
        <v>6</v>
      </c>
      <c r="M7" s="51">
        <v>8</v>
      </c>
      <c r="N7" s="31">
        <v>42.857142857142854</v>
      </c>
      <c r="T7" s="17">
        <v>3</v>
      </c>
      <c r="U7" s="51">
        <v>28</v>
      </c>
      <c r="V7" s="51">
        <v>1</v>
      </c>
      <c r="W7" s="51"/>
      <c r="X7" s="51">
        <v>19</v>
      </c>
      <c r="Z7" s="17">
        <v>3</v>
      </c>
      <c r="AA7" s="51">
        <v>2</v>
      </c>
      <c r="AB7" s="51"/>
      <c r="AC7" s="51"/>
      <c r="AD7" s="51">
        <v>1</v>
      </c>
      <c r="AH7" t="s">
        <v>69</v>
      </c>
      <c r="AI7" s="32">
        <f>GETPIVOTDATA("Suma de Campo11",$G$2)</f>
        <v>84.210526315789465</v>
      </c>
    </row>
    <row r="8" spans="1:50">
      <c r="C8" s="27" t="s">
        <v>102</v>
      </c>
      <c r="D8" s="51">
        <v>48</v>
      </c>
      <c r="E8" s="51">
        <v>54</v>
      </c>
      <c r="F8" s="31">
        <v>88.888888888888886</v>
      </c>
      <c r="H8"/>
      <c r="K8" s="27" t="s">
        <v>102</v>
      </c>
      <c r="L8" s="51">
        <v>6</v>
      </c>
      <c r="M8" s="51">
        <v>8</v>
      </c>
      <c r="N8" s="31">
        <v>42.857142857142854</v>
      </c>
      <c r="T8" s="27" t="s">
        <v>102</v>
      </c>
      <c r="U8" s="51">
        <v>28</v>
      </c>
      <c r="V8" s="51">
        <v>1</v>
      </c>
      <c r="W8" s="51"/>
      <c r="X8" s="51">
        <v>19</v>
      </c>
      <c r="Z8" s="27" t="s">
        <v>102</v>
      </c>
      <c r="AA8" s="51">
        <v>2</v>
      </c>
      <c r="AB8" s="51"/>
      <c r="AC8" s="51"/>
      <c r="AD8" s="51">
        <v>1</v>
      </c>
      <c r="AH8" t="s">
        <v>72</v>
      </c>
      <c r="AI8" s="32">
        <f>AI3/AI2</f>
        <v>58</v>
      </c>
    </row>
    <row r="9" spans="1:50">
      <c r="C9" s="17">
        <v>4</v>
      </c>
      <c r="D9" s="51">
        <v>49</v>
      </c>
      <c r="E9" s="51">
        <v>55</v>
      </c>
      <c r="F9" s="31">
        <v>89.090909090909093</v>
      </c>
      <c r="H9"/>
      <c r="K9" s="17">
        <v>4</v>
      </c>
      <c r="L9" s="51">
        <v>11</v>
      </c>
      <c r="M9" s="51">
        <v>14</v>
      </c>
      <c r="N9" s="31">
        <v>44</v>
      </c>
      <c r="O9"/>
      <c r="T9" s="17">
        <v>4</v>
      </c>
      <c r="U9" s="51">
        <v>25</v>
      </c>
      <c r="V9" s="51">
        <v>2</v>
      </c>
      <c r="W9" s="51">
        <v>2</v>
      </c>
      <c r="X9" s="51">
        <v>23</v>
      </c>
      <c r="Z9" s="17">
        <v>4</v>
      </c>
      <c r="AA9" s="51">
        <v>5</v>
      </c>
      <c r="AB9" s="51"/>
      <c r="AC9" s="51"/>
      <c r="AD9" s="51">
        <v>5</v>
      </c>
      <c r="AH9" t="s">
        <v>70</v>
      </c>
      <c r="AI9" s="29">
        <f>GETPIVOTDATA("Suma de Paradas",$P$2)/(AI4+AI5)</f>
        <v>0.38235294117647056</v>
      </c>
    </row>
    <row r="10" spans="1:50">
      <c r="C10" s="27" t="s">
        <v>104</v>
      </c>
      <c r="D10" s="51">
        <v>49</v>
      </c>
      <c r="E10" s="51">
        <v>55</v>
      </c>
      <c r="F10" s="31">
        <v>89.090909090909093</v>
      </c>
      <c r="G10" s="19"/>
      <c r="K10" s="27" t="s">
        <v>104</v>
      </c>
      <c r="L10" s="51">
        <v>11</v>
      </c>
      <c r="M10" s="51">
        <v>14</v>
      </c>
      <c r="N10" s="31">
        <v>44</v>
      </c>
      <c r="T10" s="27" t="s">
        <v>104</v>
      </c>
      <c r="U10" s="51">
        <v>25</v>
      </c>
      <c r="V10" s="51">
        <v>2</v>
      </c>
      <c r="W10" s="51">
        <v>2</v>
      </c>
      <c r="X10" s="51">
        <v>23</v>
      </c>
      <c r="Z10" s="27" t="s">
        <v>104</v>
      </c>
      <c r="AA10" s="51">
        <v>5</v>
      </c>
      <c r="AB10" s="51"/>
      <c r="AC10" s="51"/>
      <c r="AD10" s="51">
        <v>5</v>
      </c>
      <c r="AH10" t="s">
        <v>71</v>
      </c>
      <c r="AI10" s="32">
        <f>AI4/AI2</f>
        <v>21</v>
      </c>
    </row>
    <row r="11" spans="1:50">
      <c r="C11" s="17">
        <v>5</v>
      </c>
      <c r="D11" s="51">
        <v>50</v>
      </c>
      <c r="E11" s="51">
        <v>66</v>
      </c>
      <c r="F11" s="31">
        <v>75.757575757575751</v>
      </c>
      <c r="G11" s="19"/>
      <c r="K11" s="17">
        <v>5</v>
      </c>
      <c r="L11" s="51">
        <v>14</v>
      </c>
      <c r="M11" s="51">
        <v>24</v>
      </c>
      <c r="N11" s="31">
        <v>36.84210526315789</v>
      </c>
      <c r="T11" s="17">
        <v>5</v>
      </c>
      <c r="U11" s="51">
        <v>25</v>
      </c>
      <c r="V11" s="51">
        <v>4</v>
      </c>
      <c r="W11" s="51">
        <v>2</v>
      </c>
      <c r="X11" s="51">
        <v>20</v>
      </c>
      <c r="Z11" s="17">
        <v>5</v>
      </c>
      <c r="AA11" s="51">
        <v>5</v>
      </c>
      <c r="AB11" s="51"/>
      <c r="AC11" s="51"/>
      <c r="AD11" s="51">
        <v>4</v>
      </c>
      <c r="AH11" t="s">
        <v>73</v>
      </c>
      <c r="AI11">
        <f>GETPIVOTDATA("Asistencias",$AK$5)</f>
        <v>265</v>
      </c>
      <c r="AJ11" s="32">
        <f>AI11/AI2</f>
        <v>33.125</v>
      </c>
    </row>
    <row r="12" spans="1:50">
      <c r="C12" s="27" t="s">
        <v>107</v>
      </c>
      <c r="D12" s="51">
        <v>50</v>
      </c>
      <c r="E12" s="51">
        <v>66</v>
      </c>
      <c r="F12" s="31">
        <v>75.757575757575751</v>
      </c>
      <c r="G12" s="19"/>
      <c r="K12" s="27" t="s">
        <v>107</v>
      </c>
      <c r="L12" s="51">
        <v>14</v>
      </c>
      <c r="M12" s="51">
        <v>24</v>
      </c>
      <c r="N12" s="31">
        <v>36.84210526315789</v>
      </c>
      <c r="T12" s="27" t="s">
        <v>107</v>
      </c>
      <c r="U12" s="51">
        <v>25</v>
      </c>
      <c r="V12" s="51">
        <v>4</v>
      </c>
      <c r="W12" s="51">
        <v>2</v>
      </c>
      <c r="X12" s="51">
        <v>20</v>
      </c>
      <c r="Z12" s="27" t="s">
        <v>107</v>
      </c>
      <c r="AA12" s="51">
        <v>5</v>
      </c>
      <c r="AB12" s="51"/>
      <c r="AC12" s="51"/>
      <c r="AD12" s="51">
        <v>4</v>
      </c>
      <c r="AH12" t="s">
        <v>74</v>
      </c>
      <c r="AI12">
        <f>GETPIVOTDATA("Pérdidas pase",$AK$2)+GETPIVOTDATA("Áreas",$AK$2)+GETPIVOTDATA("Perdidas otros",$AK$2)</f>
        <v>69</v>
      </c>
      <c r="AJ12" s="32">
        <f>AI12/$AI$2</f>
        <v>8.625</v>
      </c>
    </row>
    <row r="13" spans="1:50">
      <c r="C13" s="17">
        <v>6</v>
      </c>
      <c r="D13" s="51">
        <v>37</v>
      </c>
      <c r="E13" s="51">
        <v>43</v>
      </c>
      <c r="F13" s="31">
        <v>86.04651162790698</v>
      </c>
      <c r="K13" s="17">
        <v>6</v>
      </c>
      <c r="L13" s="51">
        <v>10</v>
      </c>
      <c r="M13" s="51">
        <v>17</v>
      </c>
      <c r="N13" s="31">
        <v>37.037037037037038</v>
      </c>
      <c r="T13" s="17">
        <v>6</v>
      </c>
      <c r="U13" s="51">
        <v>27</v>
      </c>
      <c r="V13" s="51">
        <v>1</v>
      </c>
      <c r="W13" s="51"/>
      <c r="X13" s="51">
        <v>12</v>
      </c>
      <c r="Z13" s="17">
        <v>6</v>
      </c>
      <c r="AA13" s="51">
        <v>6</v>
      </c>
      <c r="AB13" s="51">
        <v>1</v>
      </c>
      <c r="AC13" s="51"/>
      <c r="AD13" s="51">
        <v>2</v>
      </c>
      <c r="AH13" t="s">
        <v>76</v>
      </c>
      <c r="AI13">
        <f>GETPIVOTDATA("Recuperaciones",$AK$5)</f>
        <v>189</v>
      </c>
      <c r="AJ13" s="32">
        <f>AI13/$AI$2</f>
        <v>23.625</v>
      </c>
    </row>
    <row r="14" spans="1:50">
      <c r="C14" s="27" t="s">
        <v>106</v>
      </c>
      <c r="D14" s="51">
        <v>37</v>
      </c>
      <c r="E14" s="51">
        <v>43</v>
      </c>
      <c r="F14" s="31">
        <v>86.04651162790698</v>
      </c>
      <c r="K14" s="27" t="s">
        <v>106</v>
      </c>
      <c r="L14" s="51">
        <v>10</v>
      </c>
      <c r="M14" s="51">
        <v>17</v>
      </c>
      <c r="N14" s="31">
        <v>37.037037037037038</v>
      </c>
      <c r="T14" s="27" t="s">
        <v>106</v>
      </c>
      <c r="U14" s="51">
        <v>27</v>
      </c>
      <c r="V14" s="51">
        <v>1</v>
      </c>
      <c r="W14" s="51"/>
      <c r="X14" s="51">
        <v>12</v>
      </c>
      <c r="Z14" s="27" t="s">
        <v>106</v>
      </c>
      <c r="AA14" s="51">
        <v>6</v>
      </c>
      <c r="AB14" s="51">
        <v>1</v>
      </c>
      <c r="AC14" s="51"/>
      <c r="AD14" s="51">
        <v>2</v>
      </c>
      <c r="AH14" t="s">
        <v>77</v>
      </c>
      <c r="AI14">
        <f>GETPIVOTDATA("Suma de Exclusión +",$AK$5)</f>
        <v>18</v>
      </c>
      <c r="AJ14" s="32">
        <f>AI14/$AI$2</f>
        <v>2.25</v>
      </c>
    </row>
    <row r="15" spans="1:50">
      <c r="C15" s="17">
        <v>7</v>
      </c>
      <c r="D15" s="51">
        <v>42</v>
      </c>
      <c r="E15" s="51">
        <v>46</v>
      </c>
      <c r="F15" s="31">
        <v>91.304347826086953</v>
      </c>
      <c r="K15" s="17">
        <v>7</v>
      </c>
      <c r="L15" s="51">
        <v>6</v>
      </c>
      <c r="M15" s="51">
        <v>15</v>
      </c>
      <c r="N15" s="31">
        <v>28.571428571428569</v>
      </c>
      <c r="T15" s="17">
        <v>7</v>
      </c>
      <c r="U15" s="51">
        <v>24</v>
      </c>
      <c r="V15" s="51">
        <v>1</v>
      </c>
      <c r="W15" s="51"/>
      <c r="X15" s="51">
        <v>14</v>
      </c>
      <c r="Z15" s="17">
        <v>7</v>
      </c>
      <c r="AA15" s="51">
        <v>7</v>
      </c>
      <c r="AB15" s="51"/>
      <c r="AC15" s="51">
        <v>1</v>
      </c>
      <c r="AD15" s="51">
        <v>2</v>
      </c>
      <c r="AH15" t="s">
        <v>78</v>
      </c>
      <c r="AI15">
        <f>GETPIVOTDATA("Exclusiones",$AK$2)</f>
        <v>27</v>
      </c>
      <c r="AJ15" s="32">
        <f>AI15/$AI$2</f>
        <v>3.375</v>
      </c>
    </row>
    <row r="16" spans="1:50">
      <c r="C16" s="27" t="s">
        <v>108</v>
      </c>
      <c r="D16" s="51">
        <v>42</v>
      </c>
      <c r="E16" s="51">
        <v>46</v>
      </c>
      <c r="F16" s="31">
        <v>91.304347826086953</v>
      </c>
      <c r="K16" s="27" t="s">
        <v>108</v>
      </c>
      <c r="L16" s="51">
        <v>6</v>
      </c>
      <c r="M16" s="51">
        <v>15</v>
      </c>
      <c r="N16" s="31">
        <v>28.571428571428569</v>
      </c>
      <c r="T16" s="27" t="s">
        <v>108</v>
      </c>
      <c r="U16" s="51">
        <v>24</v>
      </c>
      <c r="V16" s="51">
        <v>1</v>
      </c>
      <c r="W16" s="51"/>
      <c r="X16" s="51">
        <v>14</v>
      </c>
      <c r="Z16" s="27" t="s">
        <v>108</v>
      </c>
      <c r="AA16" s="51">
        <v>7</v>
      </c>
      <c r="AB16" s="51"/>
      <c r="AC16" s="51">
        <v>1</v>
      </c>
      <c r="AD16" s="51">
        <v>2</v>
      </c>
      <c r="AH16" t="s">
        <v>80</v>
      </c>
      <c r="AI16">
        <f>GETPIVOTDATA("Penaltis provocados",$T$2)</f>
        <v>20</v>
      </c>
    </row>
    <row r="17" spans="3:35">
      <c r="C17" s="17">
        <v>8</v>
      </c>
      <c r="D17" s="51">
        <v>44</v>
      </c>
      <c r="E17" s="51">
        <v>54</v>
      </c>
      <c r="F17" s="31">
        <v>81.481481481481481</v>
      </c>
      <c r="K17" s="17">
        <v>8</v>
      </c>
      <c r="L17" s="51">
        <v>11</v>
      </c>
      <c r="M17" s="51">
        <v>24</v>
      </c>
      <c r="N17" s="31">
        <v>31.428571428571427</v>
      </c>
      <c r="T17" s="17">
        <v>8</v>
      </c>
      <c r="U17" s="51">
        <v>20</v>
      </c>
      <c r="V17" s="51"/>
      <c r="W17" s="51">
        <v>5</v>
      </c>
      <c r="X17" s="51">
        <v>18</v>
      </c>
      <c r="Z17" s="17">
        <v>8</v>
      </c>
      <c r="AA17" s="51">
        <v>11</v>
      </c>
      <c r="AB17" s="51">
        <v>2</v>
      </c>
      <c r="AC17" s="51">
        <v>1</v>
      </c>
      <c r="AD17" s="51">
        <v>6</v>
      </c>
      <c r="AH17" t="s">
        <v>81</v>
      </c>
      <c r="AI17">
        <f>GETPIVOTDATA("Pérdidas pase",$Z$2)</f>
        <v>57</v>
      </c>
    </row>
    <row r="18" spans="3:35">
      <c r="C18" s="27" t="s">
        <v>129</v>
      </c>
      <c r="D18" s="51">
        <v>44</v>
      </c>
      <c r="E18" s="51">
        <v>54</v>
      </c>
      <c r="F18" s="31">
        <v>81.481481481481481</v>
      </c>
      <c r="K18" s="27" t="s">
        <v>129</v>
      </c>
      <c r="L18" s="51">
        <v>11</v>
      </c>
      <c r="M18" s="51">
        <v>24</v>
      </c>
      <c r="N18" s="31">
        <v>31.428571428571427</v>
      </c>
      <c r="T18" s="27" t="s">
        <v>129</v>
      </c>
      <c r="U18" s="51">
        <v>20</v>
      </c>
      <c r="V18" s="51"/>
      <c r="W18" s="51">
        <v>5</v>
      </c>
      <c r="X18" s="51">
        <v>18</v>
      </c>
      <c r="Z18" s="27" t="s">
        <v>129</v>
      </c>
      <c r="AA18" s="51">
        <v>11</v>
      </c>
      <c r="AB18" s="51">
        <v>2</v>
      </c>
      <c r="AC18" s="51">
        <v>1</v>
      </c>
      <c r="AD18" s="51">
        <v>6</v>
      </c>
      <c r="AH18" t="s">
        <v>82</v>
      </c>
      <c r="AI18">
        <f>GETPIVOTDATA("Perdidas otros",$Z$2)</f>
        <v>8</v>
      </c>
    </row>
    <row r="19" spans="3:35">
      <c r="C19" s="17">
        <v>9</v>
      </c>
      <c r="D19" s="51">
        <v>57</v>
      </c>
      <c r="E19" s="51">
        <v>62</v>
      </c>
      <c r="F19" s="31">
        <v>91.935483870967744</v>
      </c>
      <c r="K19" s="17">
        <v>9</v>
      </c>
      <c r="L19" s="51">
        <v>10</v>
      </c>
      <c r="M19" s="51">
        <v>16</v>
      </c>
      <c r="N19" s="31">
        <v>38.461538461538467</v>
      </c>
      <c r="T19" s="17">
        <v>9</v>
      </c>
      <c r="U19" s="51">
        <v>30</v>
      </c>
      <c r="V19" s="51">
        <v>1</v>
      </c>
      <c r="W19" s="51">
        <v>2</v>
      </c>
      <c r="X19" s="51">
        <v>27</v>
      </c>
      <c r="Z19" s="17">
        <v>9</v>
      </c>
      <c r="AA19" s="51">
        <v>1</v>
      </c>
      <c r="AB19" s="51"/>
      <c r="AC19" s="51">
        <v>1</v>
      </c>
      <c r="AD19" s="51"/>
      <c r="AH19" t="s">
        <v>83</v>
      </c>
      <c r="AI19">
        <f>GETPIVOTDATA("Áreas",$Z$2)</f>
        <v>4</v>
      </c>
    </row>
    <row r="20" spans="3:35">
      <c r="C20" s="27" t="s">
        <v>127</v>
      </c>
      <c r="D20" s="51">
        <v>57</v>
      </c>
      <c r="E20" s="51">
        <v>62</v>
      </c>
      <c r="F20" s="31">
        <v>91.935483870967744</v>
      </c>
      <c r="K20" s="27" t="s">
        <v>127</v>
      </c>
      <c r="L20" s="51">
        <v>10</v>
      </c>
      <c r="M20" s="51">
        <v>16</v>
      </c>
      <c r="N20" s="31">
        <v>38.461538461538467</v>
      </c>
      <c r="T20" s="27" t="s">
        <v>127</v>
      </c>
      <c r="U20" s="51">
        <v>30</v>
      </c>
      <c r="V20" s="51">
        <v>1</v>
      </c>
      <c r="W20" s="51">
        <v>2</v>
      </c>
      <c r="X20" s="51">
        <v>27</v>
      </c>
      <c r="Z20" s="27" t="s">
        <v>127</v>
      </c>
      <c r="AA20" s="51">
        <v>1</v>
      </c>
      <c r="AB20" s="51"/>
      <c r="AC20" s="51">
        <v>1</v>
      </c>
      <c r="AD20" s="51"/>
    </row>
    <row r="21" spans="3:35">
      <c r="C21" s="17">
        <v>10</v>
      </c>
      <c r="D21" s="51">
        <v>48</v>
      </c>
      <c r="E21" s="51">
        <v>64</v>
      </c>
      <c r="F21" s="31">
        <v>75</v>
      </c>
      <c r="K21" s="17">
        <v>10</v>
      </c>
      <c r="L21" s="51">
        <v>14</v>
      </c>
      <c r="M21" s="51">
        <v>13</v>
      </c>
      <c r="N21" s="31">
        <v>51.851851851851848</v>
      </c>
      <c r="T21" s="17">
        <v>10</v>
      </c>
      <c r="U21" s="51">
        <v>29</v>
      </c>
      <c r="V21" s="51">
        <v>2</v>
      </c>
      <c r="W21" s="51">
        <v>1</v>
      </c>
      <c r="X21" s="51">
        <v>26</v>
      </c>
      <c r="Z21" s="17">
        <v>10</v>
      </c>
      <c r="AA21" s="51">
        <v>5</v>
      </c>
      <c r="AB21" s="51"/>
      <c r="AC21" s="51">
        <v>3</v>
      </c>
      <c r="AD21" s="51">
        <v>2</v>
      </c>
    </row>
    <row r="22" spans="3:35">
      <c r="C22" s="27" t="s">
        <v>128</v>
      </c>
      <c r="D22" s="51">
        <v>48</v>
      </c>
      <c r="E22" s="51">
        <v>64</v>
      </c>
      <c r="F22" s="31">
        <v>75</v>
      </c>
      <c r="K22" s="27" t="s">
        <v>128</v>
      </c>
      <c r="L22" s="51">
        <v>14</v>
      </c>
      <c r="M22" s="51">
        <v>13</v>
      </c>
      <c r="N22" s="31">
        <v>51.851851851851848</v>
      </c>
      <c r="T22" s="27" t="s">
        <v>128</v>
      </c>
      <c r="U22" s="51">
        <v>29</v>
      </c>
      <c r="V22" s="51">
        <v>2</v>
      </c>
      <c r="W22" s="51">
        <v>1</v>
      </c>
      <c r="X22" s="51">
        <v>26</v>
      </c>
      <c r="Z22" s="27" t="s">
        <v>128</v>
      </c>
      <c r="AA22" s="51">
        <v>5</v>
      </c>
      <c r="AB22" s="51"/>
      <c r="AC22" s="51">
        <v>3</v>
      </c>
      <c r="AD22" s="51">
        <v>2</v>
      </c>
    </row>
    <row r="23" spans="3:35">
      <c r="C23" s="17" t="s">
        <v>35</v>
      </c>
      <c r="D23" s="51">
        <v>464</v>
      </c>
      <c r="E23" s="51">
        <v>551</v>
      </c>
      <c r="F23" s="31">
        <v>84.210526315789465</v>
      </c>
      <c r="K23" s="17" t="s">
        <v>35</v>
      </c>
      <c r="L23" s="51">
        <v>104</v>
      </c>
      <c r="M23" s="51">
        <v>168</v>
      </c>
      <c r="N23" s="31">
        <v>38.235294117647058</v>
      </c>
      <c r="T23" s="17" t="s">
        <v>35</v>
      </c>
      <c r="U23" s="51">
        <v>265</v>
      </c>
      <c r="V23" s="51">
        <v>20</v>
      </c>
      <c r="W23" s="51">
        <v>18</v>
      </c>
      <c r="X23" s="51">
        <v>189</v>
      </c>
      <c r="Z23" s="17" t="s">
        <v>35</v>
      </c>
      <c r="AA23" s="51">
        <v>57</v>
      </c>
      <c r="AB23" s="51">
        <v>4</v>
      </c>
      <c r="AC23" s="51">
        <v>8</v>
      </c>
      <c r="AD23" s="51">
        <v>27</v>
      </c>
    </row>
    <row r="24" spans="3:35">
      <c r="F24"/>
      <c r="N24"/>
    </row>
    <row r="25" spans="3:35">
      <c r="F25"/>
      <c r="N25"/>
    </row>
    <row r="26" spans="3:35">
      <c r="F26"/>
      <c r="N26"/>
    </row>
    <row r="27" spans="3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0" zoomScaleNormal="140" workbookViewId="0">
      <selection activeCell="N19" sqref="N1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6" sqref="N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2" t="s">
        <v>87</v>
      </c>
      <c r="E2" s="53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4" t="s">
        <v>99</v>
      </c>
      <c r="E2" s="55"/>
      <c r="F2" s="5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2026-03-13T08:55:21Z</dcterms:modified>
</cp:coreProperties>
</file>