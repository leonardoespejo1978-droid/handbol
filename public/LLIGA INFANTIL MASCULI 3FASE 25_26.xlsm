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ogagestio-my.sharepoint.com/personal/leo_espejo_doga_es/Documents/Escritorio/ESTADISTICA/25-26/FINAL/"/>
    </mc:Choice>
  </mc:AlternateContent>
  <xr:revisionPtr revIDLastSave="263" documentId="13_ncr:1_{6375FAB2-AC2B-4C3D-9BA4-2CA44D195AFD}" xr6:coauthVersionLast="47" xr6:coauthVersionMax="47" xr10:uidLastSave="{41376840-8684-43EC-88AE-8D16E989BEA3}"/>
  <bookViews>
    <workbookView xWindow="-108" yWindow="-108" windowWidth="23256" windowHeight="13896" firstSheet="1" activeTab="4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Datos!$A$1:$Q$153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2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5" i="1" l="1"/>
  <c r="T135" i="1" s="1"/>
  <c r="S136" i="1"/>
  <c r="T136" i="1" s="1"/>
  <c r="S137" i="1"/>
  <c r="U137" i="1" s="1"/>
  <c r="S138" i="1"/>
  <c r="T138" i="1" s="1"/>
  <c r="U138" i="1"/>
  <c r="W138" i="1"/>
  <c r="S139" i="1"/>
  <c r="W139" i="1" s="1"/>
  <c r="S140" i="1"/>
  <c r="T140" i="1" s="1"/>
  <c r="S141" i="1"/>
  <c r="T141" i="1"/>
  <c r="U141" i="1"/>
  <c r="V141" i="1"/>
  <c r="W141" i="1"/>
  <c r="S142" i="1"/>
  <c r="T142" i="1" s="1"/>
  <c r="S143" i="1"/>
  <c r="U143" i="1" s="1"/>
  <c r="T143" i="1"/>
  <c r="S144" i="1"/>
  <c r="V144" i="1" s="1"/>
  <c r="U144" i="1"/>
  <c r="S145" i="1"/>
  <c r="V145" i="1" s="1"/>
  <c r="T145" i="1"/>
  <c r="U145" i="1"/>
  <c r="S146" i="1"/>
  <c r="T146" i="1" s="1"/>
  <c r="S147" i="1"/>
  <c r="T147" i="1" s="1"/>
  <c r="V147" i="1"/>
  <c r="W147" i="1"/>
  <c r="S148" i="1"/>
  <c r="T148" i="1" s="1"/>
  <c r="S149" i="1"/>
  <c r="U149" i="1" s="1"/>
  <c r="S150" i="1"/>
  <c r="T150" i="1" s="1"/>
  <c r="V150" i="1"/>
  <c r="W150" i="1"/>
  <c r="S151" i="1"/>
  <c r="W151" i="1" s="1"/>
  <c r="V151" i="1"/>
  <c r="S152" i="1"/>
  <c r="T152" i="1" s="1"/>
  <c r="V152" i="1"/>
  <c r="S153" i="1"/>
  <c r="T153" i="1" s="1"/>
  <c r="U153" i="1"/>
  <c r="V153" i="1"/>
  <c r="W153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T127" i="1"/>
  <c r="U127" i="1"/>
  <c r="V127" i="1"/>
  <c r="S128" i="1"/>
  <c r="T128" i="1" s="1"/>
  <c r="S129" i="1"/>
  <c r="U129" i="1" s="1"/>
  <c r="T129" i="1"/>
  <c r="S130" i="1"/>
  <c r="U130" i="1" s="1"/>
  <c r="S131" i="1"/>
  <c r="T131" i="1" s="1"/>
  <c r="S132" i="1"/>
  <c r="W132" i="1" s="1"/>
  <c r="S133" i="1"/>
  <c r="V133" i="1" s="1"/>
  <c r="U133" i="1"/>
  <c r="S134" i="1"/>
  <c r="T134" i="1" s="1"/>
  <c r="E133" i="1"/>
  <c r="E132" i="1"/>
  <c r="E131" i="1"/>
  <c r="E128" i="1"/>
  <c r="E127" i="1"/>
  <c r="E126" i="1"/>
  <c r="E122" i="1"/>
  <c r="E120" i="1"/>
  <c r="E119" i="1"/>
  <c r="E118" i="1"/>
  <c r="E117" i="1"/>
  <c r="S115" i="1"/>
  <c r="W115" i="1" s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5" i="1"/>
  <c r="E114" i="1"/>
  <c r="E112" i="1"/>
  <c r="E111" i="1"/>
  <c r="E108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E101" i="1" l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U115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V115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T115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2" i="6"/>
  <c r="AI5" i="6"/>
  <c r="AI6" i="6"/>
  <c r="AI7" i="6"/>
  <c r="AI12" i="6"/>
  <c r="AI3" i="6"/>
  <c r="AI13" i="6"/>
  <c r="AI16" i="6"/>
  <c r="AI15" i="6"/>
  <c r="AI11" i="6"/>
  <c r="AI19" i="6"/>
  <c r="AI17" i="6"/>
  <c r="AI4" i="6"/>
  <c r="AR5" i="2"/>
  <c r="AI18" i="6"/>
  <c r="AI14" i="6"/>
  <c r="AJ6" i="6" l="1"/>
  <c r="AJ5" i="6"/>
  <c r="AJ11" i="6"/>
  <c r="AJ12" i="6"/>
  <c r="AI8" i="6"/>
  <c r="AJ13" i="6"/>
  <c r="AI10" i="6"/>
  <c r="AJ14" i="6"/>
  <c r="AJ15" i="6"/>
  <c r="AR4" i="2"/>
  <c r="AR7" i="2"/>
  <c r="AI9" i="6"/>
  <c r="AR6" i="2"/>
</calcChain>
</file>

<file path=xl/sharedStrings.xml><?xml version="1.0" encoding="utf-8"?>
<sst xmlns="http://schemas.openxmlformats.org/spreadsheetml/2006/main" count="670" uniqueCount="128">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</sst>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  <xf numFmtId="0" fontId="0" fillId="0" borderId="0" xfId="0" applyNumberFormat="1"/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105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104"/>
      <tableStyleElement type="headerRow" dxfId="103"/>
    </tableStyle>
    <tableStyle name="mi estilo personalizado 2" pivot="0" table="0" count="10" xr9:uid="{3D081C6B-30F4-4F84-BB75-048369B2BAFE}">
      <tableStyleElement type="wholeTable" dxfId="102"/>
      <tableStyleElement type="headerRow" dxfId="101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Analisis!$X$4:$X$20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Analisis!$Y$4:$Y$20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Analisis!$Z$4:$Z$20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Analisis!$AA$4:$AA$20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85.912240184757508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Analisis_Equipo!$L$3:$L$19</c:f>
              <c:numCache>
                <c:formatCode>General</c:formatCode>
                <c:ptCount val="8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Analisis_Equipo!$M$3:$M$19</c:f>
              <c:numCache>
                <c:formatCode>General</c:formatCode>
                <c:ptCount val="8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Analisis_Equipo!$N$3:$N$19</c:f>
              <c:numCache>
                <c:formatCode>0</c:formatCode>
                <c:ptCount val="8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38.461538461538467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37.61904761904762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Analisis_Equipo!$U$3:$U$19</c:f>
              <c:numCache>
                <c:formatCode>General</c:formatCode>
                <c:ptCount val="8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Analisis_Equipo!$V$3:$V$19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Analisis_Equipo!$W$3:$W$19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Analisis_Equipo!$X$3:$X$19</c:f>
              <c:numCache>
                <c:formatCode>General</c:formatCode>
                <c:ptCount val="8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Analisis_Equipo!$AA$3:$AA$19</c:f>
              <c:numCache>
                <c:formatCode>General</c:formatCode>
                <c:ptCount val="8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Analisis_Equipo!$AB$3:$AB$19</c:f>
              <c:numCache>
                <c:formatCode>General</c:formatCode>
                <c:ptCount val="8"/>
                <c:pt idx="0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Analisis_Equipo!$AC$3:$AC$19</c:f>
              <c:numCache>
                <c:formatCode>General</c:formatCode>
                <c:ptCount val="8"/>
                <c:pt idx="1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Analisis_Equipo!$AD$3:$AD$19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Analisis!$D$4:$D$20</c:f>
              <c:numCache>
                <c:formatCode>General</c:formatCode>
                <c:ptCount val="8"/>
                <c:pt idx="0">
                  <c:v>9</c:v>
                </c:pt>
                <c:pt idx="1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Analisis!$E$4:$E$20</c:f>
              <c:numCache>
                <c:formatCode>General</c:formatCode>
                <c:ptCount val="8"/>
                <c:pt idx="0">
                  <c:v>23</c:v>
                </c:pt>
                <c:pt idx="1">
                  <c:v>10</c:v>
                </c:pt>
                <c:pt idx="3">
                  <c:v>14</c:v>
                </c:pt>
                <c:pt idx="4">
                  <c:v>22</c:v>
                </c:pt>
                <c:pt idx="5">
                  <c:v>12</c:v>
                </c:pt>
                <c:pt idx="6">
                  <c:v>5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Analisis!$G$4:$G$12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9</c:v>
                </c:pt>
              </c:strCache>
            </c:strRef>
          </c:cat>
          <c:val>
            <c:numRef>
              <c:f>Analisis!$H$4:$H$12</c:f>
              <c:numCache>
                <c:formatCode>0%</c:formatCode>
                <c:ptCount val="8"/>
                <c:pt idx="0">
                  <c:v>0.39130434782608697</c:v>
                </c:pt>
                <c:pt idx="1">
                  <c:v>0.4</c:v>
                </c:pt>
                <c:pt idx="2">
                  <c:v>#N/A</c:v>
                </c:pt>
                <c:pt idx="3">
                  <c:v>0.42857142857142855</c:v>
                </c:pt>
                <c:pt idx="4">
                  <c:v>0.31818181818181818</c:v>
                </c:pt>
                <c:pt idx="5">
                  <c:v>0.25</c:v>
                </c:pt>
                <c:pt idx="6">
                  <c:v>0</c:v>
                </c:pt>
                <c:pt idx="7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dLbl>
              <c:idx val="0"/>
              <c:layout>
                <c:manualLayout>
                  <c:x val="-1.7837145457473627E-2"/>
                  <c:y val="-4.617851989623716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016209798538572"/>
                      <c:h val="0.449713880589456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Analisis!$R$4:$R$20</c:f>
              <c:numCache>
                <c:formatCode>General</c:formatCode>
                <c:ptCount val="8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Analisis!$S$4:$S$20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Analisis!$T$4:$T$20</c:f>
              <c:numCache>
                <c:formatCode>General</c:formatCode>
                <c:ptCount val="8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Analisis!$U$4:$U$20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Analisis!$X$4:$X$20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Analisis!$Y$4:$Y$20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Analisis!$Z$4:$Z$20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Analisis!$AA$4:$AA$20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Analisis_Equipo!$D$3:$D$19</c:f>
              <c:numCache>
                <c:formatCode>General</c:formatCode>
                <c:ptCount val="8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Analisis_Equipo!$E$3:$E$19</c:f>
              <c:numCache>
                <c:formatCode>General</c:formatCode>
                <c:ptCount val="8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Analisis_Equipo!$F$3:$F$19</c:f>
              <c:numCache>
                <c:formatCode>0</c:formatCode>
                <c:ptCount val="8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91.935483870967744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85.912240184757508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Analisis_Equipo!$L$3:$L$19</c:f>
              <c:numCache>
                <c:formatCode>General</c:formatCode>
                <c:ptCount val="8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Analisis_Equipo!$M$3:$M$19</c:f>
              <c:numCache>
                <c:formatCode>General</c:formatCode>
                <c:ptCount val="8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Analisis_Equipo!$N$3:$N$19</c:f>
              <c:numCache>
                <c:formatCode>0</c:formatCode>
                <c:ptCount val="8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38.461538461538467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37.61904761904762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Analisis_Equipo!$U$3:$U$19</c:f>
              <c:numCache>
                <c:formatCode>General</c:formatCode>
                <c:ptCount val="8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Analisis_Equipo!$V$3:$V$19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Analisis_Equipo!$W$3:$W$19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Analisis_Equipo!$X$3:$X$19</c:f>
              <c:numCache>
                <c:formatCode>General</c:formatCode>
                <c:ptCount val="8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Analisis_Equipo!$AA$3:$AA$19</c:f>
              <c:numCache>
                <c:formatCode>General</c:formatCode>
                <c:ptCount val="8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Analisis_Equipo!$AB$3:$AB$19</c:f>
              <c:numCache>
                <c:formatCode>General</c:formatCode>
                <c:ptCount val="8"/>
                <c:pt idx="0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Analisis_Equipo!$AC$3:$AC$19</c:f>
              <c:numCache>
                <c:formatCode>General</c:formatCode>
                <c:ptCount val="8"/>
                <c:pt idx="1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Analisis_Equipo!$AD$3:$AD$19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Analisis!$D$4:$D$20</c:f>
              <c:numCache>
                <c:formatCode>General</c:formatCode>
                <c:ptCount val="8"/>
                <c:pt idx="0">
                  <c:v>9</c:v>
                </c:pt>
                <c:pt idx="1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Analisis!$E$4:$E$20</c:f>
              <c:numCache>
                <c:formatCode>General</c:formatCode>
                <c:ptCount val="8"/>
                <c:pt idx="0">
                  <c:v>23</c:v>
                </c:pt>
                <c:pt idx="1">
                  <c:v>10</c:v>
                </c:pt>
                <c:pt idx="3">
                  <c:v>14</c:v>
                </c:pt>
                <c:pt idx="4">
                  <c:v>22</c:v>
                </c:pt>
                <c:pt idx="5">
                  <c:v>12</c:v>
                </c:pt>
                <c:pt idx="6">
                  <c:v>5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Analisis!$G$4:$G$12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9</c:v>
                </c:pt>
              </c:strCache>
            </c:strRef>
          </c:cat>
          <c:val>
            <c:numRef>
              <c:f>Analisis!$H$4:$H$12</c:f>
              <c:numCache>
                <c:formatCode>0%</c:formatCode>
                <c:ptCount val="8"/>
                <c:pt idx="0">
                  <c:v>0.39130434782608697</c:v>
                </c:pt>
                <c:pt idx="1">
                  <c:v>0.4</c:v>
                </c:pt>
                <c:pt idx="2">
                  <c:v>#N/A</c:v>
                </c:pt>
                <c:pt idx="3">
                  <c:v>0.42857142857142855</c:v>
                </c:pt>
                <c:pt idx="4">
                  <c:v>0.31818181818181818</c:v>
                </c:pt>
                <c:pt idx="5">
                  <c:v>0.25</c:v>
                </c:pt>
                <c:pt idx="6">
                  <c:v>0</c:v>
                </c:pt>
                <c:pt idx="7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0.32608695652173914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Analisis!$R$4:$R$20</c:f>
              <c:numCache>
                <c:formatCode>General</c:formatCode>
                <c:ptCount val="8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Analisis!$S$4:$S$20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Analisis!$T$4:$T$20</c:f>
              <c:numCache>
                <c:formatCode>General</c:formatCode>
                <c:ptCount val="8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Analisis!$U$4:$U$20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Analisis!$X$4:$X$20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Analisis!$Y$4:$Y$20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Analisis!$Z$4:$Z$20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Analisis!$AA$4:$AA$20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Analisis!$G$4:$G$12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9</c:v>
                </c:pt>
              </c:strCache>
            </c:strRef>
          </c:cat>
          <c:val>
            <c:numRef>
              <c:f>Analisis!$H$4:$H$12</c:f>
              <c:numCache>
                <c:formatCode>0%</c:formatCode>
                <c:ptCount val="8"/>
                <c:pt idx="0">
                  <c:v>0.39130434782608697</c:v>
                </c:pt>
                <c:pt idx="1">
                  <c:v>0.4</c:v>
                </c:pt>
                <c:pt idx="2">
                  <c:v>#N/A</c:v>
                </c:pt>
                <c:pt idx="3">
                  <c:v>0.42857142857142855</c:v>
                </c:pt>
                <c:pt idx="4">
                  <c:v>0.31818181818181818</c:v>
                </c:pt>
                <c:pt idx="5">
                  <c:v>0.25</c:v>
                </c:pt>
                <c:pt idx="6">
                  <c:v>0</c:v>
                </c:pt>
                <c:pt idx="7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0.32608695652173914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Analisis!$R$4:$R$20</c:f>
              <c:numCache>
                <c:formatCode>General</c:formatCode>
                <c:ptCount val="8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Analisis!$S$4:$S$20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Analisis!$T$4:$T$20</c:f>
              <c:numCache>
                <c:formatCode>General</c:formatCode>
                <c:ptCount val="8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Analisis!$U$4:$U$20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Analisis!$X$4:$X$20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Analisis!$Y$4:$Y$20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Analisis!$Z$4:$Z$20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Analisis!$AA$4:$AA$20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Analisis_Equipo!$D$3:$D$19</c:f>
              <c:numCache>
                <c:formatCode>General</c:formatCode>
                <c:ptCount val="8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Analisis_Equipo!$E$3:$E$19</c:f>
              <c:numCache>
                <c:formatCode>General</c:formatCode>
                <c:ptCount val="8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Analisis_Equipo!$F$3:$F$19</c:f>
              <c:numCache>
                <c:formatCode>0</c:formatCode>
                <c:ptCount val="8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91.935483870967744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85.912240184757508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Analisis_Equipo!$U$3:$U$19</c:f>
              <c:numCache>
                <c:formatCode>General</c:formatCode>
                <c:ptCount val="8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Analisis_Equipo!$V$3:$V$19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Analisis_Equipo!$W$3:$W$19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Analisis_Equipo!$X$3:$X$19</c:f>
              <c:numCache>
                <c:formatCode>General</c:formatCode>
                <c:ptCount val="8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Analisis_Equipo!$AA$3:$AA$19</c:f>
              <c:numCache>
                <c:formatCode>General</c:formatCode>
                <c:ptCount val="8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Analisis_Equipo!$AB$3:$AB$19</c:f>
              <c:numCache>
                <c:formatCode>General</c:formatCode>
                <c:ptCount val="8"/>
                <c:pt idx="0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Analisis_Equipo!$AC$3:$AC$19</c:f>
              <c:numCache>
                <c:formatCode>General</c:formatCode>
                <c:ptCount val="8"/>
                <c:pt idx="1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Analisis_Equipo!$Z$3:$Z$19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Analisis_Equipo!$AD$3:$AD$19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Analisis!$D$4:$D$20</c:f>
              <c:numCache>
                <c:formatCode>General</c:formatCode>
                <c:ptCount val="8"/>
                <c:pt idx="0">
                  <c:v>9</c:v>
                </c:pt>
                <c:pt idx="1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Analisis!$E$4:$E$20</c:f>
              <c:numCache>
                <c:formatCode>General</c:formatCode>
                <c:ptCount val="8"/>
                <c:pt idx="0">
                  <c:v>23</c:v>
                </c:pt>
                <c:pt idx="1">
                  <c:v>10</c:v>
                </c:pt>
                <c:pt idx="3">
                  <c:v>14</c:v>
                </c:pt>
                <c:pt idx="4">
                  <c:v>22</c:v>
                </c:pt>
                <c:pt idx="5">
                  <c:v>12</c:v>
                </c:pt>
                <c:pt idx="6">
                  <c:v>5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Analisis!$G$4:$G$12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9</c:v>
                </c:pt>
              </c:strCache>
            </c:strRef>
          </c:cat>
          <c:val>
            <c:numRef>
              <c:f>Analisis!$H$4:$H$12</c:f>
              <c:numCache>
                <c:formatCode>0%</c:formatCode>
                <c:ptCount val="8"/>
                <c:pt idx="0">
                  <c:v>0.39130434782608697</c:v>
                </c:pt>
                <c:pt idx="1">
                  <c:v>0.4</c:v>
                </c:pt>
                <c:pt idx="2">
                  <c:v>#N/A</c:v>
                </c:pt>
                <c:pt idx="3">
                  <c:v>0.42857142857142855</c:v>
                </c:pt>
                <c:pt idx="4">
                  <c:v>0.31818181818181818</c:v>
                </c:pt>
                <c:pt idx="5">
                  <c:v>0.25</c:v>
                </c:pt>
                <c:pt idx="6">
                  <c:v>0</c:v>
                </c:pt>
                <c:pt idx="7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Analisis!$R$4:$R$20</c:f>
              <c:numCache>
                <c:formatCode>General</c:formatCode>
                <c:ptCount val="8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Analisis!$S$4:$S$20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Analisis!$T$4:$T$20</c:f>
              <c:numCache>
                <c:formatCode>General</c:formatCode>
                <c:ptCount val="8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Analisis!$U$4:$U$20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Analisis!$X$4:$X$20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Analisis!$Y$4:$Y$20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Analisis!$Z$4:$Z$20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Analisis!$W$4:$W$20</c:f>
              <c:multiLvlStrCache>
                <c:ptCount val="8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SANT CUGAT (L)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9</c:v>
                  </c:pt>
                </c:lvl>
              </c:multiLvlStrCache>
            </c:multiLvlStrRef>
          </c:cat>
          <c:val>
            <c:numRef>
              <c:f>Analisis!$AA$4:$AA$20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196500" y="1084828"/>
          <a:ext cx="4497582" cy="2321097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79374</xdr:rowOff>
    </xdr:from>
    <xdr:to>
      <xdr:col>13</xdr:col>
      <xdr:colOff>269875</xdr:colOff>
      <xdr:row>5</xdr:row>
      <xdr:rowOff>171880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968796" y="79374"/>
          <a:ext cx="5619590" cy="98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7</xdr:col>
      <xdr:colOff>787727</xdr:colOff>
      <xdr:row>1</xdr:row>
      <xdr:rowOff>127889</xdr:rowOff>
    </xdr:from>
    <xdr:to>
      <xdr:col>8</xdr:col>
      <xdr:colOff>354850</xdr:colOff>
      <xdr:row>3</xdr:row>
      <xdr:rowOff>143764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390409" y="304074"/>
          <a:ext cx="465666" cy="368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93784</xdr:colOff>
      <xdr:row>1</xdr:row>
      <xdr:rowOff>132293</xdr:rowOff>
    </xdr:from>
    <xdr:to>
      <xdr:col>8</xdr:col>
      <xdr:colOff>356775</xdr:colOff>
      <xdr:row>3</xdr:row>
      <xdr:rowOff>1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595009" y="308478"/>
          <a:ext cx="262991" cy="220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41,3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325943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6383219" y="427340"/>
          <a:ext cx="443949" cy="165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37,6%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558350</xdr:colOff>
      <xdr:row>3</xdr:row>
      <xdr:rowOff>54802</xdr:rowOff>
    </xdr:from>
    <xdr:to>
      <xdr:col>10</xdr:col>
      <xdr:colOff>125473</xdr:colOff>
      <xdr:row>4</xdr:row>
      <xdr:rowOff>66101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958119" y="583357"/>
          <a:ext cx="465666" cy="1874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699753</xdr:colOff>
      <xdr:row>1</xdr:row>
      <xdr:rowOff>131314</xdr:rowOff>
    </xdr:from>
    <xdr:to>
      <xdr:col>10</xdr:col>
      <xdr:colOff>266876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8099522" y="307499"/>
          <a:ext cx="465666" cy="368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881394</xdr:colOff>
      <xdr:row>1</xdr:row>
      <xdr:rowOff>124965</xdr:rowOff>
    </xdr:from>
    <xdr:to>
      <xdr:col>11</xdr:col>
      <xdr:colOff>558358</xdr:colOff>
      <xdr:row>2</xdr:row>
      <xdr:rowOff>118191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9179706" y="301150"/>
          <a:ext cx="575507" cy="169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5,2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650042</xdr:colOff>
      <xdr:row>2</xdr:row>
      <xdr:rowOff>101822</xdr:rowOff>
    </xdr:from>
    <xdr:to>
      <xdr:col>10</xdr:col>
      <xdr:colOff>217165</xdr:colOff>
      <xdr:row>3</xdr:row>
      <xdr:rowOff>101399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8049811" y="454192"/>
          <a:ext cx="465666" cy="175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217474</xdr:colOff>
      <xdr:row>2</xdr:row>
      <xdr:rowOff>95207</xdr:rowOff>
    </xdr:from>
    <xdr:to>
      <xdr:col>11</xdr:col>
      <xdr:colOff>703274</xdr:colOff>
      <xdr:row>4</xdr:row>
      <xdr:rowOff>111083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411035" y="442134"/>
          <a:ext cx="485800" cy="362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216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145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41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37,6%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41,3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5,2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48,1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0,111111111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0,222222222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o Espejo" refreshedDate="46083.458997569447" createdVersion="8" refreshedVersion="8" minRefreshableVersion="3" recordCount="152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1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1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1" u="1"/>
        <n v="12" u="1"/>
        <n v="8" u="1"/>
        <n v="10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4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G3:H12" firstHeaderRow="1" firstDataRow="1" firstDataCol="1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"/>
    </i>
    <i t="grand">
      <x/>
    </i>
  </rowItems>
  <colItems count="1">
    <i/>
  </colItems>
  <dataFields count="1">
    <dataField name="Suma de Campo1" fld="24" baseField="0" baseItem="0"/>
  </dataFields>
  <formats count="2">
    <format dxfId="76">
      <pivotArea collapsedLevelsAreSubtotals="1" fieldPosition="0">
        <references count="1">
          <reference field="14" count="0"/>
        </references>
      </pivotArea>
    </format>
    <format dxfId="75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3:N12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m="1" x="11"/>
        <item x="4"/>
        <item m="1" x="10"/>
        <item x="7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32"/>
        <item m="1" x="40"/>
        <item m="1" x="19"/>
        <item m="1" x="14"/>
        <item m="1" x="23"/>
        <item m="1" x="12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9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21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2">
  <location ref="Q3:U20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12"/>
        <item m="1" x="32"/>
        <item m="1" x="40"/>
        <item m="1" x="19"/>
        <item m="1" x="23"/>
        <item m="1" x="14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8"/>
    </i>
    <i r="1">
      <x v="4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2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chartFormat="35">
  <location ref="C3:E20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12"/>
        <item m="1" x="32"/>
        <item m="1" x="40"/>
        <item m="1" x="19"/>
        <item m="1" x="23"/>
        <item m="1" x="14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8"/>
    </i>
    <i r="1">
      <x v="4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8">
  <location ref="W3:AA20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12"/>
        <item m="1" x="32"/>
        <item m="1" x="40"/>
        <item m="1" x="19"/>
        <item m="1" x="23"/>
        <item m="1" x="14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8"/>
    </i>
    <i r="1">
      <x v="4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2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31">
  <location ref="AO4:AO12" firstHeaderRow="0" firstDataRow="0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21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77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21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2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21" applyNumberFormats="0" applyBorderFormats="0" applyFontFormats="0" applyPatternFormats="0" applyAlignmentFormats="0" applyWidthHeightFormats="1" dataCaption="Valores" showMissing="0" updatedVersion="8" minRefreshableVersion="3" showDrill="0" useAutoFormatting="1" itemPrintTitles="1" createdVersion="8" indent="0" showHeaders="0" outline="1" outlineData="1" multipleFieldFilters="0" chartFormat="50">
  <location ref="K2:N19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12"/>
        <item m="1" x="32"/>
        <item m="1" x="40"/>
        <item m="1" x="19"/>
        <item m="1" x="23"/>
        <item m="1" x="14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8"/>
    </i>
    <i r="1"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7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21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21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7">
  <location ref="T2:X1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12"/>
        <item m="1" x="32"/>
        <item m="1" x="40"/>
        <item m="1" x="19"/>
        <item m="1" x="23"/>
        <item m="1" x="14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8"/>
    </i>
    <i r="1">
      <x v="4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5">
        <item m="1" x="41"/>
        <item m="1" x="36"/>
        <item m="1" x="39"/>
        <item m="1" x="35"/>
        <item m="1" x="28"/>
        <item m="1" x="34"/>
        <item m="1" x="27"/>
        <item m="1" x="15"/>
        <item x="3"/>
        <item x="2"/>
        <item m="1" x="31"/>
        <item m="1" x="10"/>
        <item m="1" x="42"/>
        <item m="1" x="9"/>
        <item m="1" x="12"/>
        <item x="4"/>
        <item m="1" x="32"/>
        <item m="1" x="43"/>
        <item m="1" x="33"/>
        <item m="1" x="40"/>
        <item x="0"/>
        <item m="1" x="19"/>
        <item m="1" x="13"/>
        <item m="1" x="26"/>
        <item m="1" x="21"/>
        <item m="1" x="37"/>
        <item m="1" x="29"/>
        <item m="1" x="24"/>
        <item m="1" x="18"/>
        <item m="1" x="11"/>
        <item m="1" x="38"/>
        <item m="1" x="30"/>
        <item m="1" x="25"/>
        <item m="1" x="20"/>
        <item x="7"/>
        <item x="6"/>
        <item m="1" x="23"/>
        <item m="1" x="14"/>
        <item x="5"/>
        <item x="1"/>
        <item m="1" x="17"/>
        <item m="1" x="16"/>
        <item m="1" x="22"/>
        <item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0">
  <location ref="Z2:AD1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12"/>
        <item m="1" x="32"/>
        <item m="1" x="40"/>
        <item m="1" x="19"/>
        <item m="1" x="23"/>
        <item m="1" x="14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8"/>
    </i>
    <i r="1">
      <x v="4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2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2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60">
  <location ref="C2:F1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m="1" x="35"/>
        <item m="1" x="27"/>
        <item m="1" x="31"/>
        <item m="1" x="12"/>
        <item m="1" x="32"/>
        <item m="1" x="40"/>
        <item m="1" x="19"/>
        <item m="1" x="23"/>
        <item m="1" x="14"/>
        <item m="1" x="15"/>
        <item m="1" x="17"/>
        <item m="1" x="13"/>
        <item m="1" x="41"/>
        <item m="1" x="37"/>
        <item m="1" x="8"/>
        <item m="1" x="29"/>
        <item m="1" x="24"/>
        <item m="1" x="18"/>
        <item m="1" x="11"/>
        <item m="1" x="38"/>
        <item m="1" x="30"/>
        <item m="1" x="25"/>
        <item m="1" x="20"/>
        <item m="1" x="16"/>
        <item m="1" x="21"/>
        <item m="1" x="36"/>
        <item m="1" x="9"/>
        <item m="1" x="43"/>
        <item m="1" x="22"/>
        <item m="1" x="26"/>
        <item m="1" x="39"/>
        <item m="1" x="42"/>
        <item m="1" x="33"/>
        <item m="1" x="10"/>
        <item m="1" x="28"/>
        <item m="1" x="34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8"/>
    </i>
    <i r="1"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/>
        <i x="9"/>
        <i x="14"/>
        <i x="8"/>
        <i x="4"/>
        <i x="15" s="1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1" s="1"/>
        <i x="3" s="1" nd="1"/>
        <i x="0" s="1" nd="1"/>
        <i x="4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4">
        <i x="3" s="1"/>
        <i x="2" s="1"/>
        <i x="4" s="1"/>
        <i x="0" s="1"/>
        <i x="7" s="1"/>
        <i x="6" s="1"/>
        <i x="5" s="1"/>
        <i x="1" s="1"/>
        <i x="41" s="1" nd="1"/>
        <i x="36" s="1" nd="1"/>
        <i x="39" s="1" nd="1"/>
        <i x="35" s="1" nd="1"/>
        <i x="28" s="1" nd="1"/>
        <i x="34" s="1" nd="1"/>
        <i x="27" s="1" nd="1"/>
        <i x="15" s="1" nd="1"/>
        <i x="31" s="1" nd="1"/>
        <i x="10" s="1" nd="1"/>
        <i x="42" s="1" nd="1"/>
        <i x="9" s="1" nd="1"/>
        <i x="12" s="1" nd="1"/>
        <i x="32" s="1" nd="1"/>
        <i x="43" s="1" nd="1"/>
        <i x="33" s="1" nd="1"/>
        <i x="40" s="1" nd="1"/>
        <i x="19" s="1" nd="1"/>
        <i x="13" s="1" nd="1"/>
        <i x="26" s="1" nd="1"/>
        <i x="21" s="1" nd="1"/>
        <i x="37" s="1" nd="1"/>
        <i x="29" s="1" nd="1"/>
        <i x="24" s="1" nd="1"/>
        <i x="18" s="1" nd="1"/>
        <i x="11" s="1" nd="1"/>
        <i x="38" s="1" nd="1"/>
        <i x="30" s="1" nd="1"/>
        <i x="25" s="1" nd="1"/>
        <i x="20" s="1" nd="1"/>
        <i x="23" s="1" nd="1"/>
        <i x="14" s="1" nd="1"/>
        <i x="17" s="1" nd="1"/>
        <i x="16" s="1" nd="1"/>
        <i x="22" s="1" nd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53" totalsRowShown="0">
  <autoFilter ref="A1:W153" xr:uid="{4E0CACF7-2516-40E4-A13A-36A69BFCF042}">
    <filterColumn colId="14">
      <filters>
        <filter val="9"/>
      </filters>
    </filterColumn>
  </autoFilter>
  <tableColumns count="23">
    <tableColumn id="1" xr3:uid="{52391530-6B4D-4F5B-A13F-EBEFDEBFF05D}" name="Jugador" dataDxfId="100" dataCellStyle="Normal 3"/>
    <tableColumn id="2" xr3:uid="{20EFE687-939F-4CE3-B940-223B282FF463}" name="Goles" dataDxfId="99" dataCellStyle="Normal 3"/>
    <tableColumn id="3" xr3:uid="{684A7D4D-D7B7-43F6-9A93-2ACF8C669153}" name="Paradas" dataDxfId="98" dataCellStyle="Normal 3"/>
    <tableColumn id="4" xr3:uid="{AAA14793-E69C-41E1-B0A0-4517D77AAD17}" name="Lanzam." dataDxfId="97" dataCellStyle="Normal 3"/>
    <tableColumn id="5" xr3:uid="{F7F9DF44-8244-4CC7-A0D1-06835389FDF4}" name="% lanz" dataDxfId="96" dataCellStyle="Porcentaje"/>
    <tableColumn id="7" xr3:uid="{08DF6B37-12B5-4917-A522-F9142A96DB9B}" name="Asistencia" dataDxfId="95" dataCellStyle="Normal 3"/>
    <tableColumn id="8" xr3:uid="{50A8FB8C-4A7A-49D3-9AE9-3E8F48319DD1}" name="Exclusión" dataDxfId="94" dataCellStyle="Normal 3"/>
    <tableColumn id="9" xr3:uid="{0AF59981-5FBC-4DB2-8698-5D9F1ABC4155}" name="Pase" dataDxfId="93" dataCellStyle="Normal 3"/>
    <tableColumn id="10" xr3:uid="{9ABA852E-5F94-4462-B626-D21E860A5324}" name="Área" dataDxfId="92" dataCellStyle="Normal 3"/>
    <tableColumn id="12" xr3:uid="{541EE240-2B80-4C0C-B283-653D786EBF8E}" name="Pasos" dataDxfId="91" dataCellStyle="Normal 3"/>
    <tableColumn id="13" xr3:uid="{B9EEDD3B-D6DD-47C4-B010-4986464C3E47}" name="Otro" dataDxfId="90" dataCellStyle="Normal 3"/>
    <tableColumn id="14" xr3:uid="{5E37AACF-BE34-4507-831A-2294DC02D750}" name="Recup." dataDxfId="89" dataCellStyle="Normal 3"/>
    <tableColumn id="17" xr3:uid="{5CB4A98F-AC59-4C79-8B6E-D9EBC0F6C1BD}" name="Exclusión +" dataDxfId="88" dataCellStyle="Normal 3"/>
    <tableColumn id="6" xr3:uid="{2C6E471F-6D3B-42C8-81FA-7636186D2DE9}" name="PenaltiProvocado" dataDxfId="87" dataCellStyle="Normal 3"/>
    <tableColumn id="19" xr3:uid="{7C109E22-7D05-4D3D-9416-9760085CC706}" name="JORNADA" dataDxfId="86" dataCellStyle="Normal 2"/>
    <tableColumn id="20" xr3:uid="{6759F103-2E20-4B91-8851-820730AE8C35}" name="FASE" dataDxfId="85" dataCellStyle="Normal 2"/>
    <tableColumn id="21" xr3:uid="{DEA2EBD3-381A-4D3F-B764-26F8F743F131}" name="L/V" dataDxfId="84" dataCellStyle="Normal 3"/>
    <tableColumn id="23" xr3:uid="{D5CC1344-44F2-4559-86D2-5CD43B67B00C}" name="rival" dataDxfId="83" dataCellStyle="Normal 3"/>
    <tableColumn id="24" xr3:uid="{ECA9CC20-8ECF-411F-8B7A-C9AFCD3B84C9}" name="POSICION" dataDxfId="82" dataCellStyle="Normal 3"/>
    <tableColumn id="11" xr3:uid="{96A71FE8-7C2B-4C18-AC1B-E8C62789BC53}" name="goles favor" dataDxfId="81" dataCellStyle="Normal 3"/>
    <tableColumn id="15" xr3:uid="{46089932-E578-45E8-A8AB-7B2B44941717}" name="goles contra" dataDxfId="80" dataCellStyle="Normal 3"/>
    <tableColumn id="16" xr3:uid="{BDAED3E0-6A88-4C71-B9F0-1E82A087A2F2}" name="lanzamientos realizados" dataDxfId="79" dataCellStyle="Normal 3"/>
    <tableColumn id="18" xr3:uid="{7B0893AD-D9E4-4F00-8941-20FDECBB17AC}" name="lanzamientos recibidos" dataDxfId="78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7734375" defaultRowHeight="14.4" x14ac:dyDescent="0.3"/>
  <cols>
    <col min="1" max="1" width="2" customWidth="1"/>
    <col min="2" max="2" width="30" customWidth="1"/>
    <col min="3" max="3" width="3" customWidth="1"/>
    <col min="4" max="4" width="30" customWidth="1"/>
    <col min="20" max="20" width="33.21875" customWidth="1"/>
  </cols>
  <sheetData>
    <row r="1" spans="1:20" x14ac:dyDescent="0.3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x14ac:dyDescent="0.3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 x14ac:dyDescent="0.3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 x14ac:dyDescent="0.3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 x14ac:dyDescent="0.3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 x14ac:dyDescent="0.3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 x14ac:dyDescent="0.3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 x14ac:dyDescent="0.3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 x14ac:dyDescent="0.3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 x14ac:dyDescent="0.3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 x14ac:dyDescent="0.3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 x14ac:dyDescent="0.3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 x14ac:dyDescent="0.3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 x14ac:dyDescent="0.3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3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x14ac:dyDescent="0.3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 x14ac:dyDescent="0.3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 x14ac:dyDescent="0.35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 x14ac:dyDescent="0.3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 x14ac:dyDescent="0.3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 x14ac:dyDescent="0.3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 x14ac:dyDescent="0.3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 x14ac:dyDescent="0.3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 x14ac:dyDescent="0.3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 x14ac:dyDescent="0.3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 x14ac:dyDescent="0.3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 x14ac:dyDescent="0.3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 x14ac:dyDescent="0.3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 x14ac:dyDescent="0.3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 x14ac:dyDescent="0.3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 x14ac:dyDescent="0.3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 x14ac:dyDescent="0.3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 x14ac:dyDescent="0.3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3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3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3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3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3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3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3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53"/>
  <sheetViews>
    <sheetView workbookViewId="0">
      <pane ySplit="1" topLeftCell="A135" activePane="bottomLeft" state="frozen"/>
      <selection pane="bottomLeft" activeCell="D157" sqref="D157"/>
    </sheetView>
  </sheetViews>
  <sheetFormatPr baseColWidth="10" defaultColWidth="11.5546875" defaultRowHeight="14.4" x14ac:dyDescent="0.3"/>
  <cols>
    <col min="1" max="1" width="11.5546875" style="7" bestFit="1" customWidth="1"/>
    <col min="2" max="2" width="9.88671875" style="7" bestFit="1" customWidth="1"/>
    <col min="3" max="3" width="11.5546875" style="7" bestFit="1" customWidth="1"/>
    <col min="4" max="4" width="11.88671875" style="7" bestFit="1" customWidth="1"/>
    <col min="5" max="5" width="10.33203125" style="8" bestFit="1" customWidth="1"/>
    <col min="6" max="6" width="13.33203125" style="7" bestFit="1" customWidth="1"/>
    <col min="7" max="7" width="12.6640625" style="7" bestFit="1" customWidth="1"/>
    <col min="8" max="9" width="9.109375" style="7" bestFit="1" customWidth="1"/>
    <col min="10" max="10" width="9.88671875" style="7" bestFit="1" customWidth="1"/>
    <col min="11" max="11" width="9.109375" style="7" bestFit="1" customWidth="1"/>
    <col min="12" max="12" width="10.88671875" style="7" bestFit="1" customWidth="1"/>
    <col min="13" max="13" width="14" style="7" bestFit="1" customWidth="1"/>
    <col min="14" max="14" width="19.109375" style="7" bestFit="1" customWidth="1"/>
    <col min="15" max="15" width="13.33203125" style="9" bestFit="1" customWidth="1"/>
    <col min="16" max="16" width="9.6640625" style="10" bestFit="1" customWidth="1"/>
    <col min="17" max="17" width="8.109375" style="11" bestFit="1" customWidth="1"/>
    <col min="18" max="18" width="23.5546875" style="11" bestFit="1" customWidth="1"/>
    <col min="19" max="19" width="11.6640625" style="6" bestFit="1" customWidth="1"/>
    <col min="20" max="20" width="12.6640625" style="6" bestFit="1" customWidth="1"/>
    <col min="21" max="21" width="13.6640625" style="6" bestFit="1" customWidth="1"/>
    <col min="22" max="22" width="24.109375" style="6" bestFit="1" customWidth="1"/>
    <col min="23" max="23" width="23.33203125" style="6" bestFit="1" customWidth="1"/>
    <col min="24" max="16384" width="11.5546875" style="6"/>
  </cols>
  <sheetData>
    <row r="1" spans="1:23" x14ac:dyDescent="0.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 x14ac:dyDescent="0.3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 x14ac:dyDescent="0.3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 x14ac:dyDescent="0.3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 x14ac:dyDescent="0.3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 x14ac:dyDescent="0.3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 x14ac:dyDescent="0.3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 x14ac:dyDescent="0.3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 x14ac:dyDescent="0.3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 x14ac:dyDescent="0.3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 x14ac:dyDescent="0.3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 x14ac:dyDescent="0.3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 x14ac:dyDescent="0.3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 x14ac:dyDescent="0.3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 x14ac:dyDescent="0.3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 x14ac:dyDescent="0.3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 x14ac:dyDescent="0.3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 x14ac:dyDescent="0.3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 x14ac:dyDescent="0.3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 x14ac:dyDescent="0.3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 x14ac:dyDescent="0.3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 x14ac:dyDescent="0.3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 x14ac:dyDescent="0.3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 x14ac:dyDescent="0.3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 x14ac:dyDescent="0.3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 x14ac:dyDescent="0.3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 x14ac:dyDescent="0.3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 x14ac:dyDescent="0.3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 x14ac:dyDescent="0.3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 x14ac:dyDescent="0.3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 x14ac:dyDescent="0.3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 x14ac:dyDescent="0.3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 x14ac:dyDescent="0.3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 x14ac:dyDescent="0.3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 x14ac:dyDescent="0.3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 x14ac:dyDescent="0.3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 x14ac:dyDescent="0.3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 x14ac:dyDescent="0.3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 x14ac:dyDescent="0.3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 x14ac:dyDescent="0.3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 x14ac:dyDescent="0.3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 x14ac:dyDescent="0.3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 x14ac:dyDescent="0.3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 x14ac:dyDescent="0.3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 x14ac:dyDescent="0.3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 x14ac:dyDescent="0.3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 x14ac:dyDescent="0.3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 x14ac:dyDescent="0.3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 x14ac:dyDescent="0.3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 x14ac:dyDescent="0.3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 x14ac:dyDescent="0.3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 x14ac:dyDescent="0.3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 x14ac:dyDescent="0.3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 x14ac:dyDescent="0.3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 x14ac:dyDescent="0.3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 x14ac:dyDescent="0.3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 x14ac:dyDescent="0.3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 x14ac:dyDescent="0.3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 x14ac:dyDescent="0.3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 x14ac:dyDescent="0.3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 x14ac:dyDescent="0.3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 x14ac:dyDescent="0.3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 x14ac:dyDescent="0.3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 x14ac:dyDescent="0.3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 x14ac:dyDescent="0.3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 x14ac:dyDescent="0.3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 x14ac:dyDescent="0.3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 x14ac:dyDescent="0.3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 x14ac:dyDescent="0.3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 x14ac:dyDescent="0.3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 x14ac:dyDescent="0.3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 x14ac:dyDescent="0.3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 x14ac:dyDescent="0.3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 x14ac:dyDescent="0.3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 x14ac:dyDescent="0.3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 x14ac:dyDescent="0.3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 x14ac:dyDescent="0.3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 x14ac:dyDescent="0.3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 x14ac:dyDescent="0.3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 x14ac:dyDescent="0.3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 x14ac:dyDescent="0.3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 x14ac:dyDescent="0.3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 x14ac:dyDescent="0.3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 x14ac:dyDescent="0.3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 x14ac:dyDescent="0.3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 x14ac:dyDescent="0.3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 x14ac:dyDescent="0.3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 x14ac:dyDescent="0.3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 x14ac:dyDescent="0.3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 x14ac:dyDescent="0.3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 x14ac:dyDescent="0.3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 x14ac:dyDescent="0.3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 x14ac:dyDescent="0.3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 x14ac:dyDescent="0.3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 x14ac:dyDescent="0.3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 x14ac:dyDescent="0.3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 x14ac:dyDescent="0.3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 x14ac:dyDescent="0.3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 x14ac:dyDescent="0.3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 x14ac:dyDescent="0.3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 x14ac:dyDescent="0.3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 x14ac:dyDescent="0.3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 x14ac:dyDescent="0.3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 x14ac:dyDescent="0.3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 x14ac:dyDescent="0.3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 x14ac:dyDescent="0.3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 x14ac:dyDescent="0.3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 x14ac:dyDescent="0.3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 x14ac:dyDescent="0.3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 x14ac:dyDescent="0.3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 x14ac:dyDescent="0.3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 x14ac:dyDescent="0.3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 x14ac:dyDescent="0.3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 x14ac:dyDescent="0.3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 x14ac:dyDescent="0.3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 x14ac:dyDescent="0.3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 x14ac:dyDescent="0.3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 x14ac:dyDescent="0.3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 x14ac:dyDescent="0.3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 x14ac:dyDescent="0.3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 x14ac:dyDescent="0.3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 x14ac:dyDescent="0.3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 x14ac:dyDescent="0.3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 x14ac:dyDescent="0.3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 x14ac:dyDescent="0.3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 x14ac:dyDescent="0.3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 x14ac:dyDescent="0.3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 x14ac:dyDescent="0.3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 x14ac:dyDescent="0.3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 x14ac:dyDescent="0.3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 x14ac:dyDescent="0.3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 x14ac:dyDescent="0.3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 x14ac:dyDescent="0.3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 x14ac:dyDescent="0.3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x14ac:dyDescent="0.3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x14ac:dyDescent="0.3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x14ac:dyDescent="0.3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x14ac:dyDescent="0.3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x14ac:dyDescent="0.3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x14ac:dyDescent="0.3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x14ac:dyDescent="0.3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x14ac:dyDescent="0.3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x14ac:dyDescent="0.3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x14ac:dyDescent="0.3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x14ac:dyDescent="0.3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x14ac:dyDescent="0.3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x14ac:dyDescent="0.3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x14ac:dyDescent="0.3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x14ac:dyDescent="0.3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x14ac:dyDescent="0.3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x14ac:dyDescent="0.3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x14ac:dyDescent="0.3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x14ac:dyDescent="0.3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0"/>
  <sheetViews>
    <sheetView topLeftCell="AF1" zoomScale="99" zoomScaleNormal="90" workbookViewId="0">
      <selection activeCell="AR5" sqref="AR5"/>
    </sheetView>
  </sheetViews>
  <sheetFormatPr baseColWidth="10" defaultRowHeight="14.4" x14ac:dyDescent="0.3"/>
  <cols>
    <col min="1" max="1" width="2.77734375" customWidth="1"/>
    <col min="3" max="3" width="22.33203125" bestFit="1" customWidth="1"/>
    <col min="4" max="4" width="13.44140625" bestFit="1" customWidth="1"/>
    <col min="5" max="5" width="15.6640625" bestFit="1" customWidth="1"/>
    <col min="6" max="6" width="17" bestFit="1" customWidth="1"/>
    <col min="7" max="7" width="16.6640625" bestFit="1" customWidth="1"/>
    <col min="8" max="8" width="15.6640625" bestFit="1" customWidth="1"/>
    <col min="9" max="9" width="18.6640625" bestFit="1" customWidth="1"/>
    <col min="10" max="10" width="16.6640625" bestFit="1" customWidth="1"/>
    <col min="11" max="11" width="13.44140625" bestFit="1" customWidth="1"/>
    <col min="12" max="12" width="15.6640625" bestFit="1" customWidth="1"/>
    <col min="13" max="13" width="21.88671875" bestFit="1" customWidth="1"/>
    <col min="14" max="14" width="21.21875" bestFit="1" customWidth="1"/>
    <col min="15" max="15" width="9.21875" bestFit="1" customWidth="1"/>
    <col min="16" max="16" width="24.77734375" bestFit="1" customWidth="1"/>
    <col min="17" max="17" width="24.44140625" bestFit="1" customWidth="1"/>
    <col min="18" max="18" width="10.6640625" bestFit="1" customWidth="1"/>
    <col min="19" max="19" width="18.109375" bestFit="1" customWidth="1"/>
    <col min="20" max="20" width="21.109375" bestFit="1" customWidth="1"/>
    <col min="21" max="21" width="14.44140625" bestFit="1" customWidth="1"/>
    <col min="23" max="23" width="24.44140625" bestFit="1" customWidth="1"/>
    <col min="24" max="24" width="12.88671875" bestFit="1" customWidth="1"/>
    <col min="25" max="25" width="5.77734375" bestFit="1" customWidth="1"/>
    <col min="26" max="26" width="13.109375" bestFit="1" customWidth="1"/>
    <col min="27" max="27" width="10.88671875" bestFit="1" customWidth="1"/>
    <col min="29" max="29" width="15.6640625" bestFit="1" customWidth="1"/>
    <col min="31" max="31" width="10.6640625" bestFit="1" customWidth="1"/>
    <col min="32" max="32" width="18.109375" bestFit="1" customWidth="1"/>
    <col min="33" max="33" width="21.109375" bestFit="1" customWidth="1"/>
    <col min="34" max="34" width="14.44140625" bestFit="1" customWidth="1"/>
    <col min="35" max="35" width="15" bestFit="1" customWidth="1"/>
    <col min="36" max="36" width="16.6640625" bestFit="1" customWidth="1"/>
    <col min="37" max="37" width="12.6640625" bestFit="1" customWidth="1"/>
    <col min="38" max="38" width="12.44140625" bestFit="1" customWidth="1"/>
    <col min="39" max="39" width="12.33203125" bestFit="1" customWidth="1"/>
    <col min="41" max="41" width="11.6640625" bestFit="1" customWidth="1"/>
    <col min="42" max="42" width="15.5546875" bestFit="1" customWidth="1"/>
    <col min="43" max="43" width="26" bestFit="1" customWidth="1"/>
    <col min="44" max="44" width="17.33203125" customWidth="1"/>
  </cols>
  <sheetData>
    <row r="1" spans="1:44" x14ac:dyDescent="0.3">
      <c r="N1" s="16" t="s">
        <v>13</v>
      </c>
      <c r="O1" t="s">
        <v>33</v>
      </c>
    </row>
    <row r="2" spans="1:44" x14ac:dyDescent="0.3">
      <c r="A2" s="12"/>
    </row>
    <row r="3" spans="1:44" x14ac:dyDescent="0.3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 x14ac:dyDescent="0.3">
      <c r="A4" s="14"/>
      <c r="C4" s="17">
        <v>1</v>
      </c>
      <c r="D4" s="56">
        <v>9</v>
      </c>
      <c r="E4" s="56">
        <v>23</v>
      </c>
      <c r="F4" s="20"/>
      <c r="G4" s="17">
        <v>1</v>
      </c>
      <c r="H4" s="18">
        <v>0.39130434782608697</v>
      </c>
      <c r="J4" s="17" t="s">
        <v>29</v>
      </c>
      <c r="K4" s="56">
        <v>30</v>
      </c>
      <c r="L4" s="56">
        <v>92</v>
      </c>
      <c r="N4" s="17" t="s">
        <v>102</v>
      </c>
      <c r="Q4" s="17">
        <v>1</v>
      </c>
      <c r="R4" s="56"/>
      <c r="S4" s="56"/>
      <c r="T4" s="56">
        <v>1</v>
      </c>
      <c r="U4" s="56"/>
      <c r="W4" s="17">
        <v>1</v>
      </c>
      <c r="X4" s="56"/>
      <c r="Y4" s="56"/>
      <c r="Z4" s="56"/>
      <c r="AA4" s="56"/>
      <c r="AC4" s="18">
        <v>0.32608695652173914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0</v>
      </c>
    </row>
    <row r="5" spans="1:44" x14ac:dyDescent="0.3">
      <c r="C5" s="27" t="s">
        <v>105</v>
      </c>
      <c r="D5" s="56">
        <v>9</v>
      </c>
      <c r="E5" s="56">
        <v>23</v>
      </c>
      <c r="F5" s="20"/>
      <c r="G5" s="17">
        <v>2</v>
      </c>
      <c r="H5" s="18">
        <v>0.4</v>
      </c>
      <c r="J5" s="17" t="s">
        <v>35</v>
      </c>
      <c r="K5" s="56">
        <v>30</v>
      </c>
      <c r="L5" s="56">
        <v>92</v>
      </c>
      <c r="N5" s="17" t="s">
        <v>104</v>
      </c>
      <c r="Q5" s="27" t="s">
        <v>105</v>
      </c>
      <c r="R5" s="56"/>
      <c r="S5" s="56"/>
      <c r="T5" s="56">
        <v>1</v>
      </c>
      <c r="U5" s="56"/>
      <c r="W5" s="27" t="s">
        <v>105</v>
      </c>
      <c r="X5" s="56"/>
      <c r="Y5" s="56"/>
      <c r="Z5" s="56"/>
      <c r="AA5" s="56"/>
      <c r="AE5" s="56">
        <v>2</v>
      </c>
      <c r="AF5" s="56"/>
      <c r="AG5" s="56">
        <v>1</v>
      </c>
      <c r="AH5" s="56"/>
      <c r="AJ5" s="56"/>
      <c r="AK5" s="56"/>
      <c r="AL5" s="56"/>
      <c r="AM5" s="56"/>
      <c r="AO5" s="17">
        <v>2</v>
      </c>
      <c r="AQ5" t="s">
        <v>96</v>
      </c>
      <c r="AR5">
        <f>GETPIVOTDATA("Exclusiones provocadas",$AE$4)/Analisis_Equipo!AI2</f>
        <v>0.1111111111111111</v>
      </c>
    </row>
    <row r="6" spans="1:44" x14ac:dyDescent="0.3">
      <c r="C6" s="17">
        <v>2</v>
      </c>
      <c r="D6" s="56">
        <v>4</v>
      </c>
      <c r="E6" s="56">
        <v>10</v>
      </c>
      <c r="F6" s="20"/>
      <c r="G6" s="17">
        <v>3</v>
      </c>
      <c r="H6" s="18" t="e">
        <v>#DIV/0!</v>
      </c>
      <c r="N6" s="17" t="s">
        <v>105</v>
      </c>
      <c r="Q6" s="17">
        <v>2</v>
      </c>
      <c r="R6" s="56"/>
      <c r="S6" s="56"/>
      <c r="T6" s="56"/>
      <c r="U6" s="56"/>
      <c r="W6" s="17">
        <v>2</v>
      </c>
      <c r="X6" s="56"/>
      <c r="Y6" s="56"/>
      <c r="Z6" s="56"/>
      <c r="AA6" s="56"/>
      <c r="AO6" s="17">
        <v>3</v>
      </c>
      <c r="AQ6" t="s">
        <v>97</v>
      </c>
      <c r="AR6">
        <f>GETPIVOTDATA("Penaltis provocados",$AE$4)/Analisis_Equipo!AI2</f>
        <v>0</v>
      </c>
    </row>
    <row r="7" spans="1:44" x14ac:dyDescent="0.3">
      <c r="C7" s="27" t="s">
        <v>126</v>
      </c>
      <c r="D7" s="56">
        <v>4</v>
      </c>
      <c r="E7" s="56">
        <v>10</v>
      </c>
      <c r="F7" s="20"/>
      <c r="G7" s="17">
        <v>4</v>
      </c>
      <c r="H7" s="18">
        <v>0.42857142857142855</v>
      </c>
      <c r="N7" s="17" t="s">
        <v>106</v>
      </c>
      <c r="Q7" s="27" t="s">
        <v>126</v>
      </c>
      <c r="R7" s="56"/>
      <c r="S7" s="56"/>
      <c r="T7" s="56"/>
      <c r="U7" s="56"/>
      <c r="W7" s="27" t="s">
        <v>126</v>
      </c>
      <c r="X7" s="56"/>
      <c r="Y7" s="56"/>
      <c r="Z7" s="56"/>
      <c r="AA7" s="56"/>
      <c r="AO7" s="17">
        <v>4</v>
      </c>
      <c r="AQ7" t="s">
        <v>98</v>
      </c>
      <c r="AR7">
        <f>GETPIVOTDATA("Asistencias",$AE$4)/Analisis_Equipo!AI2</f>
        <v>0.22222222222222221</v>
      </c>
    </row>
    <row r="8" spans="1:44" x14ac:dyDescent="0.3">
      <c r="C8" s="17">
        <v>3</v>
      </c>
      <c r="D8" s="56"/>
      <c r="E8" s="56"/>
      <c r="F8" s="20"/>
      <c r="G8" s="17">
        <v>5</v>
      </c>
      <c r="H8" s="18">
        <v>0.31818181818181818</v>
      </c>
      <c r="N8" s="17" t="s">
        <v>107</v>
      </c>
      <c r="Q8" s="17">
        <v>3</v>
      </c>
      <c r="R8" s="56"/>
      <c r="S8" s="56"/>
      <c r="T8" s="56"/>
      <c r="U8" s="56"/>
      <c r="W8" s="17">
        <v>3</v>
      </c>
      <c r="X8" s="56"/>
      <c r="Y8" s="56"/>
      <c r="Z8" s="56"/>
      <c r="AA8" s="56"/>
      <c r="AO8" s="17">
        <v>5</v>
      </c>
    </row>
    <row r="9" spans="1:44" x14ac:dyDescent="0.3">
      <c r="C9" s="27" t="s">
        <v>102</v>
      </c>
      <c r="D9" s="56"/>
      <c r="E9" s="56"/>
      <c r="F9" s="20"/>
      <c r="G9" s="17">
        <v>6</v>
      </c>
      <c r="H9" s="18">
        <v>0.25</v>
      </c>
      <c r="N9" s="17" t="s">
        <v>108</v>
      </c>
      <c r="Q9" s="27" t="s">
        <v>102</v>
      </c>
      <c r="R9" s="56"/>
      <c r="S9" s="56"/>
      <c r="T9" s="56"/>
      <c r="U9" s="56"/>
      <c r="W9" s="27" t="s">
        <v>102</v>
      </c>
      <c r="X9" s="56"/>
      <c r="Y9" s="56"/>
      <c r="Z9" s="56"/>
      <c r="AA9" s="56"/>
      <c r="AO9" s="17">
        <v>6</v>
      </c>
    </row>
    <row r="10" spans="1:44" x14ac:dyDescent="0.3">
      <c r="C10" s="17">
        <v>4</v>
      </c>
      <c r="D10" s="56">
        <v>6</v>
      </c>
      <c r="E10" s="56">
        <v>14</v>
      </c>
      <c r="F10" s="20"/>
      <c r="G10" s="17">
        <v>7</v>
      </c>
      <c r="H10" s="18">
        <v>0</v>
      </c>
      <c r="N10" s="17" t="s">
        <v>126</v>
      </c>
      <c r="Q10" s="17">
        <v>4</v>
      </c>
      <c r="R10" s="56"/>
      <c r="S10" s="56"/>
      <c r="T10" s="56"/>
      <c r="U10" s="56"/>
      <c r="W10" s="17">
        <v>4</v>
      </c>
      <c r="X10" s="56"/>
      <c r="Y10" s="56"/>
      <c r="Z10" s="56"/>
      <c r="AA10" s="56"/>
      <c r="AO10" s="17">
        <v>7</v>
      </c>
    </row>
    <row r="11" spans="1:44" x14ac:dyDescent="0.3">
      <c r="C11" s="27" t="s">
        <v>104</v>
      </c>
      <c r="D11" s="56">
        <v>6</v>
      </c>
      <c r="E11" s="56">
        <v>14</v>
      </c>
      <c r="F11" s="20"/>
      <c r="G11" s="17">
        <v>9</v>
      </c>
      <c r="H11" s="18">
        <v>0.16666666666666666</v>
      </c>
      <c r="N11" s="17" t="s">
        <v>127</v>
      </c>
      <c r="Q11" s="27" t="s">
        <v>104</v>
      </c>
      <c r="R11" s="56"/>
      <c r="S11" s="56"/>
      <c r="T11" s="56"/>
      <c r="U11" s="56"/>
      <c r="W11" s="27" t="s">
        <v>104</v>
      </c>
      <c r="X11" s="56"/>
      <c r="Y11" s="56"/>
      <c r="Z11" s="56"/>
      <c r="AA11" s="56"/>
      <c r="AO11" s="17">
        <v>9</v>
      </c>
    </row>
    <row r="12" spans="1:44" x14ac:dyDescent="0.3">
      <c r="C12" s="17">
        <v>5</v>
      </c>
      <c r="D12" s="56">
        <v>7</v>
      </c>
      <c r="E12" s="56">
        <v>22</v>
      </c>
      <c r="F12" s="20"/>
      <c r="G12" s="17" t="s">
        <v>35</v>
      </c>
      <c r="H12" s="18">
        <v>0.32608695652173914</v>
      </c>
      <c r="N12" s="17" t="s">
        <v>35</v>
      </c>
      <c r="Q12" s="17">
        <v>5</v>
      </c>
      <c r="R12" s="56">
        <v>1</v>
      </c>
      <c r="S12" s="56"/>
      <c r="T12" s="56"/>
      <c r="U12" s="56"/>
      <c r="W12" s="17">
        <v>5</v>
      </c>
      <c r="X12" s="56"/>
      <c r="Y12" s="56"/>
      <c r="Z12" s="56"/>
      <c r="AA12" s="56"/>
      <c r="AO12" s="17" t="s">
        <v>35</v>
      </c>
    </row>
    <row r="13" spans="1:44" x14ac:dyDescent="0.3">
      <c r="C13" s="27" t="s">
        <v>107</v>
      </c>
      <c r="D13" s="56">
        <v>7</v>
      </c>
      <c r="E13" s="56">
        <v>22</v>
      </c>
      <c r="Q13" s="27" t="s">
        <v>107</v>
      </c>
      <c r="R13" s="56">
        <v>1</v>
      </c>
      <c r="S13" s="56"/>
      <c r="T13" s="56"/>
      <c r="U13" s="56"/>
      <c r="W13" s="27" t="s">
        <v>107</v>
      </c>
      <c r="X13" s="56"/>
      <c r="Y13" s="56"/>
      <c r="Z13" s="56"/>
      <c r="AA13" s="56"/>
    </row>
    <row r="14" spans="1:44" x14ac:dyDescent="0.3">
      <c r="C14" s="17">
        <v>6</v>
      </c>
      <c r="D14" s="56">
        <v>3</v>
      </c>
      <c r="E14" s="56">
        <v>12</v>
      </c>
      <c r="Q14" s="17">
        <v>6</v>
      </c>
      <c r="R14" s="56">
        <v>1</v>
      </c>
      <c r="S14" s="56"/>
      <c r="T14" s="56"/>
      <c r="U14" s="56"/>
      <c r="W14" s="17">
        <v>6</v>
      </c>
      <c r="X14" s="56"/>
      <c r="Y14" s="56"/>
      <c r="Z14" s="56"/>
      <c r="AA14" s="56"/>
    </row>
    <row r="15" spans="1:44" x14ac:dyDescent="0.3">
      <c r="C15" s="27" t="s">
        <v>106</v>
      </c>
      <c r="D15" s="56">
        <v>3</v>
      </c>
      <c r="E15" s="56">
        <v>12</v>
      </c>
      <c r="Q15" s="27" t="s">
        <v>106</v>
      </c>
      <c r="R15" s="56">
        <v>1</v>
      </c>
      <c r="S15" s="56"/>
      <c r="T15" s="56"/>
      <c r="U15" s="56"/>
      <c r="W15" s="27" t="s">
        <v>106</v>
      </c>
      <c r="X15" s="56"/>
      <c r="Y15" s="56"/>
      <c r="Z15" s="56"/>
      <c r="AA15" s="56"/>
    </row>
    <row r="16" spans="1:44" x14ac:dyDescent="0.3">
      <c r="C16" s="17">
        <v>7</v>
      </c>
      <c r="D16" s="56">
        <v>0</v>
      </c>
      <c r="E16" s="56">
        <v>5</v>
      </c>
      <c r="Q16" s="17">
        <v>7</v>
      </c>
      <c r="R16" s="56"/>
      <c r="S16" s="56"/>
      <c r="T16" s="56"/>
      <c r="U16" s="56"/>
      <c r="W16" s="17">
        <v>7</v>
      </c>
      <c r="X16" s="56"/>
      <c r="Y16" s="56"/>
      <c r="Z16" s="56"/>
      <c r="AA16" s="56"/>
    </row>
    <row r="17" spans="3:27" x14ac:dyDescent="0.3">
      <c r="C17" s="27" t="s">
        <v>108</v>
      </c>
      <c r="D17" s="56">
        <v>0</v>
      </c>
      <c r="E17" s="56">
        <v>5</v>
      </c>
      <c r="Q17" s="27" t="s">
        <v>108</v>
      </c>
      <c r="R17" s="56"/>
      <c r="S17" s="56"/>
      <c r="T17" s="56"/>
      <c r="U17" s="56"/>
      <c r="W17" s="27" t="s">
        <v>108</v>
      </c>
      <c r="X17" s="56"/>
      <c r="Y17" s="56"/>
      <c r="Z17" s="56"/>
      <c r="AA17" s="56"/>
    </row>
    <row r="18" spans="3:27" x14ac:dyDescent="0.3">
      <c r="C18" s="17">
        <v>9</v>
      </c>
      <c r="D18" s="56">
        <v>1</v>
      </c>
      <c r="E18" s="56">
        <v>6</v>
      </c>
      <c r="Q18" s="17">
        <v>9</v>
      </c>
      <c r="R18" s="56"/>
      <c r="S18" s="56"/>
      <c r="T18" s="56"/>
      <c r="U18" s="56"/>
      <c r="W18" s="17">
        <v>9</v>
      </c>
      <c r="X18" s="56"/>
      <c r="Y18" s="56"/>
      <c r="Z18" s="56"/>
      <c r="AA18" s="56"/>
    </row>
    <row r="19" spans="3:27" x14ac:dyDescent="0.3">
      <c r="C19" s="27" t="s">
        <v>127</v>
      </c>
      <c r="D19" s="56">
        <v>1</v>
      </c>
      <c r="E19" s="56">
        <v>6</v>
      </c>
      <c r="Q19" s="27" t="s">
        <v>127</v>
      </c>
      <c r="R19" s="56"/>
      <c r="S19" s="56"/>
      <c r="T19" s="56"/>
      <c r="U19" s="56"/>
      <c r="W19" s="27" t="s">
        <v>127</v>
      </c>
      <c r="X19" s="56"/>
      <c r="Y19" s="56"/>
      <c r="Z19" s="56"/>
      <c r="AA19" s="56"/>
    </row>
    <row r="20" spans="3:27" x14ac:dyDescent="0.3">
      <c r="C20" s="17" t="s">
        <v>35</v>
      </c>
      <c r="D20" s="56">
        <v>30</v>
      </c>
      <c r="E20" s="56">
        <v>92</v>
      </c>
      <c r="Q20" s="17" t="s">
        <v>35</v>
      </c>
      <c r="R20" s="56">
        <v>2</v>
      </c>
      <c r="S20" s="56"/>
      <c r="T20" s="56">
        <v>1</v>
      </c>
      <c r="U20" s="56"/>
      <c r="W20" s="17" t="s">
        <v>35</v>
      </c>
      <c r="X20" s="56"/>
      <c r="Y20" s="56"/>
      <c r="Z20" s="56"/>
      <c r="AA20" s="56"/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S1" zoomScale="99" zoomScaleNormal="90" workbookViewId="0">
      <selection activeCell="AI14" sqref="AI14"/>
    </sheetView>
  </sheetViews>
  <sheetFormatPr baseColWidth="10" defaultRowHeight="14.4" x14ac:dyDescent="0.3"/>
  <cols>
    <col min="1" max="1" width="2.77734375" customWidth="1"/>
    <col min="3" max="3" width="22.33203125" bestFit="1" customWidth="1"/>
    <col min="4" max="4" width="17.6640625" bestFit="1" customWidth="1"/>
    <col min="5" max="5" width="29.44140625" bestFit="1" customWidth="1"/>
    <col min="6" max="6" width="17.109375" style="30" bestFit="1" customWidth="1"/>
    <col min="7" max="7" width="17.6640625" bestFit="1" customWidth="1"/>
    <col min="8" max="8" width="29.44140625" style="20" bestFit="1" customWidth="1"/>
    <col min="9" max="9" width="16.88671875" style="31" bestFit="1" customWidth="1"/>
    <col min="10" max="10" width="17" bestFit="1" customWidth="1"/>
    <col min="11" max="11" width="22.33203125" bestFit="1" customWidth="1"/>
    <col min="12" max="12" width="15.44140625" bestFit="1" customWidth="1"/>
    <col min="13" max="13" width="18.88671875" bestFit="1" customWidth="1"/>
    <col min="14" max="14" width="24.21875" style="31" bestFit="1" customWidth="1"/>
    <col min="15" max="15" width="24.33203125" style="31" customWidth="1"/>
    <col min="16" max="16" width="18.88671875" bestFit="1" customWidth="1"/>
    <col min="17" max="17" width="15.44140625" bestFit="1" customWidth="1"/>
    <col min="18" max="18" width="16.88671875" style="31" bestFit="1" customWidth="1"/>
    <col min="19" max="19" width="10.77734375" bestFit="1" customWidth="1"/>
    <col min="20" max="20" width="24.44140625" bestFit="1" customWidth="1"/>
    <col min="21" max="21" width="10.6640625" bestFit="1" customWidth="1"/>
    <col min="22" max="22" width="18.109375" bestFit="1" customWidth="1"/>
    <col min="23" max="23" width="21.109375" bestFit="1" customWidth="1"/>
    <col min="24" max="24" width="14.44140625" bestFit="1" customWidth="1"/>
    <col min="25" max="25" width="13" bestFit="1" customWidth="1"/>
    <col min="26" max="26" width="24.44140625" bestFit="1" customWidth="1"/>
    <col min="27" max="27" width="12.88671875" bestFit="1" customWidth="1"/>
    <col min="28" max="28" width="5.77734375" bestFit="1" customWidth="1"/>
    <col min="29" max="29" width="13.109375" bestFit="1" customWidth="1"/>
    <col min="30" max="30" width="10.88671875" bestFit="1" customWidth="1"/>
    <col min="34" max="34" width="18.5546875" bestFit="1" customWidth="1"/>
    <col min="37" max="37" width="10.6640625" bestFit="1" customWidth="1"/>
    <col min="38" max="38" width="14.44140625" bestFit="1" customWidth="1"/>
    <col min="39" max="39" width="18.109375" bestFit="1" customWidth="1"/>
    <col min="40" max="40" width="10.88671875" bestFit="1" customWidth="1"/>
    <col min="41" max="41" width="15" bestFit="1" customWidth="1"/>
    <col min="42" max="42" width="10.6640625" bestFit="1" customWidth="1"/>
    <col min="43" max="43" width="18.109375" bestFit="1" customWidth="1"/>
    <col min="44" max="44" width="21.109375" bestFit="1" customWidth="1"/>
    <col min="45" max="45" width="14.44140625" bestFit="1" customWidth="1"/>
    <col min="46" max="46" width="15" bestFit="1" customWidth="1"/>
    <col min="47" max="47" width="12.88671875" bestFit="1" customWidth="1"/>
    <col min="48" max="48" width="5.77734375" bestFit="1" customWidth="1"/>
    <col min="49" max="49" width="13.109375" bestFit="1" customWidth="1"/>
    <col min="50" max="51" width="10.88671875" bestFit="1" customWidth="1"/>
  </cols>
  <sheetData>
    <row r="2" spans="1:50" x14ac:dyDescent="0.3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MAX(Datos!O:O)</f>
        <v>9</v>
      </c>
      <c r="AK2" t="s">
        <v>51</v>
      </c>
      <c r="AL2" t="s">
        <v>50</v>
      </c>
      <c r="AM2" t="s">
        <v>49</v>
      </c>
      <c r="AN2" t="s">
        <v>48</v>
      </c>
    </row>
    <row r="3" spans="1:50" x14ac:dyDescent="0.3">
      <c r="A3" s="13"/>
      <c r="C3" s="17">
        <v>1</v>
      </c>
      <c r="D3" s="56">
        <v>39</v>
      </c>
      <c r="E3" s="56">
        <v>50</v>
      </c>
      <c r="F3" s="31">
        <v>78</v>
      </c>
      <c r="G3" s="56">
        <v>372</v>
      </c>
      <c r="H3" s="56">
        <v>433</v>
      </c>
      <c r="I3" s="31">
        <v>85.912240184757508</v>
      </c>
      <c r="K3" s="17">
        <v>1</v>
      </c>
      <c r="L3" s="56">
        <v>9</v>
      </c>
      <c r="M3" s="56">
        <v>19</v>
      </c>
      <c r="N3" s="31">
        <v>32.142857142857146</v>
      </c>
      <c r="P3" s="56">
        <v>131</v>
      </c>
      <c r="Q3" s="56">
        <v>79</v>
      </c>
      <c r="R3" s="31">
        <v>37.61904761904762</v>
      </c>
      <c r="T3" s="17">
        <v>1</v>
      </c>
      <c r="U3" s="56">
        <v>24</v>
      </c>
      <c r="V3" s="56">
        <v>4</v>
      </c>
      <c r="W3" s="56">
        <v>3</v>
      </c>
      <c r="X3" s="56">
        <v>12</v>
      </c>
      <c r="Z3" s="17">
        <v>1</v>
      </c>
      <c r="AA3" s="56">
        <v>10</v>
      </c>
      <c r="AB3" s="56">
        <v>1</v>
      </c>
      <c r="AC3" s="56"/>
      <c r="AD3" s="56">
        <v>2</v>
      </c>
      <c r="AH3" t="s">
        <v>65</v>
      </c>
      <c r="AI3">
        <f>GETPIVOTDATA("Suma de goles favor",$G$2)</f>
        <v>372</v>
      </c>
      <c r="AK3" s="56">
        <v>41</v>
      </c>
      <c r="AL3" s="56">
        <v>2</v>
      </c>
      <c r="AM3" s="56">
        <v>4</v>
      </c>
      <c r="AN3" s="56">
        <v>19</v>
      </c>
    </row>
    <row r="4" spans="1:50" x14ac:dyDescent="0.3">
      <c r="A4" s="14"/>
      <c r="C4" s="27" t="s">
        <v>105</v>
      </c>
      <c r="D4" s="56">
        <v>39</v>
      </c>
      <c r="E4" s="56">
        <v>50</v>
      </c>
      <c r="F4" s="31">
        <v>78</v>
      </c>
      <c r="H4"/>
      <c r="K4" s="27" t="s">
        <v>105</v>
      </c>
      <c r="L4" s="56">
        <v>9</v>
      </c>
      <c r="M4" s="56">
        <v>19</v>
      </c>
      <c r="N4" s="31">
        <v>32.142857142857146</v>
      </c>
      <c r="T4" s="27" t="s">
        <v>105</v>
      </c>
      <c r="U4" s="56">
        <v>24</v>
      </c>
      <c r="V4" s="56">
        <v>4</v>
      </c>
      <c r="W4" s="56">
        <v>3</v>
      </c>
      <c r="X4" s="56">
        <v>12</v>
      </c>
      <c r="Z4" s="27" t="s">
        <v>105</v>
      </c>
      <c r="AA4" s="56">
        <v>10</v>
      </c>
      <c r="AB4" s="56">
        <v>1</v>
      </c>
      <c r="AC4" s="56"/>
      <c r="AD4" s="56">
        <v>2</v>
      </c>
      <c r="AH4" t="s">
        <v>66</v>
      </c>
      <c r="AI4">
        <f>GETPIVOTDATA("Suma de goles contra",$P$2)</f>
        <v>131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 x14ac:dyDescent="0.3">
      <c r="C5" s="17">
        <v>2</v>
      </c>
      <c r="D5" s="56">
        <v>50</v>
      </c>
      <c r="E5" s="56">
        <v>57</v>
      </c>
      <c r="F5" s="31">
        <v>87.719298245614027</v>
      </c>
      <c r="H5"/>
      <c r="K5" s="17">
        <v>2</v>
      </c>
      <c r="L5" s="56">
        <v>13</v>
      </c>
      <c r="M5" s="56">
        <v>18</v>
      </c>
      <c r="N5" s="31">
        <v>41.935483870967744</v>
      </c>
      <c r="T5" s="17">
        <v>2</v>
      </c>
      <c r="U5" s="56">
        <v>33</v>
      </c>
      <c r="V5" s="56">
        <v>4</v>
      </c>
      <c r="W5" s="56">
        <v>3</v>
      </c>
      <c r="X5" s="56">
        <v>18</v>
      </c>
      <c r="Z5" s="17">
        <v>2</v>
      </c>
      <c r="AA5" s="56">
        <v>5</v>
      </c>
      <c r="AB5" s="56"/>
      <c r="AC5" s="56">
        <v>2</v>
      </c>
      <c r="AD5" s="56">
        <v>3</v>
      </c>
      <c r="AH5" t="s">
        <v>67</v>
      </c>
      <c r="AI5">
        <f>GETPIVOTDATA("Suma de Paradas",$P$2)</f>
        <v>79</v>
      </c>
      <c r="AJ5" s="38">
        <f>AI5/AI2</f>
        <v>8.7777777777777786</v>
      </c>
      <c r="AK5" t="s">
        <v>45</v>
      </c>
      <c r="AL5" t="s">
        <v>44</v>
      </c>
      <c r="AM5" t="s">
        <v>75</v>
      </c>
      <c r="AP5" s="56">
        <v>216</v>
      </c>
      <c r="AQ5" s="56">
        <v>18</v>
      </c>
      <c r="AR5" s="56">
        <v>12</v>
      </c>
      <c r="AS5" s="56">
        <v>145</v>
      </c>
      <c r="AU5" s="56">
        <v>41</v>
      </c>
      <c r="AV5" s="56">
        <v>2</v>
      </c>
      <c r="AW5" s="56">
        <v>4</v>
      </c>
      <c r="AX5" s="56">
        <v>19</v>
      </c>
    </row>
    <row r="6" spans="1:50" x14ac:dyDescent="0.3">
      <c r="C6" s="27" t="s">
        <v>126</v>
      </c>
      <c r="D6" s="56">
        <v>50</v>
      </c>
      <c r="E6" s="56">
        <v>57</v>
      </c>
      <c r="F6" s="31">
        <v>87.719298245614027</v>
      </c>
      <c r="H6"/>
      <c r="K6" s="27" t="s">
        <v>126</v>
      </c>
      <c r="L6" s="56">
        <v>13</v>
      </c>
      <c r="M6" s="56">
        <v>18</v>
      </c>
      <c r="N6" s="31">
        <v>41.935483870967744</v>
      </c>
      <c r="T6" s="27" t="s">
        <v>126</v>
      </c>
      <c r="U6" s="56">
        <v>33</v>
      </c>
      <c r="V6" s="56">
        <v>4</v>
      </c>
      <c r="W6" s="56">
        <v>3</v>
      </c>
      <c r="X6" s="56">
        <v>18</v>
      </c>
      <c r="Z6" s="27" t="s">
        <v>126</v>
      </c>
      <c r="AA6" s="56">
        <v>5</v>
      </c>
      <c r="AB6" s="56"/>
      <c r="AC6" s="56">
        <v>2</v>
      </c>
      <c r="AD6" s="56">
        <v>3</v>
      </c>
      <c r="AH6" t="s">
        <v>68</v>
      </c>
      <c r="AI6">
        <f>GETPIVOTDATA("Suma de lanzamientos realizados",$G$2)</f>
        <v>433</v>
      </c>
      <c r="AJ6" s="38">
        <f>AI6/AI2</f>
        <v>48.111111111111114</v>
      </c>
      <c r="AK6" s="56">
        <v>216</v>
      </c>
      <c r="AL6" s="56">
        <v>145</v>
      </c>
      <c r="AM6" s="56">
        <v>12</v>
      </c>
    </row>
    <row r="7" spans="1:50" x14ac:dyDescent="0.3">
      <c r="C7" s="17">
        <v>3</v>
      </c>
      <c r="D7" s="56">
        <v>48</v>
      </c>
      <c r="E7" s="56">
        <v>54</v>
      </c>
      <c r="F7" s="31">
        <v>88.888888888888886</v>
      </c>
      <c r="H7"/>
      <c r="K7" s="17">
        <v>3</v>
      </c>
      <c r="L7" s="56">
        <v>6</v>
      </c>
      <c r="M7" s="56">
        <v>8</v>
      </c>
      <c r="N7" s="31">
        <v>42.857142857142854</v>
      </c>
      <c r="T7" s="17">
        <v>3</v>
      </c>
      <c r="U7" s="56">
        <v>28</v>
      </c>
      <c r="V7" s="56">
        <v>1</v>
      </c>
      <c r="W7" s="56"/>
      <c r="X7" s="56">
        <v>19</v>
      </c>
      <c r="Z7" s="17">
        <v>3</v>
      </c>
      <c r="AA7" s="56">
        <v>2</v>
      </c>
      <c r="AB7" s="56"/>
      <c r="AC7" s="56"/>
      <c r="AD7" s="56">
        <v>1</v>
      </c>
      <c r="AH7" t="s">
        <v>69</v>
      </c>
      <c r="AI7" s="32">
        <f>GETPIVOTDATA("Suma de Campo11",$G$2)</f>
        <v>85.912240184757508</v>
      </c>
    </row>
    <row r="8" spans="1:50" x14ac:dyDescent="0.3">
      <c r="C8" s="27" t="s">
        <v>102</v>
      </c>
      <c r="D8" s="56">
        <v>48</v>
      </c>
      <c r="E8" s="56">
        <v>54</v>
      </c>
      <c r="F8" s="31">
        <v>88.888888888888886</v>
      </c>
      <c r="H8"/>
      <c r="K8" s="27" t="s">
        <v>102</v>
      </c>
      <c r="L8" s="56">
        <v>6</v>
      </c>
      <c r="M8" s="56">
        <v>8</v>
      </c>
      <c r="N8" s="31">
        <v>42.857142857142854</v>
      </c>
      <c r="T8" s="27" t="s">
        <v>102</v>
      </c>
      <c r="U8" s="56">
        <v>28</v>
      </c>
      <c r="V8" s="56">
        <v>1</v>
      </c>
      <c r="W8" s="56"/>
      <c r="X8" s="56">
        <v>19</v>
      </c>
      <c r="Z8" s="27" t="s">
        <v>102</v>
      </c>
      <c r="AA8" s="56">
        <v>2</v>
      </c>
      <c r="AB8" s="56"/>
      <c r="AC8" s="56"/>
      <c r="AD8" s="56">
        <v>1</v>
      </c>
      <c r="AH8" t="s">
        <v>72</v>
      </c>
      <c r="AI8" s="32">
        <f>AI3/AI2</f>
        <v>41.333333333333336</v>
      </c>
    </row>
    <row r="9" spans="1:50" x14ac:dyDescent="0.3">
      <c r="C9" s="17">
        <v>4</v>
      </c>
      <c r="D9" s="56">
        <v>49</v>
      </c>
      <c r="E9" s="56">
        <v>55</v>
      </c>
      <c r="F9" s="31">
        <v>89.090909090909093</v>
      </c>
      <c r="H9"/>
      <c r="K9" s="17">
        <v>4</v>
      </c>
      <c r="L9" s="56">
        <v>11</v>
      </c>
      <c r="M9" s="56">
        <v>14</v>
      </c>
      <c r="N9" s="31">
        <v>44</v>
      </c>
      <c r="O9"/>
      <c r="T9" s="17">
        <v>4</v>
      </c>
      <c r="U9" s="56">
        <v>25</v>
      </c>
      <c r="V9" s="56">
        <v>2</v>
      </c>
      <c r="W9" s="56">
        <v>2</v>
      </c>
      <c r="X9" s="56">
        <v>23</v>
      </c>
      <c r="Z9" s="17">
        <v>4</v>
      </c>
      <c r="AA9" s="56">
        <v>5</v>
      </c>
      <c r="AB9" s="56"/>
      <c r="AC9" s="56"/>
      <c r="AD9" s="56">
        <v>5</v>
      </c>
      <c r="AH9" t="s">
        <v>70</v>
      </c>
      <c r="AI9" s="29">
        <f>GETPIVOTDATA("Suma de Paradas",$P$2)/(AI4+AI5)</f>
        <v>0.37619047619047619</v>
      </c>
    </row>
    <row r="10" spans="1:50" x14ac:dyDescent="0.3">
      <c r="C10" s="27" t="s">
        <v>104</v>
      </c>
      <c r="D10" s="56">
        <v>49</v>
      </c>
      <c r="E10" s="56">
        <v>55</v>
      </c>
      <c r="F10" s="31">
        <v>89.090909090909093</v>
      </c>
      <c r="G10" s="19"/>
      <c r="K10" s="27" t="s">
        <v>104</v>
      </c>
      <c r="L10" s="56">
        <v>11</v>
      </c>
      <c r="M10" s="56">
        <v>14</v>
      </c>
      <c r="N10" s="31">
        <v>44</v>
      </c>
      <c r="T10" s="27" t="s">
        <v>104</v>
      </c>
      <c r="U10" s="56">
        <v>25</v>
      </c>
      <c r="V10" s="56">
        <v>2</v>
      </c>
      <c r="W10" s="56">
        <v>2</v>
      </c>
      <c r="X10" s="56">
        <v>23</v>
      </c>
      <c r="Z10" s="27" t="s">
        <v>104</v>
      </c>
      <c r="AA10" s="56">
        <v>5</v>
      </c>
      <c r="AB10" s="56"/>
      <c r="AC10" s="56"/>
      <c r="AD10" s="56">
        <v>5</v>
      </c>
      <c r="AH10" t="s">
        <v>71</v>
      </c>
      <c r="AI10" s="32">
        <f>AI4/AI2</f>
        <v>14.555555555555555</v>
      </c>
    </row>
    <row r="11" spans="1:50" x14ac:dyDescent="0.3">
      <c r="C11" s="17">
        <v>5</v>
      </c>
      <c r="D11" s="56">
        <v>50</v>
      </c>
      <c r="E11" s="56">
        <v>66</v>
      </c>
      <c r="F11" s="31">
        <v>75.757575757575751</v>
      </c>
      <c r="G11" s="19"/>
      <c r="K11" s="17">
        <v>5</v>
      </c>
      <c r="L11" s="56">
        <v>14</v>
      </c>
      <c r="M11" s="56">
        <v>24</v>
      </c>
      <c r="N11" s="31">
        <v>36.84210526315789</v>
      </c>
      <c r="T11" s="17">
        <v>5</v>
      </c>
      <c r="U11" s="56">
        <v>25</v>
      </c>
      <c r="V11" s="56">
        <v>4</v>
      </c>
      <c r="W11" s="56">
        <v>2</v>
      </c>
      <c r="X11" s="56">
        <v>20</v>
      </c>
      <c r="Z11" s="17">
        <v>5</v>
      </c>
      <c r="AA11" s="56">
        <v>5</v>
      </c>
      <c r="AB11" s="56"/>
      <c r="AC11" s="56"/>
      <c r="AD11" s="56">
        <v>4</v>
      </c>
      <c r="AH11" t="s">
        <v>73</v>
      </c>
      <c r="AI11">
        <f>GETPIVOTDATA("Asistencias",$AK$5)</f>
        <v>216</v>
      </c>
      <c r="AJ11" s="32">
        <f>AI11/AI2</f>
        <v>24</v>
      </c>
    </row>
    <row r="12" spans="1:50" x14ac:dyDescent="0.3">
      <c r="C12" s="27" t="s">
        <v>107</v>
      </c>
      <c r="D12" s="56">
        <v>50</v>
      </c>
      <c r="E12" s="56">
        <v>66</v>
      </c>
      <c r="F12" s="31">
        <v>75.757575757575751</v>
      </c>
      <c r="G12" s="19"/>
      <c r="K12" s="27" t="s">
        <v>107</v>
      </c>
      <c r="L12" s="56">
        <v>14</v>
      </c>
      <c r="M12" s="56">
        <v>24</v>
      </c>
      <c r="N12" s="31">
        <v>36.84210526315789</v>
      </c>
      <c r="T12" s="27" t="s">
        <v>107</v>
      </c>
      <c r="U12" s="56">
        <v>25</v>
      </c>
      <c r="V12" s="56">
        <v>4</v>
      </c>
      <c r="W12" s="56">
        <v>2</v>
      </c>
      <c r="X12" s="56">
        <v>20</v>
      </c>
      <c r="Z12" s="27" t="s">
        <v>107</v>
      </c>
      <c r="AA12" s="56">
        <v>5</v>
      </c>
      <c r="AB12" s="56"/>
      <c r="AC12" s="56"/>
      <c r="AD12" s="56">
        <v>4</v>
      </c>
      <c r="AH12" t="s">
        <v>74</v>
      </c>
      <c r="AI12">
        <f>GETPIVOTDATA("Pérdidas pase",$AK$2)+GETPIVOTDATA("Áreas",$AK$2)+GETPIVOTDATA("Perdidas otros",$AK$2)</f>
        <v>47</v>
      </c>
      <c r="AJ12" s="32">
        <f>AI12/$AI$2</f>
        <v>5.2222222222222223</v>
      </c>
    </row>
    <row r="13" spans="1:50" x14ac:dyDescent="0.3">
      <c r="C13" s="17">
        <v>6</v>
      </c>
      <c r="D13" s="56">
        <v>37</v>
      </c>
      <c r="E13" s="56">
        <v>43</v>
      </c>
      <c r="F13" s="31">
        <v>86.04651162790698</v>
      </c>
      <c r="K13" s="17">
        <v>6</v>
      </c>
      <c r="L13" s="56">
        <v>10</v>
      </c>
      <c r="M13" s="56">
        <v>17</v>
      </c>
      <c r="N13" s="31">
        <v>37.037037037037038</v>
      </c>
      <c r="T13" s="17">
        <v>6</v>
      </c>
      <c r="U13" s="56">
        <v>27</v>
      </c>
      <c r="V13" s="56">
        <v>1</v>
      </c>
      <c r="W13" s="56"/>
      <c r="X13" s="56">
        <v>12</v>
      </c>
      <c r="Z13" s="17">
        <v>6</v>
      </c>
      <c r="AA13" s="56">
        <v>6</v>
      </c>
      <c r="AB13" s="56">
        <v>1</v>
      </c>
      <c r="AC13" s="56"/>
      <c r="AD13" s="56">
        <v>2</v>
      </c>
      <c r="AH13" t="s">
        <v>76</v>
      </c>
      <c r="AI13">
        <f>GETPIVOTDATA("Recuperaciones",$AK$5)</f>
        <v>145</v>
      </c>
      <c r="AJ13" s="32">
        <f>AI13/$AI$2</f>
        <v>16.111111111111111</v>
      </c>
    </row>
    <row r="14" spans="1:50" x14ac:dyDescent="0.3">
      <c r="C14" s="27" t="s">
        <v>106</v>
      </c>
      <c r="D14" s="56">
        <v>37</v>
      </c>
      <c r="E14" s="56">
        <v>43</v>
      </c>
      <c r="F14" s="31">
        <v>86.04651162790698</v>
      </c>
      <c r="K14" s="27" t="s">
        <v>106</v>
      </c>
      <c r="L14" s="56">
        <v>10</v>
      </c>
      <c r="M14" s="56">
        <v>17</v>
      </c>
      <c r="N14" s="31">
        <v>37.037037037037038</v>
      </c>
      <c r="T14" s="27" t="s">
        <v>106</v>
      </c>
      <c r="U14" s="56">
        <v>27</v>
      </c>
      <c r="V14" s="56">
        <v>1</v>
      </c>
      <c r="W14" s="56"/>
      <c r="X14" s="56">
        <v>12</v>
      </c>
      <c r="Z14" s="27" t="s">
        <v>106</v>
      </c>
      <c r="AA14" s="56">
        <v>6</v>
      </c>
      <c r="AB14" s="56">
        <v>1</v>
      </c>
      <c r="AC14" s="56"/>
      <c r="AD14" s="56">
        <v>2</v>
      </c>
      <c r="AH14" t="s">
        <v>77</v>
      </c>
      <c r="AI14">
        <f>GETPIVOTDATA("Suma de Exclusión +",$AK$5)</f>
        <v>12</v>
      </c>
      <c r="AJ14" s="32">
        <f>AI14/$AI$2</f>
        <v>1.3333333333333333</v>
      </c>
    </row>
    <row r="15" spans="1:50" x14ac:dyDescent="0.3">
      <c r="C15" s="17">
        <v>7</v>
      </c>
      <c r="D15" s="56">
        <v>42</v>
      </c>
      <c r="E15" s="56">
        <v>46</v>
      </c>
      <c r="F15" s="31">
        <v>91.304347826086953</v>
      </c>
      <c r="K15" s="17">
        <v>7</v>
      </c>
      <c r="L15" s="56">
        <v>6</v>
      </c>
      <c r="M15" s="56">
        <v>15</v>
      </c>
      <c r="N15" s="31">
        <v>28.571428571428569</v>
      </c>
      <c r="T15" s="17">
        <v>7</v>
      </c>
      <c r="U15" s="56">
        <v>24</v>
      </c>
      <c r="V15" s="56">
        <v>1</v>
      </c>
      <c r="W15" s="56"/>
      <c r="X15" s="56">
        <v>14</v>
      </c>
      <c r="Z15" s="17">
        <v>7</v>
      </c>
      <c r="AA15" s="56">
        <v>7</v>
      </c>
      <c r="AB15" s="56"/>
      <c r="AC15" s="56">
        <v>1</v>
      </c>
      <c r="AD15" s="56">
        <v>2</v>
      </c>
      <c r="AH15" t="s">
        <v>78</v>
      </c>
      <c r="AI15">
        <f>GETPIVOTDATA("Exclusiones",$AK$2)</f>
        <v>19</v>
      </c>
      <c r="AJ15" s="32">
        <f>AI15/$AI$2</f>
        <v>2.1111111111111112</v>
      </c>
    </row>
    <row r="16" spans="1:50" x14ac:dyDescent="0.3">
      <c r="C16" s="27" t="s">
        <v>108</v>
      </c>
      <c r="D16" s="56">
        <v>42</v>
      </c>
      <c r="E16" s="56">
        <v>46</v>
      </c>
      <c r="F16" s="31">
        <v>91.304347826086953</v>
      </c>
      <c r="K16" s="27" t="s">
        <v>108</v>
      </c>
      <c r="L16" s="56">
        <v>6</v>
      </c>
      <c r="M16" s="56">
        <v>15</v>
      </c>
      <c r="N16" s="31">
        <v>28.571428571428569</v>
      </c>
      <c r="T16" s="27" t="s">
        <v>108</v>
      </c>
      <c r="U16" s="56">
        <v>24</v>
      </c>
      <c r="V16" s="56">
        <v>1</v>
      </c>
      <c r="W16" s="56"/>
      <c r="X16" s="56">
        <v>14</v>
      </c>
      <c r="Z16" s="27" t="s">
        <v>108</v>
      </c>
      <c r="AA16" s="56">
        <v>7</v>
      </c>
      <c r="AB16" s="56"/>
      <c r="AC16" s="56">
        <v>1</v>
      </c>
      <c r="AD16" s="56">
        <v>2</v>
      </c>
      <c r="AH16" t="s">
        <v>80</v>
      </c>
      <c r="AI16">
        <f>GETPIVOTDATA("Penaltis provocados",$T$2)</f>
        <v>18</v>
      </c>
    </row>
    <row r="17" spans="3:35" x14ac:dyDescent="0.3">
      <c r="C17" s="17">
        <v>9</v>
      </c>
      <c r="D17" s="56">
        <v>57</v>
      </c>
      <c r="E17" s="56">
        <v>62</v>
      </c>
      <c r="F17" s="31">
        <v>91.935483870967744</v>
      </c>
      <c r="K17" s="17">
        <v>9</v>
      </c>
      <c r="L17" s="56">
        <v>10</v>
      </c>
      <c r="M17" s="56">
        <v>16</v>
      </c>
      <c r="N17" s="31">
        <v>38.461538461538467</v>
      </c>
      <c r="T17" s="17">
        <v>9</v>
      </c>
      <c r="U17" s="56">
        <v>30</v>
      </c>
      <c r="V17" s="56">
        <v>1</v>
      </c>
      <c r="W17" s="56">
        <v>2</v>
      </c>
      <c r="X17" s="56">
        <v>27</v>
      </c>
      <c r="Z17" s="17">
        <v>9</v>
      </c>
      <c r="AA17" s="56">
        <v>1</v>
      </c>
      <c r="AB17" s="56"/>
      <c r="AC17" s="56">
        <v>1</v>
      </c>
      <c r="AD17" s="56"/>
      <c r="AH17" t="s">
        <v>81</v>
      </c>
      <c r="AI17">
        <f>GETPIVOTDATA("Pérdidas pase",$Z$2)</f>
        <v>41</v>
      </c>
    </row>
    <row r="18" spans="3:35" x14ac:dyDescent="0.3">
      <c r="C18" s="27" t="s">
        <v>127</v>
      </c>
      <c r="D18" s="56">
        <v>57</v>
      </c>
      <c r="E18" s="56">
        <v>62</v>
      </c>
      <c r="F18" s="31">
        <v>91.935483870967744</v>
      </c>
      <c r="K18" s="27" t="s">
        <v>127</v>
      </c>
      <c r="L18" s="56">
        <v>10</v>
      </c>
      <c r="M18" s="56">
        <v>16</v>
      </c>
      <c r="N18" s="31">
        <v>38.461538461538467</v>
      </c>
      <c r="T18" s="27" t="s">
        <v>127</v>
      </c>
      <c r="U18" s="56">
        <v>30</v>
      </c>
      <c r="V18" s="56">
        <v>1</v>
      </c>
      <c r="W18" s="56">
        <v>2</v>
      </c>
      <c r="X18" s="56">
        <v>27</v>
      </c>
      <c r="Z18" s="27" t="s">
        <v>127</v>
      </c>
      <c r="AA18" s="56">
        <v>1</v>
      </c>
      <c r="AB18" s="56"/>
      <c r="AC18" s="56">
        <v>1</v>
      </c>
      <c r="AD18" s="56"/>
      <c r="AH18" t="s">
        <v>82</v>
      </c>
      <c r="AI18">
        <f>GETPIVOTDATA("Perdidas otros",$Z$2)</f>
        <v>4</v>
      </c>
    </row>
    <row r="19" spans="3:35" x14ac:dyDescent="0.3">
      <c r="C19" s="17" t="s">
        <v>35</v>
      </c>
      <c r="D19" s="56">
        <v>372</v>
      </c>
      <c r="E19" s="56">
        <v>433</v>
      </c>
      <c r="F19" s="31">
        <v>85.912240184757508</v>
      </c>
      <c r="K19" s="17" t="s">
        <v>35</v>
      </c>
      <c r="L19" s="56">
        <v>79</v>
      </c>
      <c r="M19" s="56">
        <v>131</v>
      </c>
      <c r="N19" s="31">
        <v>37.61904761904762</v>
      </c>
      <c r="T19" s="17" t="s">
        <v>35</v>
      </c>
      <c r="U19" s="56">
        <v>216</v>
      </c>
      <c r="V19" s="56">
        <v>18</v>
      </c>
      <c r="W19" s="56">
        <v>12</v>
      </c>
      <c r="X19" s="56">
        <v>145</v>
      </c>
      <c r="Z19" s="17" t="s">
        <v>35</v>
      </c>
      <c r="AA19" s="56">
        <v>41</v>
      </c>
      <c r="AB19" s="56">
        <v>2</v>
      </c>
      <c r="AC19" s="56">
        <v>4</v>
      </c>
      <c r="AD19" s="56">
        <v>19</v>
      </c>
      <c r="AH19" t="s">
        <v>83</v>
      </c>
      <c r="AI19">
        <f>GETPIVOTDATA("Áreas",$Z$2)</f>
        <v>2</v>
      </c>
    </row>
    <row r="20" spans="3:35" x14ac:dyDescent="0.3">
      <c r="F20"/>
      <c r="N20"/>
    </row>
    <row r="21" spans="3:35" x14ac:dyDescent="0.3">
      <c r="F21"/>
      <c r="N21"/>
    </row>
    <row r="22" spans="3:35" x14ac:dyDescent="0.3">
      <c r="F22"/>
      <c r="N22"/>
    </row>
    <row r="23" spans="3:35" x14ac:dyDescent="0.3">
      <c r="F23"/>
      <c r="N23"/>
    </row>
    <row r="24" spans="3:35" x14ac:dyDescent="0.3">
      <c r="F24"/>
      <c r="N24"/>
    </row>
    <row r="25" spans="3:35" x14ac:dyDescent="0.3">
      <c r="F25"/>
      <c r="N25"/>
    </row>
    <row r="26" spans="3:35" x14ac:dyDescent="0.3">
      <c r="F26"/>
      <c r="N26"/>
    </row>
    <row r="27" spans="3:35" x14ac:dyDescent="0.3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tabSelected="1" zoomScale="140" zoomScaleNormal="140" workbookViewId="0">
      <selection activeCell="N19" sqref="N1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0" zoomScaleNormal="140" workbookViewId="0">
      <selection activeCell="N10" sqref="N10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.6" thickTop="1" thickBot="1" x14ac:dyDescent="0.35">
      <c r="A2" s="15" t="s">
        <v>93</v>
      </c>
      <c r="B2" s="15"/>
      <c r="C2" s="15"/>
      <c r="D2" s="51" t="s">
        <v>87</v>
      </c>
      <c r="E2" s="52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5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5" thickBot="1" x14ac:dyDescent="0.35">
      <c r="A2" s="15" t="s">
        <v>93</v>
      </c>
      <c r="B2" s="15"/>
      <c r="C2" s="15"/>
      <c r="D2" s="53" t="s">
        <v>99</v>
      </c>
      <c r="E2" s="54"/>
      <c r="F2" s="55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4.4" x14ac:dyDescent="0.3"/>
  <cols>
    <col min="3" max="3" width="16.6640625" bestFit="1" customWidth="1"/>
    <col min="5" max="5" width="15.6640625" bestFit="1" customWidth="1"/>
    <col min="6" max="6" width="16.33203125" bestFit="1" customWidth="1"/>
  </cols>
  <sheetData>
    <row r="4" spans="3:7" x14ac:dyDescent="0.3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 x14ac:dyDescent="0.3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Leo Espejo</cp:lastModifiedBy>
  <dcterms:created xsi:type="dcterms:W3CDTF">2025-07-01T18:01:32Z</dcterms:created>
  <dcterms:modified xsi:type="dcterms:W3CDTF">2026-03-02T10:36:59Z</dcterms:modified>
</cp:coreProperties>
</file>